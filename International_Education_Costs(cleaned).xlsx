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fb93205e4e081/Dokumente/AKINKUNMI DATA ANALYSIS WORK/PORTFOLIO PROJECT/Datasets/Cost of International Education/"/>
    </mc:Choice>
  </mc:AlternateContent>
  <xr:revisionPtr revIDLastSave="2" documentId="13_ncr:1_{5380673D-468A-4602-9952-76CB235D07CE}" xr6:coauthVersionLast="47" xr6:coauthVersionMax="47" xr10:uidLastSave="{E551F80B-434B-4AC1-A7F4-7A02FA8425C0}"/>
  <bookViews>
    <workbookView xWindow="-120" yWindow="-120" windowWidth="20730" windowHeight="11160" activeTab="1" xr2:uid="{146E6A34-10A6-4ADC-8AB3-2CD5586B689E}"/>
  </bookViews>
  <sheets>
    <sheet name="Analysis" sheetId="2" r:id="rId1"/>
    <sheet name="International_Education_Cost" sheetId="3" r:id="rId2"/>
  </sheets>
  <definedNames>
    <definedName name="ExternalData_1" localSheetId="1" hidden="1">International_Education_Cost!$A$1:$L$908</definedName>
  </definedName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3" i="3" l="1"/>
  <c r="Q383" i="3"/>
  <c r="Q407" i="3"/>
  <c r="Q447" i="3"/>
  <c r="Q471" i="3"/>
  <c r="Q503" i="3"/>
  <c r="Q535" i="3"/>
  <c r="Q567" i="3"/>
  <c r="Q598" i="3"/>
  <c r="Q614" i="3"/>
  <c r="Q630" i="3"/>
  <c r="Q646" i="3"/>
  <c r="Q662" i="3"/>
  <c r="Q678" i="3"/>
  <c r="Q694" i="3"/>
  <c r="Q710" i="3"/>
  <c r="Q721" i="3"/>
  <c r="Q730" i="3"/>
  <c r="Q742" i="3"/>
  <c r="Q753" i="3"/>
  <c r="Q762" i="3"/>
  <c r="Q774" i="3"/>
  <c r="Q785" i="3"/>
  <c r="Q794" i="3"/>
  <c r="Q806" i="3"/>
  <c r="Q817" i="3"/>
  <c r="Q826" i="3"/>
  <c r="Q838" i="3"/>
  <c r="Q849" i="3"/>
  <c r="Q858" i="3"/>
  <c r="Q870" i="3"/>
  <c r="Q881" i="3"/>
  <c r="Q890" i="3"/>
  <c r="Q902" i="3"/>
  <c r="P22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M2" i="3"/>
  <c r="Q2" i="3" s="1"/>
  <c r="M3" i="3"/>
  <c r="Q3" i="3" s="1"/>
  <c r="M4" i="3"/>
  <c r="Q4" i="3" s="1"/>
  <c r="M5" i="3"/>
  <c r="Q5" i="3" s="1"/>
  <c r="M6" i="3"/>
  <c r="Q6" i="3" s="1"/>
  <c r="M7" i="3"/>
  <c r="Q7" i="3" s="1"/>
  <c r="M8" i="3"/>
  <c r="Q8" i="3" s="1"/>
  <c r="M9" i="3"/>
  <c r="Q9" i="3" s="1"/>
  <c r="M10" i="3"/>
  <c r="Q10" i="3" s="1"/>
  <c r="M11" i="3"/>
  <c r="Q11" i="3" s="1"/>
  <c r="M12" i="3"/>
  <c r="Q12" i="3" s="1"/>
  <c r="M13" i="3"/>
  <c r="M14" i="3"/>
  <c r="Q14" i="3" s="1"/>
  <c r="M15" i="3"/>
  <c r="Q15" i="3" s="1"/>
  <c r="M16" i="3"/>
  <c r="Q16" i="3" s="1"/>
  <c r="M17" i="3"/>
  <c r="M18" i="3"/>
  <c r="Q18" i="3" s="1"/>
  <c r="M19" i="3"/>
  <c r="Q19" i="3" s="1"/>
  <c r="M20" i="3"/>
  <c r="Q20" i="3" s="1"/>
  <c r="M21" i="3"/>
  <c r="Q21" i="3" s="1"/>
  <c r="M22" i="3"/>
  <c r="Q22" i="3" s="1"/>
  <c r="M23" i="3"/>
  <c r="Q23" i="3" s="1"/>
  <c r="M24" i="3"/>
  <c r="Q24" i="3" s="1"/>
  <c r="M25" i="3"/>
  <c r="Q25" i="3" s="1"/>
  <c r="M26" i="3"/>
  <c r="Q26" i="3" s="1"/>
  <c r="M27" i="3"/>
  <c r="Q27" i="3" s="1"/>
  <c r="M28" i="3"/>
  <c r="Q28" i="3" s="1"/>
  <c r="M29" i="3"/>
  <c r="P29" i="3" s="1"/>
  <c r="M30" i="3"/>
  <c r="Q30" i="3" s="1"/>
  <c r="M31" i="3"/>
  <c r="Q31" i="3" s="1"/>
  <c r="M32" i="3"/>
  <c r="Q32" i="3" s="1"/>
  <c r="M33" i="3"/>
  <c r="N33" i="3" s="1"/>
  <c r="M34" i="3"/>
  <c r="Q34" i="3" s="1"/>
  <c r="M35" i="3"/>
  <c r="Q35" i="3" s="1"/>
  <c r="M36" i="3"/>
  <c r="Q36" i="3" s="1"/>
  <c r="M37" i="3"/>
  <c r="Q37" i="3" s="1"/>
  <c r="M38" i="3"/>
  <c r="Q38" i="3" s="1"/>
  <c r="M39" i="3"/>
  <c r="Q39" i="3" s="1"/>
  <c r="M40" i="3"/>
  <c r="Q40" i="3" s="1"/>
  <c r="M41" i="3"/>
  <c r="Q41" i="3" s="1"/>
  <c r="M42" i="3"/>
  <c r="Q42" i="3" s="1"/>
  <c r="M43" i="3"/>
  <c r="Q43" i="3" s="1"/>
  <c r="M44" i="3"/>
  <c r="Q44" i="3" s="1"/>
  <c r="M45" i="3"/>
  <c r="M46" i="3"/>
  <c r="Q46" i="3" s="1"/>
  <c r="M47" i="3"/>
  <c r="Q47" i="3" s="1"/>
  <c r="M48" i="3"/>
  <c r="Q48" i="3" s="1"/>
  <c r="M49" i="3"/>
  <c r="M50" i="3"/>
  <c r="Q50" i="3" s="1"/>
  <c r="M51" i="3"/>
  <c r="Q51" i="3" s="1"/>
  <c r="M52" i="3"/>
  <c r="Q52" i="3" s="1"/>
  <c r="M53" i="3"/>
  <c r="Q53" i="3" s="1"/>
  <c r="M54" i="3"/>
  <c r="Q54" i="3" s="1"/>
  <c r="M55" i="3"/>
  <c r="Q55" i="3" s="1"/>
  <c r="M56" i="3"/>
  <c r="Q56" i="3" s="1"/>
  <c r="M57" i="3"/>
  <c r="Q57" i="3" s="1"/>
  <c r="M58" i="3"/>
  <c r="Q58" i="3" s="1"/>
  <c r="M59" i="3"/>
  <c r="Q59" i="3" s="1"/>
  <c r="M60" i="3"/>
  <c r="Q60" i="3" s="1"/>
  <c r="M61" i="3"/>
  <c r="M62" i="3"/>
  <c r="Q62" i="3" s="1"/>
  <c r="M63" i="3"/>
  <c r="Q63" i="3" s="1"/>
  <c r="M64" i="3"/>
  <c r="Q64" i="3" s="1"/>
  <c r="M65" i="3"/>
  <c r="M66" i="3"/>
  <c r="Q66" i="3" s="1"/>
  <c r="M67" i="3"/>
  <c r="Q67" i="3" s="1"/>
  <c r="M68" i="3"/>
  <c r="Q68" i="3" s="1"/>
  <c r="M69" i="3"/>
  <c r="Q69" i="3" s="1"/>
  <c r="M70" i="3"/>
  <c r="Q70" i="3" s="1"/>
  <c r="M71" i="3"/>
  <c r="Q71" i="3" s="1"/>
  <c r="M72" i="3"/>
  <c r="Q72" i="3" s="1"/>
  <c r="M73" i="3"/>
  <c r="Q73" i="3" s="1"/>
  <c r="M74" i="3"/>
  <c r="Q74" i="3" s="1"/>
  <c r="M75" i="3"/>
  <c r="Q75" i="3" s="1"/>
  <c r="M76" i="3"/>
  <c r="Q76" i="3" s="1"/>
  <c r="M77" i="3"/>
  <c r="M78" i="3"/>
  <c r="Q78" i="3" s="1"/>
  <c r="M79" i="3"/>
  <c r="Q79" i="3" s="1"/>
  <c r="M80" i="3"/>
  <c r="Q80" i="3" s="1"/>
  <c r="M81" i="3"/>
  <c r="M82" i="3"/>
  <c r="Q82" i="3" s="1"/>
  <c r="M83" i="3"/>
  <c r="Q83" i="3" s="1"/>
  <c r="M84" i="3"/>
  <c r="Q84" i="3" s="1"/>
  <c r="M85" i="3"/>
  <c r="Q85" i="3" s="1"/>
  <c r="M86" i="3"/>
  <c r="Q86" i="3" s="1"/>
  <c r="M87" i="3"/>
  <c r="Q87" i="3" s="1"/>
  <c r="M88" i="3"/>
  <c r="Q88" i="3" s="1"/>
  <c r="M89" i="3"/>
  <c r="Q89" i="3" s="1"/>
  <c r="M90" i="3"/>
  <c r="Q90" i="3" s="1"/>
  <c r="M91" i="3"/>
  <c r="Q91" i="3" s="1"/>
  <c r="M92" i="3"/>
  <c r="Q92" i="3" s="1"/>
  <c r="M93" i="3"/>
  <c r="P93" i="3" s="1"/>
  <c r="M94" i="3"/>
  <c r="Q94" i="3" s="1"/>
  <c r="M95" i="3"/>
  <c r="Q95" i="3" s="1"/>
  <c r="M96" i="3"/>
  <c r="Q96" i="3" s="1"/>
  <c r="M97" i="3"/>
  <c r="N97" i="3" s="1"/>
  <c r="M98" i="3"/>
  <c r="Q98" i="3" s="1"/>
  <c r="M99" i="3"/>
  <c r="Q99" i="3" s="1"/>
  <c r="M100" i="3"/>
  <c r="Q100" i="3" s="1"/>
  <c r="M101" i="3"/>
  <c r="Q101" i="3" s="1"/>
  <c r="M102" i="3"/>
  <c r="Q102" i="3" s="1"/>
  <c r="M103" i="3"/>
  <c r="Q103" i="3" s="1"/>
  <c r="M104" i="3"/>
  <c r="Q104" i="3" s="1"/>
  <c r="M105" i="3"/>
  <c r="Q105" i="3" s="1"/>
  <c r="M106" i="3"/>
  <c r="Q106" i="3" s="1"/>
  <c r="M107" i="3"/>
  <c r="Q107" i="3" s="1"/>
  <c r="M108" i="3"/>
  <c r="Q108" i="3" s="1"/>
  <c r="M109" i="3"/>
  <c r="M110" i="3"/>
  <c r="Q110" i="3" s="1"/>
  <c r="M111" i="3"/>
  <c r="Q111" i="3" s="1"/>
  <c r="M112" i="3"/>
  <c r="Q112" i="3" s="1"/>
  <c r="M113" i="3"/>
  <c r="M114" i="3"/>
  <c r="Q114" i="3" s="1"/>
  <c r="M115" i="3"/>
  <c r="Q115" i="3" s="1"/>
  <c r="M116" i="3"/>
  <c r="Q116" i="3" s="1"/>
  <c r="M117" i="3"/>
  <c r="Q117" i="3" s="1"/>
  <c r="M118" i="3"/>
  <c r="Q118" i="3" s="1"/>
  <c r="M119" i="3"/>
  <c r="Q119" i="3" s="1"/>
  <c r="M120" i="3"/>
  <c r="Q120" i="3" s="1"/>
  <c r="M121" i="3"/>
  <c r="Q121" i="3" s="1"/>
  <c r="M122" i="3"/>
  <c r="Q122" i="3" s="1"/>
  <c r="M123" i="3"/>
  <c r="Q123" i="3" s="1"/>
  <c r="M124" i="3"/>
  <c r="Q124" i="3" s="1"/>
  <c r="M125" i="3"/>
  <c r="M126" i="3"/>
  <c r="Q126" i="3" s="1"/>
  <c r="M127" i="3"/>
  <c r="Q127" i="3" s="1"/>
  <c r="M128" i="3"/>
  <c r="Q128" i="3" s="1"/>
  <c r="M129" i="3"/>
  <c r="Q129" i="3" s="1"/>
  <c r="M130" i="3"/>
  <c r="Q130" i="3" s="1"/>
  <c r="M131" i="3"/>
  <c r="Q131" i="3" s="1"/>
  <c r="M132" i="3"/>
  <c r="Q132" i="3" s="1"/>
  <c r="M133" i="3"/>
  <c r="Q133" i="3" s="1"/>
  <c r="M134" i="3"/>
  <c r="Q134" i="3" s="1"/>
  <c r="M135" i="3"/>
  <c r="Q135" i="3" s="1"/>
  <c r="M136" i="3"/>
  <c r="Q136" i="3" s="1"/>
  <c r="M137" i="3"/>
  <c r="Q137" i="3" s="1"/>
  <c r="M138" i="3"/>
  <c r="Q138" i="3" s="1"/>
  <c r="M139" i="3"/>
  <c r="Q139" i="3" s="1"/>
  <c r="M140" i="3"/>
  <c r="Q140" i="3" s="1"/>
  <c r="M141" i="3"/>
  <c r="M142" i="3"/>
  <c r="Q142" i="3" s="1"/>
  <c r="M143" i="3"/>
  <c r="Q143" i="3" s="1"/>
  <c r="M144" i="3"/>
  <c r="Q144" i="3" s="1"/>
  <c r="M145" i="3"/>
  <c r="M146" i="3"/>
  <c r="Q146" i="3" s="1"/>
  <c r="M147" i="3"/>
  <c r="Q147" i="3" s="1"/>
  <c r="M148" i="3"/>
  <c r="Q148" i="3" s="1"/>
  <c r="M149" i="3"/>
  <c r="Q149" i="3" s="1"/>
  <c r="M150" i="3"/>
  <c r="Q150" i="3" s="1"/>
  <c r="M151" i="3"/>
  <c r="Q151" i="3" s="1"/>
  <c r="M152" i="3"/>
  <c r="Q152" i="3" s="1"/>
  <c r="M153" i="3"/>
  <c r="Q153" i="3" s="1"/>
  <c r="M154" i="3"/>
  <c r="Q154" i="3" s="1"/>
  <c r="M155" i="3"/>
  <c r="Q155" i="3" s="1"/>
  <c r="M156" i="3"/>
  <c r="Q156" i="3" s="1"/>
  <c r="M157" i="3"/>
  <c r="M158" i="3"/>
  <c r="Q158" i="3" s="1"/>
  <c r="M159" i="3"/>
  <c r="Q159" i="3" s="1"/>
  <c r="M160" i="3"/>
  <c r="Q160" i="3" s="1"/>
  <c r="M161" i="3"/>
  <c r="N161" i="3" s="1"/>
  <c r="M162" i="3"/>
  <c r="Q162" i="3" s="1"/>
  <c r="M163" i="3"/>
  <c r="Q163" i="3" s="1"/>
  <c r="M164" i="3"/>
  <c r="Q164" i="3" s="1"/>
  <c r="M165" i="3"/>
  <c r="Q165" i="3" s="1"/>
  <c r="M166" i="3"/>
  <c r="Q166" i="3" s="1"/>
  <c r="M167" i="3"/>
  <c r="Q167" i="3" s="1"/>
  <c r="M168" i="3"/>
  <c r="Q168" i="3" s="1"/>
  <c r="M169" i="3"/>
  <c r="Q169" i="3" s="1"/>
  <c r="M170" i="3"/>
  <c r="Q170" i="3" s="1"/>
  <c r="M171" i="3"/>
  <c r="Q171" i="3" s="1"/>
  <c r="M172" i="3"/>
  <c r="Q172" i="3" s="1"/>
  <c r="M173" i="3"/>
  <c r="M174" i="3"/>
  <c r="Q174" i="3" s="1"/>
  <c r="M175" i="3"/>
  <c r="Q175" i="3" s="1"/>
  <c r="M176" i="3"/>
  <c r="Q176" i="3" s="1"/>
  <c r="M177" i="3"/>
  <c r="M178" i="3"/>
  <c r="Q178" i="3" s="1"/>
  <c r="M179" i="3"/>
  <c r="Q179" i="3" s="1"/>
  <c r="M180" i="3"/>
  <c r="Q180" i="3" s="1"/>
  <c r="M181" i="3"/>
  <c r="Q181" i="3" s="1"/>
  <c r="M182" i="3"/>
  <c r="Q182" i="3" s="1"/>
  <c r="M183" i="3"/>
  <c r="Q183" i="3" s="1"/>
  <c r="M184" i="3"/>
  <c r="Q184" i="3" s="1"/>
  <c r="M185" i="3"/>
  <c r="Q185" i="3" s="1"/>
  <c r="M186" i="3"/>
  <c r="Q186" i="3" s="1"/>
  <c r="M187" i="3"/>
  <c r="Q187" i="3" s="1"/>
  <c r="M188" i="3"/>
  <c r="Q188" i="3" s="1"/>
  <c r="M189" i="3"/>
  <c r="M190" i="3"/>
  <c r="Q190" i="3" s="1"/>
  <c r="M191" i="3"/>
  <c r="Q191" i="3" s="1"/>
  <c r="M192" i="3"/>
  <c r="Q192" i="3" s="1"/>
  <c r="M193" i="3"/>
  <c r="M194" i="3"/>
  <c r="Q194" i="3" s="1"/>
  <c r="M195" i="3"/>
  <c r="Q195" i="3" s="1"/>
  <c r="M196" i="3"/>
  <c r="Q196" i="3" s="1"/>
  <c r="M197" i="3"/>
  <c r="Q197" i="3" s="1"/>
  <c r="M198" i="3"/>
  <c r="Q198" i="3" s="1"/>
  <c r="M199" i="3"/>
  <c r="Q199" i="3" s="1"/>
  <c r="M200" i="3"/>
  <c r="Q200" i="3" s="1"/>
  <c r="M201" i="3"/>
  <c r="Q201" i="3" s="1"/>
  <c r="M202" i="3"/>
  <c r="Q202" i="3" s="1"/>
  <c r="M203" i="3"/>
  <c r="Q203" i="3" s="1"/>
  <c r="M204" i="3"/>
  <c r="Q204" i="3" s="1"/>
  <c r="M205" i="3"/>
  <c r="M206" i="3"/>
  <c r="Q206" i="3" s="1"/>
  <c r="M207" i="3"/>
  <c r="Q207" i="3" s="1"/>
  <c r="M208" i="3"/>
  <c r="Q208" i="3" s="1"/>
  <c r="M209" i="3"/>
  <c r="M210" i="3"/>
  <c r="Q210" i="3" s="1"/>
  <c r="M211" i="3"/>
  <c r="Q211" i="3" s="1"/>
  <c r="M212" i="3"/>
  <c r="Q212" i="3" s="1"/>
  <c r="M213" i="3"/>
  <c r="Q213" i="3" s="1"/>
  <c r="M214" i="3"/>
  <c r="Q214" i="3" s="1"/>
  <c r="M215" i="3"/>
  <c r="Q215" i="3" s="1"/>
  <c r="M216" i="3"/>
  <c r="Q216" i="3" s="1"/>
  <c r="M217" i="3"/>
  <c r="Q217" i="3" s="1"/>
  <c r="M218" i="3"/>
  <c r="Q218" i="3" s="1"/>
  <c r="M219" i="3"/>
  <c r="Q219" i="3" s="1"/>
  <c r="M220" i="3"/>
  <c r="Q220" i="3" s="1"/>
  <c r="M221" i="3"/>
  <c r="M222" i="3"/>
  <c r="Q222" i="3" s="1"/>
  <c r="M223" i="3"/>
  <c r="Q223" i="3" s="1"/>
  <c r="M224" i="3"/>
  <c r="Q224" i="3" s="1"/>
  <c r="M225" i="3"/>
  <c r="N225" i="3" s="1"/>
  <c r="M226" i="3"/>
  <c r="Q226" i="3" s="1"/>
  <c r="M227" i="3"/>
  <c r="Q227" i="3" s="1"/>
  <c r="M228" i="3"/>
  <c r="Q228" i="3" s="1"/>
  <c r="M229" i="3"/>
  <c r="Q229" i="3" s="1"/>
  <c r="M230" i="3"/>
  <c r="Q230" i="3" s="1"/>
  <c r="M231" i="3"/>
  <c r="Q231" i="3" s="1"/>
  <c r="M232" i="3"/>
  <c r="Q232" i="3" s="1"/>
  <c r="M233" i="3"/>
  <c r="Q233" i="3" s="1"/>
  <c r="M234" i="3"/>
  <c r="Q234" i="3" s="1"/>
  <c r="M235" i="3"/>
  <c r="Q235" i="3" s="1"/>
  <c r="M236" i="3"/>
  <c r="Q236" i="3" s="1"/>
  <c r="M237" i="3"/>
  <c r="M238" i="3"/>
  <c r="Q238" i="3" s="1"/>
  <c r="M239" i="3"/>
  <c r="Q239" i="3" s="1"/>
  <c r="M240" i="3"/>
  <c r="Q240" i="3" s="1"/>
  <c r="M241" i="3"/>
  <c r="M242" i="3"/>
  <c r="Q242" i="3" s="1"/>
  <c r="M243" i="3"/>
  <c r="Q243" i="3" s="1"/>
  <c r="M244" i="3"/>
  <c r="Q244" i="3" s="1"/>
  <c r="M245" i="3"/>
  <c r="Q245" i="3" s="1"/>
  <c r="M246" i="3"/>
  <c r="Q246" i="3" s="1"/>
  <c r="M247" i="3"/>
  <c r="Q247" i="3" s="1"/>
  <c r="M248" i="3"/>
  <c r="Q248" i="3" s="1"/>
  <c r="M249" i="3"/>
  <c r="Q249" i="3" s="1"/>
  <c r="M250" i="3"/>
  <c r="Q250" i="3" s="1"/>
  <c r="M251" i="3"/>
  <c r="Q251" i="3" s="1"/>
  <c r="M252" i="3"/>
  <c r="Q252" i="3" s="1"/>
  <c r="M253" i="3"/>
  <c r="M254" i="3"/>
  <c r="Q254" i="3" s="1"/>
  <c r="M255" i="3"/>
  <c r="Q255" i="3" s="1"/>
  <c r="M256" i="3"/>
  <c r="Q256" i="3" s="1"/>
  <c r="M257" i="3"/>
  <c r="Q257" i="3" s="1"/>
  <c r="M258" i="3"/>
  <c r="Q258" i="3" s="1"/>
  <c r="M259" i="3"/>
  <c r="Q259" i="3" s="1"/>
  <c r="M260" i="3"/>
  <c r="Q260" i="3" s="1"/>
  <c r="M261" i="3"/>
  <c r="Q261" i="3" s="1"/>
  <c r="M262" i="3"/>
  <c r="Q262" i="3" s="1"/>
  <c r="M263" i="3"/>
  <c r="Q263" i="3" s="1"/>
  <c r="M264" i="3"/>
  <c r="Q264" i="3" s="1"/>
  <c r="M265" i="3"/>
  <c r="Q265" i="3" s="1"/>
  <c r="M266" i="3"/>
  <c r="Q266" i="3" s="1"/>
  <c r="M267" i="3"/>
  <c r="Q267" i="3" s="1"/>
  <c r="M268" i="3"/>
  <c r="Q268" i="3" s="1"/>
  <c r="M269" i="3"/>
  <c r="M270" i="3"/>
  <c r="Q270" i="3" s="1"/>
  <c r="M271" i="3"/>
  <c r="Q271" i="3" s="1"/>
  <c r="M272" i="3"/>
  <c r="Q272" i="3" s="1"/>
  <c r="M273" i="3"/>
  <c r="M274" i="3"/>
  <c r="Q274" i="3" s="1"/>
  <c r="M275" i="3"/>
  <c r="Q275" i="3" s="1"/>
  <c r="M276" i="3"/>
  <c r="Q276" i="3" s="1"/>
  <c r="M277" i="3"/>
  <c r="Q277" i="3" s="1"/>
  <c r="M278" i="3"/>
  <c r="Q278" i="3" s="1"/>
  <c r="M279" i="3"/>
  <c r="Q279" i="3" s="1"/>
  <c r="M280" i="3"/>
  <c r="Q280" i="3" s="1"/>
  <c r="M281" i="3"/>
  <c r="Q281" i="3" s="1"/>
  <c r="M282" i="3"/>
  <c r="Q282" i="3" s="1"/>
  <c r="M283" i="3"/>
  <c r="Q283" i="3" s="1"/>
  <c r="M284" i="3"/>
  <c r="Q284" i="3" s="1"/>
  <c r="M285" i="3"/>
  <c r="P285" i="3" s="1"/>
  <c r="M286" i="3"/>
  <c r="Q286" i="3" s="1"/>
  <c r="M287" i="3"/>
  <c r="Q287" i="3" s="1"/>
  <c r="M288" i="3"/>
  <c r="Q288" i="3" s="1"/>
  <c r="M289" i="3"/>
  <c r="N289" i="3" s="1"/>
  <c r="M290" i="3"/>
  <c r="Q290" i="3" s="1"/>
  <c r="M291" i="3"/>
  <c r="Q291" i="3" s="1"/>
  <c r="M292" i="3"/>
  <c r="Q292" i="3" s="1"/>
  <c r="M293" i="3"/>
  <c r="Q293" i="3" s="1"/>
  <c r="M294" i="3"/>
  <c r="Q294" i="3" s="1"/>
  <c r="M295" i="3"/>
  <c r="Q295" i="3" s="1"/>
  <c r="M296" i="3"/>
  <c r="Q296" i="3" s="1"/>
  <c r="M297" i="3"/>
  <c r="Q297" i="3" s="1"/>
  <c r="M298" i="3"/>
  <c r="Q298" i="3" s="1"/>
  <c r="M299" i="3"/>
  <c r="Q299" i="3" s="1"/>
  <c r="M300" i="3"/>
  <c r="Q300" i="3" s="1"/>
  <c r="M301" i="3"/>
  <c r="M302" i="3"/>
  <c r="Q302" i="3" s="1"/>
  <c r="M303" i="3"/>
  <c r="Q303" i="3" s="1"/>
  <c r="M304" i="3"/>
  <c r="Q304" i="3" s="1"/>
  <c r="M305" i="3"/>
  <c r="M306" i="3"/>
  <c r="Q306" i="3" s="1"/>
  <c r="M307" i="3"/>
  <c r="Q307" i="3" s="1"/>
  <c r="M308" i="3"/>
  <c r="Q308" i="3" s="1"/>
  <c r="M309" i="3"/>
  <c r="Q309" i="3" s="1"/>
  <c r="M310" i="3"/>
  <c r="Q310" i="3" s="1"/>
  <c r="M311" i="3"/>
  <c r="Q311" i="3" s="1"/>
  <c r="M312" i="3"/>
  <c r="Q312" i="3" s="1"/>
  <c r="M313" i="3"/>
  <c r="Q313" i="3" s="1"/>
  <c r="M314" i="3"/>
  <c r="Q314" i="3" s="1"/>
  <c r="M315" i="3"/>
  <c r="Q315" i="3" s="1"/>
  <c r="M316" i="3"/>
  <c r="Q316" i="3" s="1"/>
  <c r="M317" i="3"/>
  <c r="Q317" i="3" s="1"/>
  <c r="M318" i="3"/>
  <c r="Q318" i="3" s="1"/>
  <c r="M319" i="3"/>
  <c r="Q319" i="3" s="1"/>
  <c r="M320" i="3"/>
  <c r="Q320" i="3" s="1"/>
  <c r="M321" i="3"/>
  <c r="N321" i="3" s="1"/>
  <c r="M322" i="3"/>
  <c r="Q322" i="3" s="1"/>
  <c r="M323" i="3"/>
  <c r="Q323" i="3" s="1"/>
  <c r="M324" i="3"/>
  <c r="Q324" i="3" s="1"/>
  <c r="M325" i="3"/>
  <c r="Q325" i="3" s="1"/>
  <c r="M326" i="3"/>
  <c r="Q326" i="3" s="1"/>
  <c r="M327" i="3"/>
  <c r="Q327" i="3" s="1"/>
  <c r="M328" i="3"/>
  <c r="Q328" i="3" s="1"/>
  <c r="M329" i="3"/>
  <c r="Q329" i="3" s="1"/>
  <c r="M330" i="3"/>
  <c r="Q330" i="3" s="1"/>
  <c r="M331" i="3"/>
  <c r="Q331" i="3" s="1"/>
  <c r="M332" i="3"/>
  <c r="Q332" i="3" s="1"/>
  <c r="M333" i="3"/>
  <c r="Q333" i="3" s="1"/>
  <c r="M334" i="3"/>
  <c r="Q334" i="3" s="1"/>
  <c r="M335" i="3"/>
  <c r="Q335" i="3" s="1"/>
  <c r="M336" i="3"/>
  <c r="Q336" i="3" s="1"/>
  <c r="M337" i="3"/>
  <c r="Q337" i="3" s="1"/>
  <c r="M338" i="3"/>
  <c r="Q338" i="3" s="1"/>
  <c r="M339" i="3"/>
  <c r="Q339" i="3" s="1"/>
  <c r="M340" i="3"/>
  <c r="Q340" i="3" s="1"/>
  <c r="M341" i="3"/>
  <c r="Q341" i="3" s="1"/>
  <c r="M342" i="3"/>
  <c r="Q342" i="3" s="1"/>
  <c r="M343" i="3"/>
  <c r="M344" i="3"/>
  <c r="Q344" i="3" s="1"/>
  <c r="M345" i="3"/>
  <c r="Q345" i="3" s="1"/>
  <c r="M346" i="3"/>
  <c r="Q346" i="3" s="1"/>
  <c r="M347" i="3"/>
  <c r="Q347" i="3" s="1"/>
  <c r="M348" i="3"/>
  <c r="Q348" i="3" s="1"/>
  <c r="M349" i="3"/>
  <c r="Q349" i="3" s="1"/>
  <c r="M350" i="3"/>
  <c r="Q350" i="3" s="1"/>
  <c r="M351" i="3"/>
  <c r="Q351" i="3" s="1"/>
  <c r="M352" i="3"/>
  <c r="Q352" i="3" s="1"/>
  <c r="M353" i="3"/>
  <c r="Q353" i="3" s="1"/>
  <c r="M354" i="3"/>
  <c r="Q354" i="3" s="1"/>
  <c r="M355" i="3"/>
  <c r="Q355" i="3" s="1"/>
  <c r="M356" i="3"/>
  <c r="Q356" i="3" s="1"/>
  <c r="M357" i="3"/>
  <c r="Q357" i="3" s="1"/>
  <c r="M358" i="3"/>
  <c r="Q358" i="3" s="1"/>
  <c r="M359" i="3"/>
  <c r="Q359" i="3" s="1"/>
  <c r="M360" i="3"/>
  <c r="Q360" i="3" s="1"/>
  <c r="M361" i="3"/>
  <c r="Q361" i="3" s="1"/>
  <c r="M362" i="3"/>
  <c r="Q362" i="3" s="1"/>
  <c r="M363" i="3"/>
  <c r="Q363" i="3" s="1"/>
  <c r="M364" i="3"/>
  <c r="Q364" i="3" s="1"/>
  <c r="M365" i="3"/>
  <c r="Q365" i="3" s="1"/>
  <c r="M366" i="3"/>
  <c r="Q366" i="3" s="1"/>
  <c r="M367" i="3"/>
  <c r="Q367" i="3" s="1"/>
  <c r="M368" i="3"/>
  <c r="Q368" i="3" s="1"/>
  <c r="M369" i="3"/>
  <c r="Q369" i="3" s="1"/>
  <c r="M370" i="3"/>
  <c r="Q370" i="3" s="1"/>
  <c r="M371" i="3"/>
  <c r="Q371" i="3" s="1"/>
  <c r="M372" i="3"/>
  <c r="Q372" i="3" s="1"/>
  <c r="M373" i="3"/>
  <c r="Q373" i="3" s="1"/>
  <c r="M374" i="3"/>
  <c r="Q374" i="3" s="1"/>
  <c r="M375" i="3"/>
  <c r="Q375" i="3" s="1"/>
  <c r="M376" i="3"/>
  <c r="Q376" i="3" s="1"/>
  <c r="M377" i="3"/>
  <c r="Q377" i="3" s="1"/>
  <c r="M378" i="3"/>
  <c r="Q378" i="3" s="1"/>
  <c r="M379" i="3"/>
  <c r="Q379" i="3" s="1"/>
  <c r="M380" i="3"/>
  <c r="Q380" i="3" s="1"/>
  <c r="M381" i="3"/>
  <c r="Q381" i="3" s="1"/>
  <c r="M382" i="3"/>
  <c r="Q382" i="3" s="1"/>
  <c r="M383" i="3"/>
  <c r="M384" i="3"/>
  <c r="Q384" i="3" s="1"/>
  <c r="M385" i="3"/>
  <c r="Q385" i="3" s="1"/>
  <c r="M386" i="3"/>
  <c r="Q386" i="3" s="1"/>
  <c r="M387" i="3"/>
  <c r="Q387" i="3" s="1"/>
  <c r="M388" i="3"/>
  <c r="Q388" i="3" s="1"/>
  <c r="M389" i="3"/>
  <c r="Q389" i="3" s="1"/>
  <c r="M390" i="3"/>
  <c r="Q390" i="3" s="1"/>
  <c r="M391" i="3"/>
  <c r="Q391" i="3" s="1"/>
  <c r="M392" i="3"/>
  <c r="Q392" i="3" s="1"/>
  <c r="M393" i="3"/>
  <c r="Q393" i="3" s="1"/>
  <c r="M394" i="3"/>
  <c r="Q394" i="3" s="1"/>
  <c r="M395" i="3"/>
  <c r="Q395" i="3" s="1"/>
  <c r="M396" i="3"/>
  <c r="Q396" i="3" s="1"/>
  <c r="M397" i="3"/>
  <c r="Q397" i="3" s="1"/>
  <c r="M398" i="3"/>
  <c r="Q398" i="3" s="1"/>
  <c r="M399" i="3"/>
  <c r="Q399" i="3" s="1"/>
  <c r="M400" i="3"/>
  <c r="Q400" i="3" s="1"/>
  <c r="M401" i="3"/>
  <c r="Q401" i="3" s="1"/>
  <c r="M402" i="3"/>
  <c r="Q402" i="3" s="1"/>
  <c r="M403" i="3"/>
  <c r="Q403" i="3" s="1"/>
  <c r="M404" i="3"/>
  <c r="Q404" i="3" s="1"/>
  <c r="M405" i="3"/>
  <c r="Q405" i="3" s="1"/>
  <c r="M406" i="3"/>
  <c r="Q406" i="3" s="1"/>
  <c r="M407" i="3"/>
  <c r="M408" i="3"/>
  <c r="Q408" i="3" s="1"/>
  <c r="M409" i="3"/>
  <c r="Q409" i="3" s="1"/>
  <c r="M410" i="3"/>
  <c r="Q410" i="3" s="1"/>
  <c r="M411" i="3"/>
  <c r="Q411" i="3" s="1"/>
  <c r="M412" i="3"/>
  <c r="Q412" i="3" s="1"/>
  <c r="M413" i="3"/>
  <c r="Q413" i="3" s="1"/>
  <c r="M414" i="3"/>
  <c r="Q414" i="3" s="1"/>
  <c r="M415" i="3"/>
  <c r="Q415" i="3" s="1"/>
  <c r="M416" i="3"/>
  <c r="Q416" i="3" s="1"/>
  <c r="M417" i="3"/>
  <c r="Q417" i="3" s="1"/>
  <c r="M418" i="3"/>
  <c r="Q418" i="3" s="1"/>
  <c r="M419" i="3"/>
  <c r="Q419" i="3" s="1"/>
  <c r="M420" i="3"/>
  <c r="Q420" i="3" s="1"/>
  <c r="M421" i="3"/>
  <c r="Q421" i="3" s="1"/>
  <c r="M422" i="3"/>
  <c r="Q422" i="3" s="1"/>
  <c r="M423" i="3"/>
  <c r="P423" i="3" s="1"/>
  <c r="M424" i="3"/>
  <c r="Q424" i="3" s="1"/>
  <c r="M425" i="3"/>
  <c r="Q425" i="3" s="1"/>
  <c r="M426" i="3"/>
  <c r="Q426" i="3" s="1"/>
  <c r="M427" i="3"/>
  <c r="Q427" i="3" s="1"/>
  <c r="M428" i="3"/>
  <c r="Q428" i="3" s="1"/>
  <c r="M429" i="3"/>
  <c r="Q429" i="3" s="1"/>
  <c r="M430" i="3"/>
  <c r="Q430" i="3" s="1"/>
  <c r="M431" i="3"/>
  <c r="Q431" i="3" s="1"/>
  <c r="M432" i="3"/>
  <c r="Q432" i="3" s="1"/>
  <c r="M433" i="3"/>
  <c r="Q433" i="3" s="1"/>
  <c r="M434" i="3"/>
  <c r="Q434" i="3" s="1"/>
  <c r="M435" i="3"/>
  <c r="Q435" i="3" s="1"/>
  <c r="M436" i="3"/>
  <c r="Q436" i="3" s="1"/>
  <c r="M437" i="3"/>
  <c r="Q437" i="3" s="1"/>
  <c r="M438" i="3"/>
  <c r="Q438" i="3" s="1"/>
  <c r="M439" i="3"/>
  <c r="N439" i="3" s="1"/>
  <c r="M440" i="3"/>
  <c r="Q440" i="3" s="1"/>
  <c r="M441" i="3"/>
  <c r="Q441" i="3" s="1"/>
  <c r="M442" i="3"/>
  <c r="Q442" i="3" s="1"/>
  <c r="M443" i="3"/>
  <c r="Q443" i="3" s="1"/>
  <c r="M444" i="3"/>
  <c r="Q444" i="3" s="1"/>
  <c r="M445" i="3"/>
  <c r="Q445" i="3" s="1"/>
  <c r="M446" i="3"/>
  <c r="Q446" i="3" s="1"/>
  <c r="M447" i="3"/>
  <c r="M448" i="3"/>
  <c r="Q448" i="3" s="1"/>
  <c r="M449" i="3"/>
  <c r="Q449" i="3" s="1"/>
  <c r="M450" i="3"/>
  <c r="Q450" i="3" s="1"/>
  <c r="M451" i="3"/>
  <c r="Q451" i="3" s="1"/>
  <c r="M452" i="3"/>
  <c r="Q452" i="3" s="1"/>
  <c r="M453" i="3"/>
  <c r="Q453" i="3" s="1"/>
  <c r="M454" i="3"/>
  <c r="Q454" i="3" s="1"/>
  <c r="M455" i="3"/>
  <c r="Q455" i="3" s="1"/>
  <c r="M456" i="3"/>
  <c r="N456" i="3" s="1"/>
  <c r="M457" i="3"/>
  <c r="Q457" i="3" s="1"/>
  <c r="M458" i="3"/>
  <c r="Q458" i="3" s="1"/>
  <c r="M459" i="3"/>
  <c r="Q459" i="3" s="1"/>
  <c r="M460" i="3"/>
  <c r="Q460" i="3" s="1"/>
  <c r="M461" i="3"/>
  <c r="Q461" i="3" s="1"/>
  <c r="M462" i="3"/>
  <c r="Q462" i="3" s="1"/>
  <c r="M463" i="3"/>
  <c r="Q463" i="3" s="1"/>
  <c r="M464" i="3"/>
  <c r="Q464" i="3" s="1"/>
  <c r="M465" i="3"/>
  <c r="Q465" i="3" s="1"/>
  <c r="M466" i="3"/>
  <c r="Q466" i="3" s="1"/>
  <c r="M467" i="3"/>
  <c r="Q467" i="3" s="1"/>
  <c r="M468" i="3"/>
  <c r="Q468" i="3" s="1"/>
  <c r="M469" i="3"/>
  <c r="Q469" i="3" s="1"/>
  <c r="M470" i="3"/>
  <c r="Q470" i="3" s="1"/>
  <c r="M471" i="3"/>
  <c r="N471" i="3" s="1"/>
  <c r="M472" i="3"/>
  <c r="Q472" i="3" s="1"/>
  <c r="M473" i="3"/>
  <c r="Q473" i="3" s="1"/>
  <c r="M474" i="3"/>
  <c r="Q474" i="3" s="1"/>
  <c r="M475" i="3"/>
  <c r="Q475" i="3" s="1"/>
  <c r="M476" i="3"/>
  <c r="Q476" i="3" s="1"/>
  <c r="M477" i="3"/>
  <c r="Q477" i="3" s="1"/>
  <c r="M478" i="3"/>
  <c r="Q478" i="3" s="1"/>
  <c r="M479" i="3"/>
  <c r="Q479" i="3" s="1"/>
  <c r="M480" i="3"/>
  <c r="Q480" i="3" s="1"/>
  <c r="M481" i="3"/>
  <c r="Q481" i="3" s="1"/>
  <c r="M482" i="3"/>
  <c r="Q482" i="3" s="1"/>
  <c r="M483" i="3"/>
  <c r="Q483" i="3" s="1"/>
  <c r="M484" i="3"/>
  <c r="Q484" i="3" s="1"/>
  <c r="M485" i="3"/>
  <c r="Q485" i="3" s="1"/>
  <c r="M486" i="3"/>
  <c r="Q486" i="3" s="1"/>
  <c r="M487" i="3"/>
  <c r="Q487" i="3" s="1"/>
  <c r="M488" i="3"/>
  <c r="P488" i="3" s="1"/>
  <c r="M489" i="3"/>
  <c r="Q489" i="3" s="1"/>
  <c r="M490" i="3"/>
  <c r="Q490" i="3" s="1"/>
  <c r="M491" i="3"/>
  <c r="Q491" i="3" s="1"/>
  <c r="M492" i="3"/>
  <c r="Q492" i="3" s="1"/>
  <c r="M493" i="3"/>
  <c r="Q493" i="3" s="1"/>
  <c r="M494" i="3"/>
  <c r="Q494" i="3" s="1"/>
  <c r="M495" i="3"/>
  <c r="Q495" i="3" s="1"/>
  <c r="M496" i="3"/>
  <c r="Q496" i="3" s="1"/>
  <c r="M497" i="3"/>
  <c r="Q497" i="3" s="1"/>
  <c r="M498" i="3"/>
  <c r="Q498" i="3" s="1"/>
  <c r="M499" i="3"/>
  <c r="Q499" i="3" s="1"/>
  <c r="M500" i="3"/>
  <c r="Q500" i="3" s="1"/>
  <c r="M501" i="3"/>
  <c r="Q501" i="3" s="1"/>
  <c r="M502" i="3"/>
  <c r="Q502" i="3" s="1"/>
  <c r="M503" i="3"/>
  <c r="N503" i="3" s="1"/>
  <c r="M504" i="3"/>
  <c r="Q504" i="3" s="1"/>
  <c r="M505" i="3"/>
  <c r="Q505" i="3" s="1"/>
  <c r="M506" i="3"/>
  <c r="Q506" i="3" s="1"/>
  <c r="M507" i="3"/>
  <c r="Q507" i="3" s="1"/>
  <c r="M508" i="3"/>
  <c r="Q508" i="3" s="1"/>
  <c r="M509" i="3"/>
  <c r="Q509" i="3" s="1"/>
  <c r="M510" i="3"/>
  <c r="Q510" i="3" s="1"/>
  <c r="M511" i="3"/>
  <c r="Q511" i="3" s="1"/>
  <c r="M512" i="3"/>
  <c r="Q512" i="3" s="1"/>
  <c r="M513" i="3"/>
  <c r="Q513" i="3" s="1"/>
  <c r="M514" i="3"/>
  <c r="Q514" i="3" s="1"/>
  <c r="M515" i="3"/>
  <c r="Q515" i="3" s="1"/>
  <c r="M516" i="3"/>
  <c r="Q516" i="3" s="1"/>
  <c r="M517" i="3"/>
  <c r="Q517" i="3" s="1"/>
  <c r="M518" i="3"/>
  <c r="Q518" i="3" s="1"/>
  <c r="M519" i="3"/>
  <c r="Q519" i="3" s="1"/>
  <c r="M520" i="3"/>
  <c r="M521" i="3"/>
  <c r="Q521" i="3" s="1"/>
  <c r="M522" i="3"/>
  <c r="Q522" i="3" s="1"/>
  <c r="M523" i="3"/>
  <c r="Q523" i="3" s="1"/>
  <c r="M524" i="3"/>
  <c r="Q524" i="3" s="1"/>
  <c r="M525" i="3"/>
  <c r="Q525" i="3" s="1"/>
  <c r="M526" i="3"/>
  <c r="Q526" i="3" s="1"/>
  <c r="M527" i="3"/>
  <c r="Q527" i="3" s="1"/>
  <c r="M528" i="3"/>
  <c r="Q528" i="3" s="1"/>
  <c r="M529" i="3"/>
  <c r="Q529" i="3" s="1"/>
  <c r="M530" i="3"/>
  <c r="Q530" i="3" s="1"/>
  <c r="M531" i="3"/>
  <c r="Q531" i="3" s="1"/>
  <c r="M532" i="3"/>
  <c r="Q532" i="3" s="1"/>
  <c r="M533" i="3"/>
  <c r="Q533" i="3" s="1"/>
  <c r="M534" i="3"/>
  <c r="Q534" i="3" s="1"/>
  <c r="M535" i="3"/>
  <c r="N535" i="3" s="1"/>
  <c r="M536" i="3"/>
  <c r="Q536" i="3" s="1"/>
  <c r="M537" i="3"/>
  <c r="Q537" i="3" s="1"/>
  <c r="M538" i="3"/>
  <c r="Q538" i="3" s="1"/>
  <c r="M539" i="3"/>
  <c r="Q539" i="3" s="1"/>
  <c r="M540" i="3"/>
  <c r="Q540" i="3" s="1"/>
  <c r="M541" i="3"/>
  <c r="Q541" i="3" s="1"/>
  <c r="M542" i="3"/>
  <c r="Q542" i="3" s="1"/>
  <c r="M543" i="3"/>
  <c r="Q543" i="3" s="1"/>
  <c r="M544" i="3"/>
  <c r="Q544" i="3" s="1"/>
  <c r="M545" i="3"/>
  <c r="Q545" i="3" s="1"/>
  <c r="M546" i="3"/>
  <c r="Q546" i="3" s="1"/>
  <c r="M547" i="3"/>
  <c r="Q547" i="3" s="1"/>
  <c r="M548" i="3"/>
  <c r="Q548" i="3" s="1"/>
  <c r="M549" i="3"/>
  <c r="Q549" i="3" s="1"/>
  <c r="M550" i="3"/>
  <c r="Q550" i="3" s="1"/>
  <c r="M551" i="3"/>
  <c r="Q551" i="3" s="1"/>
  <c r="M552" i="3"/>
  <c r="M553" i="3"/>
  <c r="Q553" i="3" s="1"/>
  <c r="M554" i="3"/>
  <c r="Q554" i="3" s="1"/>
  <c r="M555" i="3"/>
  <c r="Q555" i="3" s="1"/>
  <c r="M556" i="3"/>
  <c r="Q556" i="3" s="1"/>
  <c r="M557" i="3"/>
  <c r="Q557" i="3" s="1"/>
  <c r="M558" i="3"/>
  <c r="Q558" i="3" s="1"/>
  <c r="M559" i="3"/>
  <c r="Q559" i="3" s="1"/>
  <c r="M560" i="3"/>
  <c r="Q560" i="3" s="1"/>
  <c r="M561" i="3"/>
  <c r="Q561" i="3" s="1"/>
  <c r="M562" i="3"/>
  <c r="Q562" i="3" s="1"/>
  <c r="M563" i="3"/>
  <c r="Q563" i="3" s="1"/>
  <c r="M564" i="3"/>
  <c r="Q564" i="3" s="1"/>
  <c r="M565" i="3"/>
  <c r="Q565" i="3" s="1"/>
  <c r="M566" i="3"/>
  <c r="Q566" i="3" s="1"/>
  <c r="M567" i="3"/>
  <c r="P567" i="3" s="1"/>
  <c r="M568" i="3"/>
  <c r="Q568" i="3" s="1"/>
  <c r="M569" i="3"/>
  <c r="Q569" i="3" s="1"/>
  <c r="M570" i="3"/>
  <c r="Q570" i="3" s="1"/>
  <c r="M571" i="3"/>
  <c r="Q571" i="3" s="1"/>
  <c r="M572" i="3"/>
  <c r="Q572" i="3" s="1"/>
  <c r="M573" i="3"/>
  <c r="Q573" i="3" s="1"/>
  <c r="M574" i="3"/>
  <c r="Q574" i="3" s="1"/>
  <c r="M575" i="3"/>
  <c r="Q575" i="3" s="1"/>
  <c r="M576" i="3"/>
  <c r="Q576" i="3" s="1"/>
  <c r="M577" i="3"/>
  <c r="Q577" i="3" s="1"/>
  <c r="M578" i="3"/>
  <c r="Q578" i="3" s="1"/>
  <c r="M579" i="3"/>
  <c r="Q579" i="3" s="1"/>
  <c r="M580" i="3"/>
  <c r="Q580" i="3" s="1"/>
  <c r="M581" i="3"/>
  <c r="Q581" i="3" s="1"/>
  <c r="M582" i="3"/>
  <c r="Q582" i="3" s="1"/>
  <c r="M583" i="3"/>
  <c r="Q583" i="3" s="1"/>
  <c r="M584" i="3"/>
  <c r="M585" i="3"/>
  <c r="Q585" i="3" s="1"/>
  <c r="M586" i="3"/>
  <c r="Q586" i="3" s="1"/>
  <c r="M587" i="3"/>
  <c r="Q587" i="3" s="1"/>
  <c r="M588" i="3"/>
  <c r="Q588" i="3" s="1"/>
  <c r="M589" i="3"/>
  <c r="Q589" i="3" s="1"/>
  <c r="M590" i="3"/>
  <c r="Q590" i="3" s="1"/>
  <c r="M591" i="3"/>
  <c r="Q591" i="3" s="1"/>
  <c r="M592" i="3"/>
  <c r="Q592" i="3" s="1"/>
  <c r="M593" i="3"/>
  <c r="Q593" i="3" s="1"/>
  <c r="M594" i="3"/>
  <c r="Q594" i="3" s="1"/>
  <c r="M595" i="3"/>
  <c r="Q595" i="3" s="1"/>
  <c r="M596" i="3"/>
  <c r="Q596" i="3" s="1"/>
  <c r="M597" i="3"/>
  <c r="Q597" i="3" s="1"/>
  <c r="M598" i="3"/>
  <c r="M599" i="3"/>
  <c r="N599" i="3" s="1"/>
  <c r="M600" i="3"/>
  <c r="Q600" i="3" s="1"/>
  <c r="M601" i="3"/>
  <c r="Q601" i="3" s="1"/>
  <c r="M602" i="3"/>
  <c r="Q602" i="3" s="1"/>
  <c r="M603" i="3"/>
  <c r="Q603" i="3" s="1"/>
  <c r="M604" i="3"/>
  <c r="Q604" i="3" s="1"/>
  <c r="M605" i="3"/>
  <c r="Q605" i="3" s="1"/>
  <c r="M606" i="3"/>
  <c r="Q606" i="3" s="1"/>
  <c r="M607" i="3"/>
  <c r="Q607" i="3" s="1"/>
  <c r="M608" i="3"/>
  <c r="Q608" i="3" s="1"/>
  <c r="M609" i="3"/>
  <c r="Q609" i="3" s="1"/>
  <c r="M610" i="3"/>
  <c r="Q610" i="3" s="1"/>
  <c r="M611" i="3"/>
  <c r="Q611" i="3" s="1"/>
  <c r="M612" i="3"/>
  <c r="Q612" i="3" s="1"/>
  <c r="M613" i="3"/>
  <c r="Q613" i="3" s="1"/>
  <c r="M614" i="3"/>
  <c r="M615" i="3"/>
  <c r="Q615" i="3" s="1"/>
  <c r="M616" i="3"/>
  <c r="M617" i="3"/>
  <c r="Q617" i="3" s="1"/>
  <c r="M618" i="3"/>
  <c r="Q618" i="3" s="1"/>
  <c r="M619" i="3"/>
  <c r="Q619" i="3" s="1"/>
  <c r="M620" i="3"/>
  <c r="Q620" i="3" s="1"/>
  <c r="M621" i="3"/>
  <c r="Q621" i="3" s="1"/>
  <c r="M622" i="3"/>
  <c r="Q622" i="3" s="1"/>
  <c r="M623" i="3"/>
  <c r="Q623" i="3" s="1"/>
  <c r="M624" i="3"/>
  <c r="Q624" i="3" s="1"/>
  <c r="M625" i="3"/>
  <c r="Q625" i="3" s="1"/>
  <c r="M626" i="3"/>
  <c r="Q626" i="3" s="1"/>
  <c r="M627" i="3"/>
  <c r="Q627" i="3" s="1"/>
  <c r="M628" i="3"/>
  <c r="Q628" i="3" s="1"/>
  <c r="M629" i="3"/>
  <c r="Q629" i="3" s="1"/>
  <c r="M630" i="3"/>
  <c r="M631" i="3"/>
  <c r="N631" i="3" s="1"/>
  <c r="M632" i="3"/>
  <c r="Q632" i="3" s="1"/>
  <c r="M633" i="3"/>
  <c r="Q633" i="3" s="1"/>
  <c r="M634" i="3"/>
  <c r="Q634" i="3" s="1"/>
  <c r="M635" i="3"/>
  <c r="Q635" i="3" s="1"/>
  <c r="M636" i="3"/>
  <c r="Q636" i="3" s="1"/>
  <c r="M637" i="3"/>
  <c r="Q637" i="3" s="1"/>
  <c r="M638" i="3"/>
  <c r="Q638" i="3" s="1"/>
  <c r="M639" i="3"/>
  <c r="Q639" i="3" s="1"/>
  <c r="M640" i="3"/>
  <c r="Q640" i="3" s="1"/>
  <c r="M641" i="3"/>
  <c r="Q641" i="3" s="1"/>
  <c r="M642" i="3"/>
  <c r="Q642" i="3" s="1"/>
  <c r="M643" i="3"/>
  <c r="Q643" i="3" s="1"/>
  <c r="M644" i="3"/>
  <c r="Q644" i="3" s="1"/>
  <c r="M645" i="3"/>
  <c r="Q645" i="3" s="1"/>
  <c r="M646" i="3"/>
  <c r="M647" i="3"/>
  <c r="Q647" i="3" s="1"/>
  <c r="M648" i="3"/>
  <c r="M649" i="3"/>
  <c r="Q649" i="3" s="1"/>
  <c r="M650" i="3"/>
  <c r="Q650" i="3" s="1"/>
  <c r="M651" i="3"/>
  <c r="Q651" i="3" s="1"/>
  <c r="M652" i="3"/>
  <c r="Q652" i="3" s="1"/>
  <c r="M653" i="3"/>
  <c r="Q653" i="3" s="1"/>
  <c r="M654" i="3"/>
  <c r="Q654" i="3" s="1"/>
  <c r="M655" i="3"/>
  <c r="Q655" i="3" s="1"/>
  <c r="M656" i="3"/>
  <c r="Q656" i="3" s="1"/>
  <c r="M657" i="3"/>
  <c r="Q657" i="3" s="1"/>
  <c r="M658" i="3"/>
  <c r="Q658" i="3" s="1"/>
  <c r="M659" i="3"/>
  <c r="Q659" i="3" s="1"/>
  <c r="M660" i="3"/>
  <c r="Q660" i="3" s="1"/>
  <c r="M661" i="3"/>
  <c r="Q661" i="3" s="1"/>
  <c r="M662" i="3"/>
  <c r="M663" i="3"/>
  <c r="N663" i="3" s="1"/>
  <c r="M664" i="3"/>
  <c r="Q664" i="3" s="1"/>
  <c r="M665" i="3"/>
  <c r="Q665" i="3" s="1"/>
  <c r="M666" i="3"/>
  <c r="Q666" i="3" s="1"/>
  <c r="M667" i="3"/>
  <c r="Q667" i="3" s="1"/>
  <c r="M668" i="3"/>
  <c r="Q668" i="3" s="1"/>
  <c r="M669" i="3"/>
  <c r="Q669" i="3" s="1"/>
  <c r="M670" i="3"/>
  <c r="Q670" i="3" s="1"/>
  <c r="M671" i="3"/>
  <c r="Q671" i="3" s="1"/>
  <c r="M672" i="3"/>
  <c r="Q672" i="3" s="1"/>
  <c r="M673" i="3"/>
  <c r="Q673" i="3" s="1"/>
  <c r="M674" i="3"/>
  <c r="Q674" i="3" s="1"/>
  <c r="M675" i="3"/>
  <c r="Q675" i="3" s="1"/>
  <c r="M676" i="3"/>
  <c r="Q676" i="3" s="1"/>
  <c r="M677" i="3"/>
  <c r="Q677" i="3" s="1"/>
  <c r="M678" i="3"/>
  <c r="M679" i="3"/>
  <c r="Q679" i="3" s="1"/>
  <c r="M680" i="3"/>
  <c r="M681" i="3"/>
  <c r="Q681" i="3" s="1"/>
  <c r="M682" i="3"/>
  <c r="Q682" i="3" s="1"/>
  <c r="M683" i="3"/>
  <c r="Q683" i="3" s="1"/>
  <c r="M684" i="3"/>
  <c r="Q684" i="3" s="1"/>
  <c r="M685" i="3"/>
  <c r="Q685" i="3" s="1"/>
  <c r="M686" i="3"/>
  <c r="Q686" i="3" s="1"/>
  <c r="M687" i="3"/>
  <c r="Q687" i="3" s="1"/>
  <c r="M688" i="3"/>
  <c r="Q688" i="3" s="1"/>
  <c r="M689" i="3"/>
  <c r="Q689" i="3" s="1"/>
  <c r="M690" i="3"/>
  <c r="Q690" i="3" s="1"/>
  <c r="M691" i="3"/>
  <c r="Q691" i="3" s="1"/>
  <c r="M692" i="3"/>
  <c r="Q692" i="3" s="1"/>
  <c r="M693" i="3"/>
  <c r="Q693" i="3" s="1"/>
  <c r="M694" i="3"/>
  <c r="M695" i="3"/>
  <c r="N695" i="3" s="1"/>
  <c r="M696" i="3"/>
  <c r="Q696" i="3" s="1"/>
  <c r="M697" i="3"/>
  <c r="Q697" i="3" s="1"/>
  <c r="M698" i="3"/>
  <c r="Q698" i="3" s="1"/>
  <c r="M699" i="3"/>
  <c r="Q699" i="3" s="1"/>
  <c r="M700" i="3"/>
  <c r="Q700" i="3" s="1"/>
  <c r="M701" i="3"/>
  <c r="Q701" i="3" s="1"/>
  <c r="M702" i="3"/>
  <c r="Q702" i="3" s="1"/>
  <c r="M703" i="3"/>
  <c r="Q703" i="3" s="1"/>
  <c r="M704" i="3"/>
  <c r="Q704" i="3" s="1"/>
  <c r="M705" i="3"/>
  <c r="Q705" i="3" s="1"/>
  <c r="M706" i="3"/>
  <c r="Q706" i="3" s="1"/>
  <c r="M707" i="3"/>
  <c r="Q707" i="3" s="1"/>
  <c r="M708" i="3"/>
  <c r="Q708" i="3" s="1"/>
  <c r="M709" i="3"/>
  <c r="Q709" i="3" s="1"/>
  <c r="M710" i="3"/>
  <c r="M711" i="3"/>
  <c r="Q711" i="3" s="1"/>
  <c r="M712" i="3"/>
  <c r="M713" i="3"/>
  <c r="Q713" i="3" s="1"/>
  <c r="M714" i="3"/>
  <c r="Q714" i="3" s="1"/>
  <c r="M715" i="3"/>
  <c r="Q715" i="3" s="1"/>
  <c r="M716" i="3"/>
  <c r="Q716" i="3" s="1"/>
  <c r="M717" i="3"/>
  <c r="Q717" i="3" s="1"/>
  <c r="M718" i="3"/>
  <c r="Q718" i="3" s="1"/>
  <c r="M719" i="3"/>
  <c r="Q719" i="3" s="1"/>
  <c r="M720" i="3"/>
  <c r="Q720" i="3" s="1"/>
  <c r="M721" i="3"/>
  <c r="M722" i="3"/>
  <c r="Q722" i="3" s="1"/>
  <c r="M723" i="3"/>
  <c r="Q723" i="3" s="1"/>
  <c r="M724" i="3"/>
  <c r="Q724" i="3" s="1"/>
  <c r="M725" i="3"/>
  <c r="Q725" i="3" s="1"/>
  <c r="M726" i="3"/>
  <c r="Q726" i="3" s="1"/>
  <c r="M727" i="3"/>
  <c r="N727" i="3" s="1"/>
  <c r="M728" i="3"/>
  <c r="Q728" i="3" s="1"/>
  <c r="M729" i="3"/>
  <c r="Q729" i="3" s="1"/>
  <c r="M730" i="3"/>
  <c r="M731" i="3"/>
  <c r="Q731" i="3" s="1"/>
  <c r="M732" i="3"/>
  <c r="Q732" i="3" s="1"/>
  <c r="M733" i="3"/>
  <c r="Q733" i="3" s="1"/>
  <c r="M734" i="3"/>
  <c r="Q734" i="3" s="1"/>
  <c r="M735" i="3"/>
  <c r="Q735" i="3" s="1"/>
  <c r="M736" i="3"/>
  <c r="Q736" i="3" s="1"/>
  <c r="M737" i="3"/>
  <c r="Q737" i="3" s="1"/>
  <c r="M738" i="3"/>
  <c r="Q738" i="3" s="1"/>
  <c r="M739" i="3"/>
  <c r="Q739" i="3" s="1"/>
  <c r="M740" i="3"/>
  <c r="Q740" i="3" s="1"/>
  <c r="M741" i="3"/>
  <c r="Q741" i="3" s="1"/>
  <c r="M742" i="3"/>
  <c r="M743" i="3"/>
  <c r="Q743" i="3" s="1"/>
  <c r="M744" i="3"/>
  <c r="P744" i="3" s="1"/>
  <c r="M745" i="3"/>
  <c r="Q745" i="3" s="1"/>
  <c r="M746" i="3"/>
  <c r="Q746" i="3" s="1"/>
  <c r="M747" i="3"/>
  <c r="Q747" i="3" s="1"/>
  <c r="M748" i="3"/>
  <c r="Q748" i="3" s="1"/>
  <c r="M749" i="3"/>
  <c r="Q749" i="3" s="1"/>
  <c r="M750" i="3"/>
  <c r="Q750" i="3" s="1"/>
  <c r="M751" i="3"/>
  <c r="Q751" i="3" s="1"/>
  <c r="M752" i="3"/>
  <c r="Q752" i="3" s="1"/>
  <c r="M753" i="3"/>
  <c r="M754" i="3"/>
  <c r="Q754" i="3" s="1"/>
  <c r="M755" i="3"/>
  <c r="Q755" i="3" s="1"/>
  <c r="M756" i="3"/>
  <c r="Q756" i="3" s="1"/>
  <c r="M757" i="3"/>
  <c r="Q757" i="3" s="1"/>
  <c r="M758" i="3"/>
  <c r="Q758" i="3" s="1"/>
  <c r="M759" i="3"/>
  <c r="N759" i="3" s="1"/>
  <c r="M760" i="3"/>
  <c r="Q760" i="3" s="1"/>
  <c r="M761" i="3"/>
  <c r="Q761" i="3" s="1"/>
  <c r="M762" i="3"/>
  <c r="M763" i="3"/>
  <c r="Q763" i="3" s="1"/>
  <c r="M764" i="3"/>
  <c r="Q764" i="3" s="1"/>
  <c r="M765" i="3"/>
  <c r="Q765" i="3" s="1"/>
  <c r="M766" i="3"/>
  <c r="Q766" i="3" s="1"/>
  <c r="M767" i="3"/>
  <c r="Q767" i="3" s="1"/>
  <c r="M768" i="3"/>
  <c r="Q768" i="3" s="1"/>
  <c r="M769" i="3"/>
  <c r="Q769" i="3" s="1"/>
  <c r="M770" i="3"/>
  <c r="Q770" i="3" s="1"/>
  <c r="M771" i="3"/>
  <c r="Q771" i="3" s="1"/>
  <c r="M772" i="3"/>
  <c r="Q772" i="3" s="1"/>
  <c r="M773" i="3"/>
  <c r="Q773" i="3" s="1"/>
  <c r="M774" i="3"/>
  <c r="M775" i="3"/>
  <c r="Q775" i="3" s="1"/>
  <c r="M776" i="3"/>
  <c r="M777" i="3"/>
  <c r="Q777" i="3" s="1"/>
  <c r="M778" i="3"/>
  <c r="Q778" i="3" s="1"/>
  <c r="M779" i="3"/>
  <c r="Q779" i="3" s="1"/>
  <c r="M780" i="3"/>
  <c r="Q780" i="3" s="1"/>
  <c r="M781" i="3"/>
  <c r="Q781" i="3" s="1"/>
  <c r="M782" i="3"/>
  <c r="Q782" i="3" s="1"/>
  <c r="M783" i="3"/>
  <c r="Q783" i="3" s="1"/>
  <c r="M784" i="3"/>
  <c r="Q784" i="3" s="1"/>
  <c r="M785" i="3"/>
  <c r="M786" i="3"/>
  <c r="Q786" i="3" s="1"/>
  <c r="M787" i="3"/>
  <c r="Q787" i="3" s="1"/>
  <c r="M788" i="3"/>
  <c r="Q788" i="3" s="1"/>
  <c r="M789" i="3"/>
  <c r="Q789" i="3" s="1"/>
  <c r="M790" i="3"/>
  <c r="Q790" i="3" s="1"/>
  <c r="M791" i="3"/>
  <c r="N791" i="3" s="1"/>
  <c r="M792" i="3"/>
  <c r="Q792" i="3" s="1"/>
  <c r="M793" i="3"/>
  <c r="Q793" i="3" s="1"/>
  <c r="M794" i="3"/>
  <c r="M795" i="3"/>
  <c r="Q795" i="3" s="1"/>
  <c r="M796" i="3"/>
  <c r="Q796" i="3" s="1"/>
  <c r="M797" i="3"/>
  <c r="Q797" i="3" s="1"/>
  <c r="M798" i="3"/>
  <c r="Q798" i="3" s="1"/>
  <c r="M799" i="3"/>
  <c r="Q799" i="3" s="1"/>
  <c r="M800" i="3"/>
  <c r="Q800" i="3" s="1"/>
  <c r="M801" i="3"/>
  <c r="Q801" i="3" s="1"/>
  <c r="M802" i="3"/>
  <c r="Q802" i="3" s="1"/>
  <c r="M803" i="3"/>
  <c r="Q803" i="3" s="1"/>
  <c r="M804" i="3"/>
  <c r="Q804" i="3" s="1"/>
  <c r="M805" i="3"/>
  <c r="Q805" i="3" s="1"/>
  <c r="M806" i="3"/>
  <c r="M807" i="3"/>
  <c r="Q807" i="3" s="1"/>
  <c r="M808" i="3"/>
  <c r="M809" i="3"/>
  <c r="Q809" i="3" s="1"/>
  <c r="M810" i="3"/>
  <c r="Q810" i="3" s="1"/>
  <c r="M811" i="3"/>
  <c r="Q811" i="3" s="1"/>
  <c r="M812" i="3"/>
  <c r="Q812" i="3" s="1"/>
  <c r="M813" i="3"/>
  <c r="Q813" i="3" s="1"/>
  <c r="M814" i="3"/>
  <c r="Q814" i="3" s="1"/>
  <c r="M815" i="3"/>
  <c r="Q815" i="3" s="1"/>
  <c r="M816" i="3"/>
  <c r="Q816" i="3" s="1"/>
  <c r="M817" i="3"/>
  <c r="M818" i="3"/>
  <c r="Q818" i="3" s="1"/>
  <c r="M819" i="3"/>
  <c r="Q819" i="3" s="1"/>
  <c r="M820" i="3"/>
  <c r="Q820" i="3" s="1"/>
  <c r="M821" i="3"/>
  <c r="Q821" i="3" s="1"/>
  <c r="M822" i="3"/>
  <c r="Q822" i="3" s="1"/>
  <c r="M823" i="3"/>
  <c r="N823" i="3" s="1"/>
  <c r="M824" i="3"/>
  <c r="Q824" i="3" s="1"/>
  <c r="M825" i="3"/>
  <c r="Q825" i="3" s="1"/>
  <c r="M826" i="3"/>
  <c r="M827" i="3"/>
  <c r="Q827" i="3" s="1"/>
  <c r="M828" i="3"/>
  <c r="Q828" i="3" s="1"/>
  <c r="M829" i="3"/>
  <c r="Q829" i="3" s="1"/>
  <c r="M830" i="3"/>
  <c r="Q830" i="3" s="1"/>
  <c r="M831" i="3"/>
  <c r="Q831" i="3" s="1"/>
  <c r="M832" i="3"/>
  <c r="Q832" i="3" s="1"/>
  <c r="M833" i="3"/>
  <c r="Q833" i="3" s="1"/>
  <c r="M834" i="3"/>
  <c r="Q834" i="3" s="1"/>
  <c r="M835" i="3"/>
  <c r="Q835" i="3" s="1"/>
  <c r="M836" i="3"/>
  <c r="Q836" i="3" s="1"/>
  <c r="M837" i="3"/>
  <c r="Q837" i="3" s="1"/>
  <c r="M838" i="3"/>
  <c r="M839" i="3"/>
  <c r="Q839" i="3" s="1"/>
  <c r="M840" i="3"/>
  <c r="M841" i="3"/>
  <c r="Q841" i="3" s="1"/>
  <c r="M842" i="3"/>
  <c r="Q842" i="3" s="1"/>
  <c r="M843" i="3"/>
  <c r="Q843" i="3" s="1"/>
  <c r="M844" i="3"/>
  <c r="Q844" i="3" s="1"/>
  <c r="M845" i="3"/>
  <c r="Q845" i="3" s="1"/>
  <c r="M846" i="3"/>
  <c r="Q846" i="3" s="1"/>
  <c r="M847" i="3"/>
  <c r="Q847" i="3" s="1"/>
  <c r="M848" i="3"/>
  <c r="Q848" i="3" s="1"/>
  <c r="M849" i="3"/>
  <c r="M850" i="3"/>
  <c r="Q850" i="3" s="1"/>
  <c r="M851" i="3"/>
  <c r="Q851" i="3" s="1"/>
  <c r="M852" i="3"/>
  <c r="Q852" i="3" s="1"/>
  <c r="M853" i="3"/>
  <c r="Q853" i="3" s="1"/>
  <c r="M854" i="3"/>
  <c r="Q854" i="3" s="1"/>
  <c r="M855" i="3"/>
  <c r="N855" i="3" s="1"/>
  <c r="M856" i="3"/>
  <c r="Q856" i="3" s="1"/>
  <c r="M857" i="3"/>
  <c r="Q857" i="3" s="1"/>
  <c r="M858" i="3"/>
  <c r="M859" i="3"/>
  <c r="Q859" i="3" s="1"/>
  <c r="M860" i="3"/>
  <c r="Q860" i="3" s="1"/>
  <c r="M861" i="3"/>
  <c r="Q861" i="3" s="1"/>
  <c r="M862" i="3"/>
  <c r="Q862" i="3" s="1"/>
  <c r="M863" i="3"/>
  <c r="Q863" i="3" s="1"/>
  <c r="M864" i="3"/>
  <c r="Q864" i="3" s="1"/>
  <c r="M865" i="3"/>
  <c r="Q865" i="3" s="1"/>
  <c r="M866" i="3"/>
  <c r="Q866" i="3" s="1"/>
  <c r="M867" i="3"/>
  <c r="Q867" i="3" s="1"/>
  <c r="M868" i="3"/>
  <c r="Q868" i="3" s="1"/>
  <c r="M869" i="3"/>
  <c r="Q869" i="3" s="1"/>
  <c r="M870" i="3"/>
  <c r="M871" i="3"/>
  <c r="Q871" i="3" s="1"/>
  <c r="M872" i="3"/>
  <c r="P872" i="3" s="1"/>
  <c r="M873" i="3"/>
  <c r="Q873" i="3" s="1"/>
  <c r="M874" i="3"/>
  <c r="Q874" i="3" s="1"/>
  <c r="M875" i="3"/>
  <c r="Q875" i="3" s="1"/>
  <c r="M876" i="3"/>
  <c r="Q876" i="3" s="1"/>
  <c r="M877" i="3"/>
  <c r="Q877" i="3" s="1"/>
  <c r="M878" i="3"/>
  <c r="Q878" i="3" s="1"/>
  <c r="M879" i="3"/>
  <c r="Q879" i="3" s="1"/>
  <c r="M880" i="3"/>
  <c r="Q880" i="3" s="1"/>
  <c r="M881" i="3"/>
  <c r="M882" i="3"/>
  <c r="Q882" i="3" s="1"/>
  <c r="M883" i="3"/>
  <c r="Q883" i="3" s="1"/>
  <c r="M884" i="3"/>
  <c r="Q884" i="3" s="1"/>
  <c r="M885" i="3"/>
  <c r="Q885" i="3" s="1"/>
  <c r="M886" i="3"/>
  <c r="Q886" i="3" s="1"/>
  <c r="M887" i="3"/>
  <c r="N887" i="3" s="1"/>
  <c r="M888" i="3"/>
  <c r="Q888" i="3" s="1"/>
  <c r="M889" i="3"/>
  <c r="Q889" i="3" s="1"/>
  <c r="M890" i="3"/>
  <c r="M891" i="3"/>
  <c r="Q891" i="3" s="1"/>
  <c r="M892" i="3"/>
  <c r="Q892" i="3" s="1"/>
  <c r="M893" i="3"/>
  <c r="Q893" i="3" s="1"/>
  <c r="M894" i="3"/>
  <c r="Q894" i="3" s="1"/>
  <c r="M895" i="3"/>
  <c r="Q895" i="3" s="1"/>
  <c r="M896" i="3"/>
  <c r="Q896" i="3" s="1"/>
  <c r="M897" i="3"/>
  <c r="Q897" i="3" s="1"/>
  <c r="M898" i="3"/>
  <c r="Q898" i="3" s="1"/>
  <c r="M899" i="3"/>
  <c r="Q899" i="3" s="1"/>
  <c r="M900" i="3"/>
  <c r="Q900" i="3" s="1"/>
  <c r="M901" i="3"/>
  <c r="Q901" i="3" s="1"/>
  <c r="M902" i="3"/>
  <c r="M903" i="3"/>
  <c r="Q903" i="3" s="1"/>
  <c r="M904" i="3"/>
  <c r="M905" i="3"/>
  <c r="Q905" i="3" s="1"/>
  <c r="M906" i="3"/>
  <c r="Q906" i="3" s="1"/>
  <c r="M907" i="3"/>
  <c r="Q907" i="3" s="1"/>
  <c r="M908" i="3"/>
  <c r="Q908" i="3" s="1"/>
  <c r="N567" i="3" l="1"/>
  <c r="P791" i="3"/>
  <c r="P663" i="3"/>
  <c r="Q423" i="3"/>
  <c r="P535" i="3"/>
  <c r="Q456" i="3"/>
  <c r="Q439" i="3"/>
  <c r="N301" i="3"/>
  <c r="Q301" i="3"/>
  <c r="N269" i="3"/>
  <c r="Q269" i="3"/>
  <c r="N257" i="3"/>
  <c r="P257" i="3"/>
  <c r="N237" i="3"/>
  <c r="Q237" i="3"/>
  <c r="N205" i="3"/>
  <c r="Q205" i="3"/>
  <c r="N193" i="3"/>
  <c r="P193" i="3"/>
  <c r="N189" i="3"/>
  <c r="P189" i="3"/>
  <c r="Q189" i="3"/>
  <c r="N177" i="3"/>
  <c r="Q177" i="3"/>
  <c r="N157" i="3"/>
  <c r="Q157" i="3"/>
  <c r="N145" i="3"/>
  <c r="Q145" i="3"/>
  <c r="N113" i="3"/>
  <c r="Q113" i="3"/>
  <c r="N77" i="3"/>
  <c r="Q77" i="3"/>
  <c r="N65" i="3"/>
  <c r="P65" i="3"/>
  <c r="N45" i="3"/>
  <c r="Q45" i="3"/>
  <c r="N253" i="3"/>
  <c r="P253" i="3"/>
  <c r="Q253" i="3"/>
  <c r="N125" i="3"/>
  <c r="P125" i="3"/>
  <c r="Q125" i="3"/>
  <c r="N13" i="3"/>
  <c r="Q13" i="3"/>
  <c r="P289" i="3"/>
  <c r="Q225" i="3"/>
  <c r="N840" i="3"/>
  <c r="Q840" i="3"/>
  <c r="N712" i="3"/>
  <c r="Q712" i="3"/>
  <c r="N616" i="3"/>
  <c r="Q616" i="3"/>
  <c r="N552" i="3"/>
  <c r="Q552" i="3"/>
  <c r="P552" i="3"/>
  <c r="N488" i="3"/>
  <c r="Q488" i="3"/>
  <c r="N392" i="3"/>
  <c r="P392" i="3"/>
  <c r="P616" i="3"/>
  <c r="P157" i="3"/>
  <c r="Q321" i="3"/>
  <c r="Q193" i="3"/>
  <c r="Q65" i="3"/>
  <c r="N305" i="3"/>
  <c r="Q305" i="3"/>
  <c r="N285" i="3"/>
  <c r="Q285" i="3"/>
  <c r="N273" i="3"/>
  <c r="Q273" i="3"/>
  <c r="N241" i="3"/>
  <c r="Q241" i="3"/>
  <c r="N221" i="3"/>
  <c r="Q221" i="3"/>
  <c r="N209" i="3"/>
  <c r="Q209" i="3"/>
  <c r="N173" i="3"/>
  <c r="Q173" i="3"/>
  <c r="N141" i="3"/>
  <c r="Q141" i="3"/>
  <c r="N129" i="3"/>
  <c r="P129" i="3"/>
  <c r="N109" i="3"/>
  <c r="Q109" i="3"/>
  <c r="N93" i="3"/>
  <c r="Q93" i="3"/>
  <c r="N81" i="3"/>
  <c r="Q81" i="3"/>
  <c r="N61" i="3"/>
  <c r="P61" i="3"/>
  <c r="Q61" i="3"/>
  <c r="N49" i="3"/>
  <c r="Q49" i="3"/>
  <c r="N29" i="3"/>
  <c r="Q29" i="3"/>
  <c r="N17" i="3"/>
  <c r="Q17" i="3"/>
  <c r="P161" i="3"/>
  <c r="P33" i="3"/>
  <c r="Q97" i="3"/>
  <c r="N904" i="3"/>
  <c r="Q904" i="3"/>
  <c r="N872" i="3"/>
  <c r="Q872" i="3"/>
  <c r="N808" i="3"/>
  <c r="P808" i="3"/>
  <c r="Q808" i="3"/>
  <c r="N776" i="3"/>
  <c r="Q776" i="3"/>
  <c r="N744" i="3"/>
  <c r="Q744" i="3"/>
  <c r="N680" i="3"/>
  <c r="P680" i="3"/>
  <c r="Q680" i="3"/>
  <c r="N648" i="3"/>
  <c r="Q648" i="3"/>
  <c r="N584" i="3"/>
  <c r="Q584" i="3"/>
  <c r="N520" i="3"/>
  <c r="Q520" i="3"/>
  <c r="P225" i="3"/>
  <c r="P97" i="3"/>
  <c r="Q289" i="3"/>
  <c r="Q161" i="3"/>
  <c r="Q33" i="3"/>
  <c r="P855" i="3"/>
  <c r="P727" i="3"/>
  <c r="P599" i="3"/>
  <c r="P471" i="3"/>
  <c r="Q887" i="3"/>
  <c r="Q855" i="3"/>
  <c r="Q823" i="3"/>
  <c r="Q791" i="3"/>
  <c r="Q759" i="3"/>
  <c r="Q727" i="3"/>
  <c r="Q695" i="3"/>
  <c r="Q663" i="3"/>
  <c r="Q631" i="3"/>
  <c r="Q599" i="3"/>
  <c r="N908" i="3"/>
  <c r="P908" i="3"/>
  <c r="N900" i="3"/>
  <c r="P900" i="3"/>
  <c r="N896" i="3"/>
  <c r="P896" i="3"/>
  <c r="N892" i="3"/>
  <c r="P892" i="3"/>
  <c r="N888" i="3"/>
  <c r="P888" i="3"/>
  <c r="N884" i="3"/>
  <c r="P884" i="3"/>
  <c r="N880" i="3"/>
  <c r="P880" i="3"/>
  <c r="N876" i="3"/>
  <c r="P876" i="3"/>
  <c r="N868" i="3"/>
  <c r="P868" i="3"/>
  <c r="N864" i="3"/>
  <c r="P864" i="3"/>
  <c r="N860" i="3"/>
  <c r="P860" i="3"/>
  <c r="N856" i="3"/>
  <c r="P856" i="3"/>
  <c r="N852" i="3"/>
  <c r="P852" i="3"/>
  <c r="N848" i="3"/>
  <c r="P848" i="3"/>
  <c r="N844" i="3"/>
  <c r="P844" i="3"/>
  <c r="N836" i="3"/>
  <c r="P836" i="3"/>
  <c r="N832" i="3"/>
  <c r="P832" i="3"/>
  <c r="N828" i="3"/>
  <c r="P828" i="3"/>
  <c r="N824" i="3"/>
  <c r="P824" i="3"/>
  <c r="N820" i="3"/>
  <c r="P820" i="3"/>
  <c r="N816" i="3"/>
  <c r="P816" i="3"/>
  <c r="N812" i="3"/>
  <c r="P812" i="3"/>
  <c r="N804" i="3"/>
  <c r="P804" i="3"/>
  <c r="N800" i="3"/>
  <c r="P800" i="3"/>
  <c r="N796" i="3"/>
  <c r="P796" i="3"/>
  <c r="N792" i="3"/>
  <c r="P792" i="3"/>
  <c r="N788" i="3"/>
  <c r="P788" i="3"/>
  <c r="N784" i="3"/>
  <c r="P784" i="3"/>
  <c r="N780" i="3"/>
  <c r="P780" i="3"/>
  <c r="N772" i="3"/>
  <c r="P772" i="3"/>
  <c r="N768" i="3"/>
  <c r="P768" i="3"/>
  <c r="N764" i="3"/>
  <c r="P764" i="3"/>
  <c r="N760" i="3"/>
  <c r="P760" i="3"/>
  <c r="N756" i="3"/>
  <c r="P756" i="3"/>
  <c r="N752" i="3"/>
  <c r="P752" i="3"/>
  <c r="N748" i="3"/>
  <c r="P748" i="3"/>
  <c r="N740" i="3"/>
  <c r="P740" i="3"/>
  <c r="N736" i="3"/>
  <c r="P736" i="3"/>
  <c r="N732" i="3"/>
  <c r="P732" i="3"/>
  <c r="N728" i="3"/>
  <c r="P728" i="3"/>
  <c r="N724" i="3"/>
  <c r="P724" i="3"/>
  <c r="N720" i="3"/>
  <c r="P720" i="3"/>
  <c r="N716" i="3"/>
  <c r="P716" i="3"/>
  <c r="N708" i="3"/>
  <c r="P708" i="3"/>
  <c r="N704" i="3"/>
  <c r="P704" i="3"/>
  <c r="N700" i="3"/>
  <c r="P700" i="3"/>
  <c r="N696" i="3"/>
  <c r="P696" i="3"/>
  <c r="N692" i="3"/>
  <c r="P692" i="3"/>
  <c r="N688" i="3"/>
  <c r="P688" i="3"/>
  <c r="N684" i="3"/>
  <c r="P684" i="3"/>
  <c r="N676" i="3"/>
  <c r="P676" i="3"/>
  <c r="N672" i="3"/>
  <c r="P672" i="3"/>
  <c r="N668" i="3"/>
  <c r="P668" i="3"/>
  <c r="N664" i="3"/>
  <c r="P664" i="3"/>
  <c r="N660" i="3"/>
  <c r="P660" i="3"/>
  <c r="N656" i="3"/>
  <c r="P656" i="3"/>
  <c r="N652" i="3"/>
  <c r="P652" i="3"/>
  <c r="N644" i="3"/>
  <c r="P644" i="3"/>
  <c r="N640" i="3"/>
  <c r="P640" i="3"/>
  <c r="N636" i="3"/>
  <c r="P636" i="3"/>
  <c r="N632" i="3"/>
  <c r="P632" i="3"/>
  <c r="N628" i="3"/>
  <c r="P628" i="3"/>
  <c r="N624" i="3"/>
  <c r="P624" i="3"/>
  <c r="N620" i="3"/>
  <c r="P620" i="3"/>
  <c r="N612" i="3"/>
  <c r="P612" i="3"/>
  <c r="N608" i="3"/>
  <c r="P608" i="3"/>
  <c r="N604" i="3"/>
  <c r="P604" i="3"/>
  <c r="N600" i="3"/>
  <c r="P600" i="3"/>
  <c r="N596" i="3"/>
  <c r="P596" i="3"/>
  <c r="N592" i="3"/>
  <c r="P592" i="3"/>
  <c r="N588" i="3"/>
  <c r="P588" i="3"/>
  <c r="N580" i="3"/>
  <c r="P580" i="3"/>
  <c r="N576" i="3"/>
  <c r="P576" i="3"/>
  <c r="N572" i="3"/>
  <c r="P572" i="3"/>
  <c r="N568" i="3"/>
  <c r="P568" i="3"/>
  <c r="N564" i="3"/>
  <c r="P564" i="3"/>
  <c r="N560" i="3"/>
  <c r="P560" i="3"/>
  <c r="N556" i="3"/>
  <c r="P556" i="3"/>
  <c r="N548" i="3"/>
  <c r="P548" i="3"/>
  <c r="N544" i="3"/>
  <c r="P544" i="3"/>
  <c r="N540" i="3"/>
  <c r="P540" i="3"/>
  <c r="N536" i="3"/>
  <c r="P536" i="3"/>
  <c r="N532" i="3"/>
  <c r="P532" i="3"/>
  <c r="N528" i="3"/>
  <c r="P528" i="3"/>
  <c r="N524" i="3"/>
  <c r="P524" i="3"/>
  <c r="N516" i="3"/>
  <c r="P516" i="3"/>
  <c r="N512" i="3"/>
  <c r="P512" i="3"/>
  <c r="N508" i="3"/>
  <c r="P508" i="3"/>
  <c r="N504" i="3"/>
  <c r="P504" i="3"/>
  <c r="N500" i="3"/>
  <c r="P500" i="3"/>
  <c r="N496" i="3"/>
  <c r="P496" i="3"/>
  <c r="N492" i="3"/>
  <c r="P492" i="3"/>
  <c r="N484" i="3"/>
  <c r="P484" i="3"/>
  <c r="N480" i="3"/>
  <c r="P480" i="3"/>
  <c r="N476" i="3"/>
  <c r="P476" i="3"/>
  <c r="N472" i="3"/>
  <c r="P472" i="3"/>
  <c r="N468" i="3"/>
  <c r="P468" i="3"/>
  <c r="N464" i="3"/>
  <c r="P464" i="3"/>
  <c r="N460" i="3"/>
  <c r="P460" i="3"/>
  <c r="N452" i="3"/>
  <c r="P452" i="3"/>
  <c r="N448" i="3"/>
  <c r="P448" i="3"/>
  <c r="N444" i="3"/>
  <c r="P444" i="3"/>
  <c r="N440" i="3"/>
  <c r="P440" i="3"/>
  <c r="N436" i="3"/>
  <c r="P436" i="3"/>
  <c r="N432" i="3"/>
  <c r="P432" i="3"/>
  <c r="N428" i="3"/>
  <c r="P428" i="3"/>
  <c r="N424" i="3"/>
  <c r="P424" i="3"/>
  <c r="N420" i="3"/>
  <c r="P420" i="3"/>
  <c r="N416" i="3"/>
  <c r="P416" i="3"/>
  <c r="N412" i="3"/>
  <c r="P412" i="3"/>
  <c r="N408" i="3"/>
  <c r="P408" i="3"/>
  <c r="N404" i="3"/>
  <c r="P404" i="3"/>
  <c r="N400" i="3"/>
  <c r="P400" i="3"/>
  <c r="N396" i="3"/>
  <c r="P396" i="3"/>
  <c r="N388" i="3"/>
  <c r="P388" i="3"/>
  <c r="N384" i="3"/>
  <c r="P384" i="3"/>
  <c r="N380" i="3"/>
  <c r="P380" i="3"/>
  <c r="N376" i="3"/>
  <c r="P376" i="3"/>
  <c r="N372" i="3"/>
  <c r="P372" i="3"/>
  <c r="N368" i="3"/>
  <c r="P368" i="3"/>
  <c r="N364" i="3"/>
  <c r="P364" i="3"/>
  <c r="N360" i="3"/>
  <c r="P360" i="3"/>
  <c r="N356" i="3"/>
  <c r="P356" i="3"/>
  <c r="N352" i="3"/>
  <c r="P352" i="3"/>
  <c r="N348" i="3"/>
  <c r="P348" i="3"/>
  <c r="N344" i="3"/>
  <c r="P344" i="3"/>
  <c r="N340" i="3"/>
  <c r="P340" i="3"/>
  <c r="N336" i="3"/>
  <c r="P336" i="3"/>
  <c r="N332" i="3"/>
  <c r="P332" i="3"/>
  <c r="N328" i="3"/>
  <c r="P328" i="3"/>
  <c r="N324" i="3"/>
  <c r="P324" i="3"/>
  <c r="N320" i="3"/>
  <c r="P320" i="3"/>
  <c r="N316" i="3"/>
  <c r="P316" i="3"/>
  <c r="N312" i="3"/>
  <c r="P312" i="3"/>
  <c r="N308" i="3"/>
  <c r="P308" i="3"/>
  <c r="N304" i="3"/>
  <c r="P304" i="3"/>
  <c r="N300" i="3"/>
  <c r="P300" i="3"/>
  <c r="N296" i="3"/>
  <c r="P296" i="3"/>
  <c r="N292" i="3"/>
  <c r="P292" i="3"/>
  <c r="N288" i="3"/>
  <c r="P288" i="3"/>
  <c r="N284" i="3"/>
  <c r="P284" i="3"/>
  <c r="N280" i="3"/>
  <c r="P280" i="3"/>
  <c r="N276" i="3"/>
  <c r="P276" i="3"/>
  <c r="N272" i="3"/>
  <c r="P272" i="3"/>
  <c r="N268" i="3"/>
  <c r="P268" i="3"/>
  <c r="N264" i="3"/>
  <c r="P264" i="3"/>
  <c r="N260" i="3"/>
  <c r="P260" i="3"/>
  <c r="N256" i="3"/>
  <c r="P256" i="3"/>
  <c r="N252" i="3"/>
  <c r="P252" i="3"/>
  <c r="N248" i="3"/>
  <c r="P248" i="3"/>
  <c r="N244" i="3"/>
  <c r="P244" i="3"/>
  <c r="N240" i="3"/>
  <c r="P240" i="3"/>
  <c r="N236" i="3"/>
  <c r="P236" i="3"/>
  <c r="N232" i="3"/>
  <c r="P232" i="3"/>
  <c r="N228" i="3"/>
  <c r="P228" i="3"/>
  <c r="N224" i="3"/>
  <c r="P224" i="3"/>
  <c r="N220" i="3"/>
  <c r="P220" i="3"/>
  <c r="N216" i="3"/>
  <c r="P216" i="3"/>
  <c r="N212" i="3"/>
  <c r="P212" i="3"/>
  <c r="N208" i="3"/>
  <c r="P208" i="3"/>
  <c r="N204" i="3"/>
  <c r="P204" i="3"/>
  <c r="N200" i="3"/>
  <c r="P200" i="3"/>
  <c r="N196" i="3"/>
  <c r="P196" i="3"/>
  <c r="N192" i="3"/>
  <c r="P192" i="3"/>
  <c r="N188" i="3"/>
  <c r="P188" i="3"/>
  <c r="N184" i="3"/>
  <c r="P184" i="3"/>
  <c r="N180" i="3"/>
  <c r="P180" i="3"/>
  <c r="N176" i="3"/>
  <c r="P176" i="3"/>
  <c r="N172" i="3"/>
  <c r="P172" i="3"/>
  <c r="N168" i="3"/>
  <c r="P168" i="3"/>
  <c r="N164" i="3"/>
  <c r="P164" i="3"/>
  <c r="N160" i="3"/>
  <c r="P160" i="3"/>
  <c r="N156" i="3"/>
  <c r="P156" i="3"/>
  <c r="N152" i="3"/>
  <c r="P152" i="3"/>
  <c r="N148" i="3"/>
  <c r="P148" i="3"/>
  <c r="N144" i="3"/>
  <c r="P144" i="3"/>
  <c r="N140" i="3"/>
  <c r="P140" i="3"/>
  <c r="N136" i="3"/>
  <c r="P136" i="3"/>
  <c r="N132" i="3"/>
  <c r="P132" i="3"/>
  <c r="N128" i="3"/>
  <c r="P128" i="3"/>
  <c r="N124" i="3"/>
  <c r="P124" i="3"/>
  <c r="N120" i="3"/>
  <c r="P120" i="3"/>
  <c r="N116" i="3"/>
  <c r="P116" i="3"/>
  <c r="N112" i="3"/>
  <c r="P112" i="3"/>
  <c r="N108" i="3"/>
  <c r="P108" i="3"/>
  <c r="N104" i="3"/>
  <c r="P104" i="3"/>
  <c r="N100" i="3"/>
  <c r="P100" i="3"/>
  <c r="N96" i="3"/>
  <c r="P96" i="3"/>
  <c r="N92" i="3"/>
  <c r="P92" i="3"/>
  <c r="N88" i="3"/>
  <c r="P88" i="3"/>
  <c r="N84" i="3"/>
  <c r="P84" i="3"/>
  <c r="N80" i="3"/>
  <c r="P80" i="3"/>
  <c r="N76" i="3"/>
  <c r="P76" i="3"/>
  <c r="N72" i="3"/>
  <c r="P72" i="3"/>
  <c r="N68" i="3"/>
  <c r="P68" i="3"/>
  <c r="N64" i="3"/>
  <c r="P64" i="3"/>
  <c r="N60" i="3"/>
  <c r="P60" i="3"/>
  <c r="N56" i="3"/>
  <c r="P56" i="3"/>
  <c r="N52" i="3"/>
  <c r="P52" i="3"/>
  <c r="N907" i="3"/>
  <c r="P907" i="3"/>
  <c r="N903" i="3"/>
  <c r="P903" i="3"/>
  <c r="N899" i="3"/>
  <c r="P899" i="3"/>
  <c r="N895" i="3"/>
  <c r="P895" i="3"/>
  <c r="N891" i="3"/>
  <c r="P891" i="3"/>
  <c r="N883" i="3"/>
  <c r="P883" i="3"/>
  <c r="N879" i="3"/>
  <c r="P879" i="3"/>
  <c r="N875" i="3"/>
  <c r="P875" i="3"/>
  <c r="N871" i="3"/>
  <c r="P871" i="3"/>
  <c r="N867" i="3"/>
  <c r="P867" i="3"/>
  <c r="N863" i="3"/>
  <c r="P863" i="3"/>
  <c r="N859" i="3"/>
  <c r="P859" i="3"/>
  <c r="N851" i="3"/>
  <c r="P851" i="3"/>
  <c r="N847" i="3"/>
  <c r="P847" i="3"/>
  <c r="N843" i="3"/>
  <c r="P843" i="3"/>
  <c r="N839" i="3"/>
  <c r="P839" i="3"/>
  <c r="N835" i="3"/>
  <c r="P835" i="3"/>
  <c r="N831" i="3"/>
  <c r="P831" i="3"/>
  <c r="N827" i="3"/>
  <c r="P827" i="3"/>
  <c r="N819" i="3"/>
  <c r="P819" i="3"/>
  <c r="N815" i="3"/>
  <c r="P815" i="3"/>
  <c r="N811" i="3"/>
  <c r="P811" i="3"/>
  <c r="N807" i="3"/>
  <c r="P807" i="3"/>
  <c r="N803" i="3"/>
  <c r="P803" i="3"/>
  <c r="N799" i="3"/>
  <c r="P799" i="3"/>
  <c r="N795" i="3"/>
  <c r="P795" i="3"/>
  <c r="N787" i="3"/>
  <c r="P787" i="3"/>
  <c r="N783" i="3"/>
  <c r="P783" i="3"/>
  <c r="N779" i="3"/>
  <c r="P779" i="3"/>
  <c r="N775" i="3"/>
  <c r="P775" i="3"/>
  <c r="N771" i="3"/>
  <c r="P771" i="3"/>
  <c r="N767" i="3"/>
  <c r="P767" i="3"/>
  <c r="N763" i="3"/>
  <c r="P763" i="3"/>
  <c r="N755" i="3"/>
  <c r="P755" i="3"/>
  <c r="N751" i="3"/>
  <c r="P751" i="3"/>
  <c r="N747" i="3"/>
  <c r="P747" i="3"/>
  <c r="N743" i="3"/>
  <c r="P743" i="3"/>
  <c r="N739" i="3"/>
  <c r="P739" i="3"/>
  <c r="N735" i="3"/>
  <c r="P735" i="3"/>
  <c r="N731" i="3"/>
  <c r="P731" i="3"/>
  <c r="N723" i="3"/>
  <c r="P723" i="3"/>
  <c r="N719" i="3"/>
  <c r="P719" i="3"/>
  <c r="N715" i="3"/>
  <c r="P715" i="3"/>
  <c r="N711" i="3"/>
  <c r="P711" i="3"/>
  <c r="N707" i="3"/>
  <c r="P707" i="3"/>
  <c r="N703" i="3"/>
  <c r="P703" i="3"/>
  <c r="N699" i="3"/>
  <c r="P699" i="3"/>
  <c r="N691" i="3"/>
  <c r="P691" i="3"/>
  <c r="N687" i="3"/>
  <c r="P687" i="3"/>
  <c r="N683" i="3"/>
  <c r="P683" i="3"/>
  <c r="N679" i="3"/>
  <c r="P679" i="3"/>
  <c r="N675" i="3"/>
  <c r="P675" i="3"/>
  <c r="N671" i="3"/>
  <c r="P671" i="3"/>
  <c r="N667" i="3"/>
  <c r="P667" i="3"/>
  <c r="N659" i="3"/>
  <c r="P659" i="3"/>
  <c r="N655" i="3"/>
  <c r="P655" i="3"/>
  <c r="N651" i="3"/>
  <c r="P651" i="3"/>
  <c r="N647" i="3"/>
  <c r="P647" i="3"/>
  <c r="N643" i="3"/>
  <c r="P643" i="3"/>
  <c r="N639" i="3"/>
  <c r="P639" i="3"/>
  <c r="N635" i="3"/>
  <c r="P635" i="3"/>
  <c r="N627" i="3"/>
  <c r="P627" i="3"/>
  <c r="N623" i="3"/>
  <c r="P623" i="3"/>
  <c r="N619" i="3"/>
  <c r="P619" i="3"/>
  <c r="N615" i="3"/>
  <c r="P615" i="3"/>
  <c r="N611" i="3"/>
  <c r="P611" i="3"/>
  <c r="N607" i="3"/>
  <c r="P607" i="3"/>
  <c r="N603" i="3"/>
  <c r="P603" i="3"/>
  <c r="N595" i="3"/>
  <c r="P595" i="3"/>
  <c r="N591" i="3"/>
  <c r="P591" i="3"/>
  <c r="N587" i="3"/>
  <c r="P587" i="3"/>
  <c r="N583" i="3"/>
  <c r="P583" i="3"/>
  <c r="N579" i="3"/>
  <c r="P579" i="3"/>
  <c r="N575" i="3"/>
  <c r="P575" i="3"/>
  <c r="N571" i="3"/>
  <c r="P571" i="3"/>
  <c r="N563" i="3"/>
  <c r="P563" i="3"/>
  <c r="N559" i="3"/>
  <c r="P559" i="3"/>
  <c r="N555" i="3"/>
  <c r="P555" i="3"/>
  <c r="N551" i="3"/>
  <c r="P551" i="3"/>
  <c r="N547" i="3"/>
  <c r="P547" i="3"/>
  <c r="N543" i="3"/>
  <c r="P543" i="3"/>
  <c r="N539" i="3"/>
  <c r="P539" i="3"/>
  <c r="N531" i="3"/>
  <c r="P531" i="3"/>
  <c r="N527" i="3"/>
  <c r="P527" i="3"/>
  <c r="N523" i="3"/>
  <c r="P523" i="3"/>
  <c r="N519" i="3"/>
  <c r="P519" i="3"/>
  <c r="N515" i="3"/>
  <c r="P515" i="3"/>
  <c r="N511" i="3"/>
  <c r="P511" i="3"/>
  <c r="N507" i="3"/>
  <c r="P507" i="3"/>
  <c r="N499" i="3"/>
  <c r="P499" i="3"/>
  <c r="N495" i="3"/>
  <c r="P495" i="3"/>
  <c r="N491" i="3"/>
  <c r="P491" i="3"/>
  <c r="N487" i="3"/>
  <c r="P487" i="3"/>
  <c r="N483" i="3"/>
  <c r="P483" i="3"/>
  <c r="N479" i="3"/>
  <c r="P479" i="3"/>
  <c r="N475" i="3"/>
  <c r="P475" i="3"/>
  <c r="N467" i="3"/>
  <c r="P467" i="3"/>
  <c r="N463" i="3"/>
  <c r="P463" i="3"/>
  <c r="N459" i="3"/>
  <c r="P459" i="3"/>
  <c r="N455" i="3"/>
  <c r="P455" i="3"/>
  <c r="N451" i="3"/>
  <c r="P451" i="3"/>
  <c r="N447" i="3"/>
  <c r="P447" i="3"/>
  <c r="N443" i="3"/>
  <c r="P443" i="3"/>
  <c r="N435" i="3"/>
  <c r="P435" i="3"/>
  <c r="N431" i="3"/>
  <c r="P431" i="3"/>
  <c r="N427" i="3"/>
  <c r="P427" i="3"/>
  <c r="N419" i="3"/>
  <c r="P419" i="3"/>
  <c r="N415" i="3"/>
  <c r="P415" i="3"/>
  <c r="N411" i="3"/>
  <c r="P411" i="3"/>
  <c r="N407" i="3"/>
  <c r="P407" i="3"/>
  <c r="N403" i="3"/>
  <c r="P403" i="3"/>
  <c r="N399" i="3"/>
  <c r="P399" i="3"/>
  <c r="N395" i="3"/>
  <c r="P395" i="3"/>
  <c r="N391" i="3"/>
  <c r="P391" i="3"/>
  <c r="N387" i="3"/>
  <c r="P387" i="3"/>
  <c r="N383" i="3"/>
  <c r="P383" i="3"/>
  <c r="N379" i="3"/>
  <c r="P379" i="3"/>
  <c r="N375" i="3"/>
  <c r="P375" i="3"/>
  <c r="N371" i="3"/>
  <c r="P371" i="3"/>
  <c r="N367" i="3"/>
  <c r="P367" i="3"/>
  <c r="N363" i="3"/>
  <c r="P363" i="3"/>
  <c r="N359" i="3"/>
  <c r="P359" i="3"/>
  <c r="N355" i="3"/>
  <c r="P355" i="3"/>
  <c r="N351" i="3"/>
  <c r="P351" i="3"/>
  <c r="N347" i="3"/>
  <c r="P347" i="3"/>
  <c r="N343" i="3"/>
  <c r="P343" i="3"/>
  <c r="N339" i="3"/>
  <c r="P339" i="3"/>
  <c r="N335" i="3"/>
  <c r="P335" i="3"/>
  <c r="N331" i="3"/>
  <c r="P331" i="3"/>
  <c r="N327" i="3"/>
  <c r="P327" i="3"/>
  <c r="N323" i="3"/>
  <c r="P323" i="3"/>
  <c r="N319" i="3"/>
  <c r="P319" i="3"/>
  <c r="N315" i="3"/>
  <c r="P315" i="3"/>
  <c r="N311" i="3"/>
  <c r="P311" i="3"/>
  <c r="N307" i="3"/>
  <c r="P307" i="3"/>
  <c r="N303" i="3"/>
  <c r="P303" i="3"/>
  <c r="N299" i="3"/>
  <c r="P299" i="3"/>
  <c r="N295" i="3"/>
  <c r="P295" i="3"/>
  <c r="N291" i="3"/>
  <c r="P291" i="3"/>
  <c r="N287" i="3"/>
  <c r="P287" i="3"/>
  <c r="N283" i="3"/>
  <c r="P283" i="3"/>
  <c r="N279" i="3"/>
  <c r="P279" i="3"/>
  <c r="N275" i="3"/>
  <c r="P275" i="3"/>
  <c r="N271" i="3"/>
  <c r="P271" i="3"/>
  <c r="N267" i="3"/>
  <c r="P267" i="3"/>
  <c r="N263" i="3"/>
  <c r="P263" i="3"/>
  <c r="N259" i="3"/>
  <c r="P259" i="3"/>
  <c r="N255" i="3"/>
  <c r="P255" i="3"/>
  <c r="N251" i="3"/>
  <c r="P251" i="3"/>
  <c r="N247" i="3"/>
  <c r="P247" i="3"/>
  <c r="N243" i="3"/>
  <c r="P243" i="3"/>
  <c r="N239" i="3"/>
  <c r="P239" i="3"/>
  <c r="N235" i="3"/>
  <c r="P235" i="3"/>
  <c r="N231" i="3"/>
  <c r="P231" i="3"/>
  <c r="N227" i="3"/>
  <c r="P227" i="3"/>
  <c r="N223" i="3"/>
  <c r="P223" i="3"/>
  <c r="N219" i="3"/>
  <c r="P219" i="3"/>
  <c r="N215" i="3"/>
  <c r="P215" i="3"/>
  <c r="N211" i="3"/>
  <c r="P211" i="3"/>
  <c r="N207" i="3"/>
  <c r="P207" i="3"/>
  <c r="N203" i="3"/>
  <c r="P203" i="3"/>
  <c r="N423" i="3"/>
  <c r="P904" i="3"/>
  <c r="P840" i="3"/>
  <c r="P776" i="3"/>
  <c r="P712" i="3"/>
  <c r="P648" i="3"/>
  <c r="P584" i="3"/>
  <c r="P520" i="3"/>
  <c r="P456" i="3"/>
  <c r="P887" i="3"/>
  <c r="P823" i="3"/>
  <c r="P759" i="3"/>
  <c r="P695" i="3"/>
  <c r="P631" i="3"/>
  <c r="P503" i="3"/>
  <c r="P439" i="3"/>
  <c r="N905" i="3"/>
  <c r="P905" i="3"/>
  <c r="N901" i="3"/>
  <c r="P901" i="3"/>
  <c r="N897" i="3"/>
  <c r="P897" i="3"/>
  <c r="N893" i="3"/>
  <c r="P893" i="3"/>
  <c r="N889" i="3"/>
  <c r="P889" i="3"/>
  <c r="N885" i="3"/>
  <c r="P885" i="3"/>
  <c r="N881" i="3"/>
  <c r="P881" i="3"/>
  <c r="N877" i="3"/>
  <c r="P877" i="3"/>
  <c r="N873" i="3"/>
  <c r="P873" i="3"/>
  <c r="N869" i="3"/>
  <c r="P869" i="3"/>
  <c r="N865" i="3"/>
  <c r="P865" i="3"/>
  <c r="N861" i="3"/>
  <c r="P861" i="3"/>
  <c r="N857" i="3"/>
  <c r="P857" i="3"/>
  <c r="N853" i="3"/>
  <c r="P853" i="3"/>
  <c r="N849" i="3"/>
  <c r="P849" i="3"/>
  <c r="N845" i="3"/>
  <c r="P845" i="3"/>
  <c r="N841" i="3"/>
  <c r="P841" i="3"/>
  <c r="N837" i="3"/>
  <c r="P837" i="3"/>
  <c r="N833" i="3"/>
  <c r="P833" i="3"/>
  <c r="N829" i="3"/>
  <c r="P829" i="3"/>
  <c r="N825" i="3"/>
  <c r="P825" i="3"/>
  <c r="N821" i="3"/>
  <c r="P821" i="3"/>
  <c r="N817" i="3"/>
  <c r="P817" i="3"/>
  <c r="N813" i="3"/>
  <c r="P813" i="3"/>
  <c r="N809" i="3"/>
  <c r="P809" i="3"/>
  <c r="N805" i="3"/>
  <c r="P805" i="3"/>
  <c r="N801" i="3"/>
  <c r="P801" i="3"/>
  <c r="N797" i="3"/>
  <c r="P797" i="3"/>
  <c r="N793" i="3"/>
  <c r="P793" i="3"/>
  <c r="N789" i="3"/>
  <c r="P789" i="3"/>
  <c r="N785" i="3"/>
  <c r="P785" i="3"/>
  <c r="N781" i="3"/>
  <c r="P781" i="3"/>
  <c r="N777" i="3"/>
  <c r="P777" i="3"/>
  <c r="N773" i="3"/>
  <c r="P773" i="3"/>
  <c r="N769" i="3"/>
  <c r="P769" i="3"/>
  <c r="N765" i="3"/>
  <c r="P765" i="3"/>
  <c r="N761" i="3"/>
  <c r="P761" i="3"/>
  <c r="N757" i="3"/>
  <c r="P757" i="3"/>
  <c r="N753" i="3"/>
  <c r="P753" i="3"/>
  <c r="N749" i="3"/>
  <c r="P749" i="3"/>
  <c r="N745" i="3"/>
  <c r="P745" i="3"/>
  <c r="N741" i="3"/>
  <c r="P741" i="3"/>
  <c r="N737" i="3"/>
  <c r="P737" i="3"/>
  <c r="N733" i="3"/>
  <c r="P733" i="3"/>
  <c r="N729" i="3"/>
  <c r="P729" i="3"/>
  <c r="N725" i="3"/>
  <c r="P725" i="3"/>
  <c r="N721" i="3"/>
  <c r="P721" i="3"/>
  <c r="N717" i="3"/>
  <c r="P717" i="3"/>
  <c r="N713" i="3"/>
  <c r="P713" i="3"/>
  <c r="N709" i="3"/>
  <c r="P709" i="3"/>
  <c r="N705" i="3"/>
  <c r="P705" i="3"/>
  <c r="N701" i="3"/>
  <c r="P701" i="3"/>
  <c r="N697" i="3"/>
  <c r="P697" i="3"/>
  <c r="N693" i="3"/>
  <c r="P693" i="3"/>
  <c r="N689" i="3"/>
  <c r="P689" i="3"/>
  <c r="N685" i="3"/>
  <c r="P685" i="3"/>
  <c r="N681" i="3"/>
  <c r="P681" i="3"/>
  <c r="N677" i="3"/>
  <c r="P677" i="3"/>
  <c r="N673" i="3"/>
  <c r="P673" i="3"/>
  <c r="N669" i="3"/>
  <c r="P669" i="3"/>
  <c r="N665" i="3"/>
  <c r="P665" i="3"/>
  <c r="N661" i="3"/>
  <c r="P661" i="3"/>
  <c r="N657" i="3"/>
  <c r="P657" i="3"/>
  <c r="N653" i="3"/>
  <c r="P653" i="3"/>
  <c r="N649" i="3"/>
  <c r="P649" i="3"/>
  <c r="N645" i="3"/>
  <c r="P645" i="3"/>
  <c r="N641" i="3"/>
  <c r="P641" i="3"/>
  <c r="N637" i="3"/>
  <c r="P637" i="3"/>
  <c r="N633" i="3"/>
  <c r="P633" i="3"/>
  <c r="N629" i="3"/>
  <c r="P629" i="3"/>
  <c r="N625" i="3"/>
  <c r="P625" i="3"/>
  <c r="N621" i="3"/>
  <c r="P621" i="3"/>
  <c r="N617" i="3"/>
  <c r="P617" i="3"/>
  <c r="N613" i="3"/>
  <c r="P613" i="3"/>
  <c r="N609" i="3"/>
  <c r="P609" i="3"/>
  <c r="N605" i="3"/>
  <c r="P605" i="3"/>
  <c r="N601" i="3"/>
  <c r="P601" i="3"/>
  <c r="N597" i="3"/>
  <c r="P597" i="3"/>
  <c r="N593" i="3"/>
  <c r="P593" i="3"/>
  <c r="N589" i="3"/>
  <c r="P589" i="3"/>
  <c r="N585" i="3"/>
  <c r="P585" i="3"/>
  <c r="N581" i="3"/>
  <c r="P581" i="3"/>
  <c r="N577" i="3"/>
  <c r="P577" i="3"/>
  <c r="N573" i="3"/>
  <c r="P573" i="3"/>
  <c r="N569" i="3"/>
  <c r="P569" i="3"/>
  <c r="N565" i="3"/>
  <c r="P565" i="3"/>
  <c r="N561" i="3"/>
  <c r="P561" i="3"/>
  <c r="N557" i="3"/>
  <c r="P557" i="3"/>
  <c r="N553" i="3"/>
  <c r="P553" i="3"/>
  <c r="N549" i="3"/>
  <c r="P549" i="3"/>
  <c r="N545" i="3"/>
  <c r="P545" i="3"/>
  <c r="N541" i="3"/>
  <c r="P541" i="3"/>
  <c r="N537" i="3"/>
  <c r="P537" i="3"/>
  <c r="N533" i="3"/>
  <c r="P533" i="3"/>
  <c r="N529" i="3"/>
  <c r="P529" i="3"/>
  <c r="N525" i="3"/>
  <c r="P525" i="3"/>
  <c r="N521" i="3"/>
  <c r="P521" i="3"/>
  <c r="N517" i="3"/>
  <c r="P517" i="3"/>
  <c r="N513" i="3"/>
  <c r="P513" i="3"/>
  <c r="N509" i="3"/>
  <c r="P509" i="3"/>
  <c r="N505" i="3"/>
  <c r="P505" i="3"/>
  <c r="N501" i="3"/>
  <c r="P501" i="3"/>
  <c r="N497" i="3"/>
  <c r="P497" i="3"/>
  <c r="N493" i="3"/>
  <c r="P493" i="3"/>
  <c r="N489" i="3"/>
  <c r="P489" i="3"/>
  <c r="N485" i="3"/>
  <c r="P485" i="3"/>
  <c r="N481" i="3"/>
  <c r="P481" i="3"/>
  <c r="N477" i="3"/>
  <c r="P477" i="3"/>
  <c r="N473" i="3"/>
  <c r="P473" i="3"/>
  <c r="N469" i="3"/>
  <c r="P469" i="3"/>
  <c r="N465" i="3"/>
  <c r="P465" i="3"/>
  <c r="N461" i="3"/>
  <c r="P461" i="3"/>
  <c r="N457" i="3"/>
  <c r="P457" i="3"/>
  <c r="N453" i="3"/>
  <c r="P453" i="3"/>
  <c r="N449" i="3"/>
  <c r="P449" i="3"/>
  <c r="N445" i="3"/>
  <c r="P445" i="3"/>
  <c r="N441" i="3"/>
  <c r="P441" i="3"/>
  <c r="N437" i="3"/>
  <c r="P437" i="3"/>
  <c r="N433" i="3"/>
  <c r="P433" i="3"/>
  <c r="N429" i="3"/>
  <c r="P429" i="3"/>
  <c r="N425" i="3"/>
  <c r="P425" i="3"/>
  <c r="N421" i="3"/>
  <c r="P421" i="3"/>
  <c r="N417" i="3"/>
  <c r="P417" i="3"/>
  <c r="N413" i="3"/>
  <c r="P413" i="3"/>
  <c r="N409" i="3"/>
  <c r="P409" i="3"/>
  <c r="N405" i="3"/>
  <c r="P405" i="3"/>
  <c r="N401" i="3"/>
  <c r="P401" i="3"/>
  <c r="N397" i="3"/>
  <c r="P397" i="3"/>
  <c r="N393" i="3"/>
  <c r="P393" i="3"/>
  <c r="N389" i="3"/>
  <c r="P389" i="3"/>
  <c r="N385" i="3"/>
  <c r="P385" i="3"/>
  <c r="N381" i="3"/>
  <c r="P381" i="3"/>
  <c r="N377" i="3"/>
  <c r="P377" i="3"/>
  <c r="N373" i="3"/>
  <c r="P373" i="3"/>
  <c r="N369" i="3"/>
  <c r="P369" i="3"/>
  <c r="N365" i="3"/>
  <c r="P365" i="3"/>
  <c r="N361" i="3"/>
  <c r="P361" i="3"/>
  <c r="N357" i="3"/>
  <c r="P357" i="3"/>
  <c r="N353" i="3"/>
  <c r="P353" i="3"/>
  <c r="N349" i="3"/>
  <c r="P349" i="3"/>
  <c r="N345" i="3"/>
  <c r="P345" i="3"/>
  <c r="N341" i="3"/>
  <c r="P341" i="3"/>
  <c r="N337" i="3"/>
  <c r="P337" i="3"/>
  <c r="N333" i="3"/>
  <c r="P333" i="3"/>
  <c r="N329" i="3"/>
  <c r="P329" i="3"/>
  <c r="N325" i="3"/>
  <c r="P325" i="3"/>
  <c r="N317" i="3"/>
  <c r="P317" i="3"/>
  <c r="N313" i="3"/>
  <c r="P313" i="3"/>
  <c r="P321" i="3"/>
  <c r="N199" i="3"/>
  <c r="P199" i="3"/>
  <c r="N195" i="3"/>
  <c r="P195" i="3"/>
  <c r="N191" i="3"/>
  <c r="P191" i="3"/>
  <c r="N187" i="3"/>
  <c r="P187" i="3"/>
  <c r="N183" i="3"/>
  <c r="P183" i="3"/>
  <c r="N179" i="3"/>
  <c r="P179" i="3"/>
  <c r="N175" i="3"/>
  <c r="P175" i="3"/>
  <c r="N171" i="3"/>
  <c r="P171" i="3"/>
  <c r="N167" i="3"/>
  <c r="P167" i="3"/>
  <c r="N163" i="3"/>
  <c r="P163" i="3"/>
  <c r="N159" i="3"/>
  <c r="P159" i="3"/>
  <c r="N155" i="3"/>
  <c r="P155" i="3"/>
  <c r="N151" i="3"/>
  <c r="P151" i="3"/>
  <c r="N147" i="3"/>
  <c r="P147" i="3"/>
  <c r="N143" i="3"/>
  <c r="P143" i="3"/>
  <c r="N139" i="3"/>
  <c r="P139" i="3"/>
  <c r="N135" i="3"/>
  <c r="P135" i="3"/>
  <c r="N131" i="3"/>
  <c r="P131" i="3"/>
  <c r="N127" i="3"/>
  <c r="P127" i="3"/>
  <c r="N123" i="3"/>
  <c r="P123" i="3"/>
  <c r="N119" i="3"/>
  <c r="P119" i="3"/>
  <c r="N115" i="3"/>
  <c r="P115" i="3"/>
  <c r="N111" i="3"/>
  <c r="P111" i="3"/>
  <c r="N107" i="3"/>
  <c r="P107" i="3"/>
  <c r="N103" i="3"/>
  <c r="P103" i="3"/>
  <c r="N99" i="3"/>
  <c r="P99" i="3"/>
  <c r="N95" i="3"/>
  <c r="P95" i="3"/>
  <c r="N91" i="3"/>
  <c r="P91" i="3"/>
  <c r="N87" i="3"/>
  <c r="P87" i="3"/>
  <c r="N83" i="3"/>
  <c r="P83" i="3"/>
  <c r="N79" i="3"/>
  <c r="P79" i="3"/>
  <c r="N75" i="3"/>
  <c r="P75" i="3"/>
  <c r="N71" i="3"/>
  <c r="P71" i="3"/>
  <c r="N67" i="3"/>
  <c r="P67" i="3"/>
  <c r="N63" i="3"/>
  <c r="P63" i="3"/>
  <c r="N59" i="3"/>
  <c r="P59" i="3"/>
  <c r="N55" i="3"/>
  <c r="P55" i="3"/>
  <c r="N51" i="3"/>
  <c r="P51" i="3"/>
  <c r="N47" i="3"/>
  <c r="P47" i="3"/>
  <c r="N43" i="3"/>
  <c r="P43" i="3"/>
  <c r="N39" i="3"/>
  <c r="P39" i="3"/>
  <c r="N35" i="3"/>
  <c r="P35" i="3"/>
  <c r="N31" i="3"/>
  <c r="P31" i="3"/>
  <c r="N27" i="3"/>
  <c r="P27" i="3"/>
  <c r="N23" i="3"/>
  <c r="P23" i="3"/>
  <c r="N19" i="3"/>
  <c r="P19" i="3"/>
  <c r="N15" i="3"/>
  <c r="P15" i="3"/>
  <c r="N11" i="3"/>
  <c r="P11" i="3"/>
  <c r="N7" i="3"/>
  <c r="P7" i="3"/>
  <c r="N3" i="3"/>
  <c r="P3" i="3"/>
  <c r="N906" i="3"/>
  <c r="P906" i="3"/>
  <c r="N902" i="3"/>
  <c r="P902" i="3"/>
  <c r="N898" i="3"/>
  <c r="P898" i="3"/>
  <c r="N894" i="3"/>
  <c r="P894" i="3"/>
  <c r="N890" i="3"/>
  <c r="P890" i="3"/>
  <c r="N886" i="3"/>
  <c r="P886" i="3"/>
  <c r="N882" i="3"/>
  <c r="P882" i="3"/>
  <c r="N878" i="3"/>
  <c r="P878" i="3"/>
  <c r="N874" i="3"/>
  <c r="P874" i="3"/>
  <c r="N870" i="3"/>
  <c r="P870" i="3"/>
  <c r="N866" i="3"/>
  <c r="P866" i="3"/>
  <c r="N862" i="3"/>
  <c r="P862" i="3"/>
  <c r="N858" i="3"/>
  <c r="P858" i="3"/>
  <c r="N854" i="3"/>
  <c r="P854" i="3"/>
  <c r="N850" i="3"/>
  <c r="P850" i="3"/>
  <c r="N846" i="3"/>
  <c r="P846" i="3"/>
  <c r="N842" i="3"/>
  <c r="P842" i="3"/>
  <c r="N838" i="3"/>
  <c r="P838" i="3"/>
  <c r="N834" i="3"/>
  <c r="P834" i="3"/>
  <c r="N830" i="3"/>
  <c r="P830" i="3"/>
  <c r="N826" i="3"/>
  <c r="P826" i="3"/>
  <c r="N822" i="3"/>
  <c r="P822" i="3"/>
  <c r="N818" i="3"/>
  <c r="P818" i="3"/>
  <c r="N814" i="3"/>
  <c r="P814" i="3"/>
  <c r="N810" i="3"/>
  <c r="P810" i="3"/>
  <c r="N806" i="3"/>
  <c r="P806" i="3"/>
  <c r="N802" i="3"/>
  <c r="P802" i="3"/>
  <c r="N798" i="3"/>
  <c r="P798" i="3"/>
  <c r="N794" i="3"/>
  <c r="P794" i="3"/>
  <c r="N790" i="3"/>
  <c r="P790" i="3"/>
  <c r="N786" i="3"/>
  <c r="P786" i="3"/>
  <c r="N782" i="3"/>
  <c r="P782" i="3"/>
  <c r="N778" i="3"/>
  <c r="P778" i="3"/>
  <c r="N774" i="3"/>
  <c r="P774" i="3"/>
  <c r="N770" i="3"/>
  <c r="P770" i="3"/>
  <c r="N766" i="3"/>
  <c r="P766" i="3"/>
  <c r="N762" i="3"/>
  <c r="P762" i="3"/>
  <c r="N758" i="3"/>
  <c r="P758" i="3"/>
  <c r="N754" i="3"/>
  <c r="P754" i="3"/>
  <c r="N750" i="3"/>
  <c r="P750" i="3"/>
  <c r="N746" i="3"/>
  <c r="P746" i="3"/>
  <c r="N742" i="3"/>
  <c r="P742" i="3"/>
  <c r="N738" i="3"/>
  <c r="P738" i="3"/>
  <c r="N734" i="3"/>
  <c r="P734" i="3"/>
  <c r="N730" i="3"/>
  <c r="P730" i="3"/>
  <c r="N726" i="3"/>
  <c r="P726" i="3"/>
  <c r="N722" i="3"/>
  <c r="P722" i="3"/>
  <c r="N718" i="3"/>
  <c r="P718" i="3"/>
  <c r="N714" i="3"/>
  <c r="P714" i="3"/>
  <c r="N710" i="3"/>
  <c r="P710" i="3"/>
  <c r="N706" i="3"/>
  <c r="P706" i="3"/>
  <c r="N702" i="3"/>
  <c r="P702" i="3"/>
  <c r="N698" i="3"/>
  <c r="P698" i="3"/>
  <c r="N694" i="3"/>
  <c r="P694" i="3"/>
  <c r="N690" i="3"/>
  <c r="P690" i="3"/>
  <c r="N686" i="3"/>
  <c r="P686" i="3"/>
  <c r="N682" i="3"/>
  <c r="P682" i="3"/>
  <c r="N678" i="3"/>
  <c r="P678" i="3"/>
  <c r="N674" i="3"/>
  <c r="P674" i="3"/>
  <c r="N670" i="3"/>
  <c r="P670" i="3"/>
  <c r="N666" i="3"/>
  <c r="P666" i="3"/>
  <c r="N662" i="3"/>
  <c r="P662" i="3"/>
  <c r="N658" i="3"/>
  <c r="P658" i="3"/>
  <c r="N654" i="3"/>
  <c r="P654" i="3"/>
  <c r="N650" i="3"/>
  <c r="P650" i="3"/>
  <c r="N646" i="3"/>
  <c r="P646" i="3"/>
  <c r="N642" i="3"/>
  <c r="P642" i="3"/>
  <c r="N638" i="3"/>
  <c r="P638" i="3"/>
  <c r="N634" i="3"/>
  <c r="P634" i="3"/>
  <c r="N630" i="3"/>
  <c r="P630" i="3"/>
  <c r="N626" i="3"/>
  <c r="P626" i="3"/>
  <c r="N622" i="3"/>
  <c r="P622" i="3"/>
  <c r="N618" i="3"/>
  <c r="P618" i="3"/>
  <c r="N614" i="3"/>
  <c r="P614" i="3"/>
  <c r="N610" i="3"/>
  <c r="P610" i="3"/>
  <c r="N606" i="3"/>
  <c r="P606" i="3"/>
  <c r="N602" i="3"/>
  <c r="P602" i="3"/>
  <c r="N598" i="3"/>
  <c r="P598" i="3"/>
  <c r="N594" i="3"/>
  <c r="P594" i="3"/>
  <c r="N590" i="3"/>
  <c r="P590" i="3"/>
  <c r="N586" i="3"/>
  <c r="P586" i="3"/>
  <c r="N582" i="3"/>
  <c r="P582" i="3"/>
  <c r="N578" i="3"/>
  <c r="P578" i="3"/>
  <c r="N574" i="3"/>
  <c r="P574" i="3"/>
  <c r="N570" i="3"/>
  <c r="P570" i="3"/>
  <c r="N566" i="3"/>
  <c r="P566" i="3"/>
  <c r="N562" i="3"/>
  <c r="P562" i="3"/>
  <c r="N558" i="3"/>
  <c r="P558" i="3"/>
  <c r="N554" i="3"/>
  <c r="P554" i="3"/>
  <c r="N550" i="3"/>
  <c r="P550" i="3"/>
  <c r="N546" i="3"/>
  <c r="P546" i="3"/>
  <c r="N542" i="3"/>
  <c r="P542" i="3"/>
  <c r="N538" i="3"/>
  <c r="P538" i="3"/>
  <c r="N534" i="3"/>
  <c r="P534" i="3"/>
  <c r="N530" i="3"/>
  <c r="P530" i="3"/>
  <c r="N526" i="3"/>
  <c r="P526" i="3"/>
  <c r="N522" i="3"/>
  <c r="P522" i="3"/>
  <c r="N518" i="3"/>
  <c r="P518" i="3"/>
  <c r="N514" i="3"/>
  <c r="P514" i="3"/>
  <c r="N510" i="3"/>
  <c r="P510" i="3"/>
  <c r="N506" i="3"/>
  <c r="P506" i="3"/>
  <c r="N502" i="3"/>
  <c r="P502" i="3"/>
  <c r="N498" i="3"/>
  <c r="P498" i="3"/>
  <c r="N494" i="3"/>
  <c r="P494" i="3"/>
  <c r="N490" i="3"/>
  <c r="P490" i="3"/>
  <c r="N486" i="3"/>
  <c r="P486" i="3"/>
  <c r="N482" i="3"/>
  <c r="P482" i="3"/>
  <c r="N478" i="3"/>
  <c r="P478" i="3"/>
  <c r="N474" i="3"/>
  <c r="P474" i="3"/>
  <c r="N470" i="3"/>
  <c r="P470" i="3"/>
  <c r="N466" i="3"/>
  <c r="P466" i="3"/>
  <c r="N462" i="3"/>
  <c r="P462" i="3"/>
  <c r="N458" i="3"/>
  <c r="P458" i="3"/>
  <c r="N454" i="3"/>
  <c r="P454" i="3"/>
  <c r="N450" i="3"/>
  <c r="P450" i="3"/>
  <c r="N446" i="3"/>
  <c r="P446" i="3"/>
  <c r="N442" i="3"/>
  <c r="P442" i="3"/>
  <c r="N438" i="3"/>
  <c r="P438" i="3"/>
  <c r="N434" i="3"/>
  <c r="P434" i="3"/>
  <c r="N430" i="3"/>
  <c r="P430" i="3"/>
  <c r="N426" i="3"/>
  <c r="P426" i="3"/>
  <c r="N422" i="3"/>
  <c r="P422" i="3"/>
  <c r="N418" i="3"/>
  <c r="P418" i="3"/>
  <c r="N414" i="3"/>
  <c r="P414" i="3"/>
  <c r="N410" i="3"/>
  <c r="P410" i="3"/>
  <c r="N406" i="3"/>
  <c r="P406" i="3"/>
  <c r="N402" i="3"/>
  <c r="P402" i="3"/>
  <c r="N398" i="3"/>
  <c r="P398" i="3"/>
  <c r="N394" i="3"/>
  <c r="P394" i="3"/>
  <c r="N390" i="3"/>
  <c r="P390" i="3"/>
  <c r="N386" i="3"/>
  <c r="P386" i="3"/>
  <c r="N382" i="3"/>
  <c r="P382" i="3"/>
  <c r="N378" i="3"/>
  <c r="P378" i="3"/>
  <c r="N374" i="3"/>
  <c r="P374" i="3"/>
  <c r="N370" i="3"/>
  <c r="P370" i="3"/>
  <c r="N366" i="3"/>
  <c r="P366" i="3"/>
  <c r="N362" i="3"/>
  <c r="P362" i="3"/>
  <c r="N358" i="3"/>
  <c r="P358" i="3"/>
  <c r="N354" i="3"/>
  <c r="P354" i="3"/>
  <c r="N350" i="3"/>
  <c r="P350" i="3"/>
  <c r="N346" i="3"/>
  <c r="P346" i="3"/>
  <c r="N342" i="3"/>
  <c r="P342" i="3"/>
  <c r="N338" i="3"/>
  <c r="P338" i="3"/>
  <c r="N334" i="3"/>
  <c r="P334" i="3"/>
  <c r="N330" i="3"/>
  <c r="P330" i="3"/>
  <c r="N326" i="3"/>
  <c r="P326" i="3"/>
  <c r="N322" i="3"/>
  <c r="P322" i="3"/>
  <c r="N318" i="3"/>
  <c r="P318" i="3"/>
  <c r="N314" i="3"/>
  <c r="P314" i="3"/>
  <c r="N310" i="3"/>
  <c r="P310" i="3"/>
  <c r="N306" i="3"/>
  <c r="P306" i="3"/>
  <c r="N302" i="3"/>
  <c r="P302" i="3"/>
  <c r="N298" i="3"/>
  <c r="P298" i="3"/>
  <c r="N294" i="3"/>
  <c r="P294" i="3"/>
  <c r="N290" i="3"/>
  <c r="P290" i="3"/>
  <c r="N286" i="3"/>
  <c r="P286" i="3"/>
  <c r="N282" i="3"/>
  <c r="P282" i="3"/>
  <c r="N278" i="3"/>
  <c r="P278" i="3"/>
  <c r="N274" i="3"/>
  <c r="P274" i="3"/>
  <c r="N270" i="3"/>
  <c r="P270" i="3"/>
  <c r="N266" i="3"/>
  <c r="P266" i="3"/>
  <c r="N262" i="3"/>
  <c r="P262" i="3"/>
  <c r="N258" i="3"/>
  <c r="P258" i="3"/>
  <c r="N254" i="3"/>
  <c r="P254" i="3"/>
  <c r="N250" i="3"/>
  <c r="P250" i="3"/>
  <c r="N246" i="3"/>
  <c r="P246" i="3"/>
  <c r="N242" i="3"/>
  <c r="P242" i="3"/>
  <c r="N238" i="3"/>
  <c r="P238" i="3"/>
  <c r="N234" i="3"/>
  <c r="P234" i="3"/>
  <c r="N230" i="3"/>
  <c r="P230" i="3"/>
  <c r="N226" i="3"/>
  <c r="P226" i="3"/>
  <c r="N222" i="3"/>
  <c r="P222" i="3"/>
  <c r="N218" i="3"/>
  <c r="P218" i="3"/>
  <c r="N214" i="3"/>
  <c r="P214" i="3"/>
  <c r="N210" i="3"/>
  <c r="P210" i="3"/>
  <c r="N206" i="3"/>
  <c r="P206" i="3"/>
  <c r="N202" i="3"/>
  <c r="P202" i="3"/>
  <c r="N198" i="3"/>
  <c r="P198" i="3"/>
  <c r="N194" i="3"/>
  <c r="P194" i="3"/>
  <c r="N190" i="3"/>
  <c r="P190" i="3"/>
  <c r="N186" i="3"/>
  <c r="P186" i="3"/>
  <c r="N182" i="3"/>
  <c r="P182" i="3"/>
  <c r="N178" i="3"/>
  <c r="P178" i="3"/>
  <c r="N174" i="3"/>
  <c r="P174" i="3"/>
  <c r="N170" i="3"/>
  <c r="P170" i="3"/>
  <c r="N166" i="3"/>
  <c r="P166" i="3"/>
  <c r="N162" i="3"/>
  <c r="P162" i="3"/>
  <c r="N158" i="3"/>
  <c r="P158" i="3"/>
  <c r="N154" i="3"/>
  <c r="P154" i="3"/>
  <c r="N150" i="3"/>
  <c r="P150" i="3"/>
  <c r="N146" i="3"/>
  <c r="P146" i="3"/>
  <c r="N142" i="3"/>
  <c r="P142" i="3"/>
  <c r="N138" i="3"/>
  <c r="P138" i="3"/>
  <c r="N134" i="3"/>
  <c r="P134" i="3"/>
  <c r="N130" i="3"/>
  <c r="P130" i="3"/>
  <c r="N126" i="3"/>
  <c r="P126" i="3"/>
  <c r="N122" i="3"/>
  <c r="P122" i="3"/>
  <c r="N118" i="3"/>
  <c r="P118" i="3"/>
  <c r="N114" i="3"/>
  <c r="P114" i="3"/>
  <c r="N110" i="3"/>
  <c r="P110" i="3"/>
  <c r="N106" i="3"/>
  <c r="P106" i="3"/>
  <c r="N102" i="3"/>
  <c r="P102" i="3"/>
  <c r="N98" i="3"/>
  <c r="P98" i="3"/>
  <c r="N94" i="3"/>
  <c r="P94" i="3"/>
  <c r="N90" i="3"/>
  <c r="P90" i="3"/>
  <c r="N86" i="3"/>
  <c r="P86" i="3"/>
  <c r="N82" i="3"/>
  <c r="P82" i="3"/>
  <c r="N78" i="3"/>
  <c r="P78" i="3"/>
  <c r="N74" i="3"/>
  <c r="P74" i="3"/>
  <c r="N70" i="3"/>
  <c r="P70" i="3"/>
  <c r="N66" i="3"/>
  <c r="P66" i="3"/>
  <c r="N62" i="3"/>
  <c r="P62" i="3"/>
  <c r="N58" i="3"/>
  <c r="P58" i="3"/>
  <c r="N54" i="3"/>
  <c r="P54" i="3"/>
  <c r="N50" i="3"/>
  <c r="P50" i="3"/>
  <c r="N46" i="3"/>
  <c r="P46" i="3"/>
  <c r="N42" i="3"/>
  <c r="P42" i="3"/>
  <c r="N38" i="3"/>
  <c r="P38" i="3"/>
  <c r="N34" i="3"/>
  <c r="P34" i="3"/>
  <c r="N30" i="3"/>
  <c r="P30" i="3"/>
  <c r="N26" i="3"/>
  <c r="P26" i="3"/>
  <c r="N22" i="3"/>
  <c r="P22" i="3"/>
  <c r="N18" i="3"/>
  <c r="P18" i="3"/>
  <c r="N14" i="3"/>
  <c r="P14" i="3"/>
  <c r="N10" i="3"/>
  <c r="P10" i="3"/>
  <c r="N6" i="3"/>
  <c r="P6" i="3"/>
  <c r="N2" i="3"/>
  <c r="P2" i="3"/>
  <c r="P305" i="3"/>
  <c r="P273" i="3"/>
  <c r="P241" i="3"/>
  <c r="P209" i="3"/>
  <c r="P177" i="3"/>
  <c r="P145" i="3"/>
  <c r="P113" i="3"/>
  <c r="P81" i="3"/>
  <c r="P49" i="3"/>
  <c r="P17" i="3"/>
  <c r="N309" i="3"/>
  <c r="P309" i="3"/>
  <c r="N297" i="3"/>
  <c r="P297" i="3"/>
  <c r="N293" i="3"/>
  <c r="P293" i="3"/>
  <c r="N281" i="3"/>
  <c r="P281" i="3"/>
  <c r="N277" i="3"/>
  <c r="P277" i="3"/>
  <c r="N265" i="3"/>
  <c r="P265" i="3"/>
  <c r="N261" i="3"/>
  <c r="P261" i="3"/>
  <c r="N249" i="3"/>
  <c r="P249" i="3"/>
  <c r="N245" i="3"/>
  <c r="P245" i="3"/>
  <c r="N233" i="3"/>
  <c r="P233" i="3"/>
  <c r="N229" i="3"/>
  <c r="P229" i="3"/>
  <c r="N217" i="3"/>
  <c r="P217" i="3"/>
  <c r="N213" i="3"/>
  <c r="P213" i="3"/>
  <c r="N201" i="3"/>
  <c r="P201" i="3"/>
  <c r="N197" i="3"/>
  <c r="P197" i="3"/>
  <c r="N185" i="3"/>
  <c r="P185" i="3"/>
  <c r="N181" i="3"/>
  <c r="P181" i="3"/>
  <c r="N169" i="3"/>
  <c r="P169" i="3"/>
  <c r="N165" i="3"/>
  <c r="P165" i="3"/>
  <c r="N153" i="3"/>
  <c r="P153" i="3"/>
  <c r="N149" i="3"/>
  <c r="P149" i="3"/>
  <c r="N137" i="3"/>
  <c r="P137" i="3"/>
  <c r="N133" i="3"/>
  <c r="P133" i="3"/>
  <c r="N121" i="3"/>
  <c r="P121" i="3"/>
  <c r="N117" i="3"/>
  <c r="P117" i="3"/>
  <c r="N105" i="3"/>
  <c r="P105" i="3"/>
  <c r="N101" i="3"/>
  <c r="P101" i="3"/>
  <c r="N89" i="3"/>
  <c r="P89" i="3"/>
  <c r="N85" i="3"/>
  <c r="P85" i="3"/>
  <c r="N73" i="3"/>
  <c r="P73" i="3"/>
  <c r="N69" i="3"/>
  <c r="P69" i="3"/>
  <c r="N57" i="3"/>
  <c r="P57" i="3"/>
  <c r="N53" i="3"/>
  <c r="P53" i="3"/>
  <c r="N41" i="3"/>
  <c r="P41" i="3"/>
  <c r="N37" i="3"/>
  <c r="P37" i="3"/>
  <c r="N25" i="3"/>
  <c r="P25" i="3"/>
  <c r="N21" i="3"/>
  <c r="P21" i="3"/>
  <c r="N9" i="3"/>
  <c r="P9" i="3"/>
  <c r="N5" i="3"/>
  <c r="P5" i="3"/>
  <c r="P301" i="3"/>
  <c r="P269" i="3"/>
  <c r="P237" i="3"/>
  <c r="P205" i="3"/>
  <c r="P173" i="3"/>
  <c r="P141" i="3"/>
  <c r="P109" i="3"/>
  <c r="P77" i="3"/>
  <c r="P45" i="3"/>
  <c r="P13" i="3"/>
  <c r="N48" i="3"/>
  <c r="P48" i="3"/>
  <c r="N44" i="3"/>
  <c r="P44" i="3"/>
  <c r="N40" i="3"/>
  <c r="P40" i="3"/>
  <c r="N36" i="3"/>
  <c r="P36" i="3"/>
  <c r="N32" i="3"/>
  <c r="P32" i="3"/>
  <c r="N28" i="3"/>
  <c r="P28" i="3"/>
  <c r="N24" i="3"/>
  <c r="P24" i="3"/>
  <c r="N20" i="3"/>
  <c r="P20" i="3"/>
  <c r="N16" i="3"/>
  <c r="P16" i="3"/>
  <c r="N12" i="3"/>
  <c r="P12" i="3"/>
  <c r="N8" i="3"/>
  <c r="P8" i="3"/>
  <c r="N4" i="3"/>
  <c r="P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47868-8D49-4DBB-B5BA-346103376D07}" keepAlive="1" name="Query - International_Education_Costs" description="Connection to the 'International_Education_Costs' query in the workbook." type="5" refreshedVersion="8" background="1" saveData="1">
    <dbPr connection="Provider=Microsoft.Mashup.OleDb.1;Data Source=$Workbook$;Location=International_Education_Costs;Extended Properties=&quot;&quot;" command="SELECT * FROM [International_Education_Costs]"/>
  </connection>
  <connection id="2" xr16:uid="{5F34DF1B-A8DD-45C1-B0AE-133CCE46BC7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<sst xmlns="http://schemas.openxmlformats.org/spreadsheetml/2006/main" count="4802" uniqueCount="1365">
  <si>
    <t>Country</t>
  </si>
  <si>
    <t>City</t>
  </si>
  <si>
    <t>University</t>
  </si>
  <si>
    <t>Program</t>
  </si>
  <si>
    <t>Level</t>
  </si>
  <si>
    <t>Duration_Years</t>
  </si>
  <si>
    <t>Tuition_USD</t>
  </si>
  <si>
    <t>Living_Cost_Index</t>
  </si>
  <si>
    <t>Rent_USD</t>
  </si>
  <si>
    <t>Visa_Fee_USD</t>
  </si>
  <si>
    <t>Insurance_USD</t>
  </si>
  <si>
    <t>Exchange_Rate</t>
  </si>
  <si>
    <t>USA</t>
  </si>
  <si>
    <t>Cambridge</t>
  </si>
  <si>
    <t>Harvard University</t>
  </si>
  <si>
    <t>Computer Science</t>
  </si>
  <si>
    <t>Master</t>
  </si>
  <si>
    <t>UK</t>
  </si>
  <si>
    <t>London</t>
  </si>
  <si>
    <t>Imperial College London</t>
  </si>
  <si>
    <t>Data Science</t>
  </si>
  <si>
    <t>Canada</t>
  </si>
  <si>
    <t>Toronto</t>
  </si>
  <si>
    <t>University of Toronto</t>
  </si>
  <si>
    <t>Business Analytics</t>
  </si>
  <si>
    <t>Australia</t>
  </si>
  <si>
    <t>Melbourne</t>
  </si>
  <si>
    <t>University of Melbourne</t>
  </si>
  <si>
    <t>Engineering</t>
  </si>
  <si>
    <t>Germany</t>
  </si>
  <si>
    <t>Munich</t>
  </si>
  <si>
    <t>Technical University of Munich</t>
  </si>
  <si>
    <t>Mechanical Engineering</t>
  </si>
  <si>
    <t>Japan</t>
  </si>
  <si>
    <t>Tokyo</t>
  </si>
  <si>
    <t>University of Tokyo</t>
  </si>
  <si>
    <t>Information Science</t>
  </si>
  <si>
    <t>Netherlands</t>
  </si>
  <si>
    <t>Amsterdam</t>
  </si>
  <si>
    <t>University of Amsterdam</t>
  </si>
  <si>
    <t>Artificial Intelligence</t>
  </si>
  <si>
    <t>Singapore</t>
  </si>
  <si>
    <t>National University of Singapore</t>
  </si>
  <si>
    <t>Finance</t>
  </si>
  <si>
    <t>France</t>
  </si>
  <si>
    <t>Paris</t>
  </si>
  <si>
    <t>Sorbonne University</t>
  </si>
  <si>
    <t>International Relations</t>
  </si>
  <si>
    <t>Switzerland</t>
  </si>
  <si>
    <t>Zurich</t>
  </si>
  <si>
    <t>ETH Zurich</t>
  </si>
  <si>
    <t>Physics</t>
  </si>
  <si>
    <t>Sweden</t>
  </si>
  <si>
    <t>Stockholm</t>
  </si>
  <si>
    <t>KTH Royal Institute</t>
  </si>
  <si>
    <t>Sustainable Technology</t>
  </si>
  <si>
    <t>Denmark</t>
  </si>
  <si>
    <t>Copenhagen</t>
  </si>
  <si>
    <t>University of Copenhagen</t>
  </si>
  <si>
    <t>Bioinformatics</t>
  </si>
  <si>
    <t>China</t>
  </si>
  <si>
    <t>Beijing</t>
  </si>
  <si>
    <t>Tsinghua University</t>
  </si>
  <si>
    <t>Computer Engineering</t>
  </si>
  <si>
    <t>South Korea</t>
  </si>
  <si>
    <t>Seoul</t>
  </si>
  <si>
    <t>Seoul National University</t>
  </si>
  <si>
    <t>Digital Media</t>
  </si>
  <si>
    <t>Ireland</t>
  </si>
  <si>
    <t>Dublin</t>
  </si>
  <si>
    <t>Trinity College Dublin</t>
  </si>
  <si>
    <t>Data Analytics</t>
  </si>
  <si>
    <t>Busan</t>
  </si>
  <si>
    <t>Pusan National University</t>
  </si>
  <si>
    <t>Business</t>
  </si>
  <si>
    <t>Bachelor</t>
  </si>
  <si>
    <t>New Zealand</t>
  </si>
  <si>
    <t>Auckland</t>
  </si>
  <si>
    <t>University of Auckland</t>
  </si>
  <si>
    <t>Marine Biology</t>
  </si>
  <si>
    <t>Austria</t>
  </si>
  <si>
    <t>Vienna</t>
  </si>
  <si>
    <t>University of Vienna</t>
  </si>
  <si>
    <t>Social Sciences</t>
  </si>
  <si>
    <t>Belgium</t>
  </si>
  <si>
    <t>Brussels</t>
  </si>
  <si>
    <t>KU Leuven</t>
  </si>
  <si>
    <t>Biomedical Sciences</t>
  </si>
  <si>
    <t>Ann Arbor</t>
  </si>
  <si>
    <t>University of Michigan</t>
  </si>
  <si>
    <t>Aerospace Engineering</t>
  </si>
  <si>
    <t>Atlanta</t>
  </si>
  <si>
    <t>Georgia Tech</t>
  </si>
  <si>
    <t>Industrial Engineering</t>
  </si>
  <si>
    <t>Austin</t>
  </si>
  <si>
    <t>UT Austin</t>
  </si>
  <si>
    <t>Chemical Engineering</t>
  </si>
  <si>
    <t>Bristol</t>
  </si>
  <si>
    <t>University of Bristol</t>
  </si>
  <si>
    <t>Mathematics</t>
  </si>
  <si>
    <t>Ottawa</t>
  </si>
  <si>
    <t>University of Ottawa</t>
  </si>
  <si>
    <t>Political Science</t>
  </si>
  <si>
    <t>Hong Kong</t>
  </si>
  <si>
    <t>HKUST</t>
  </si>
  <si>
    <t>Portugal</t>
  </si>
  <si>
    <t>Lisbon</t>
  </si>
  <si>
    <t>University of Lisbon</t>
  </si>
  <si>
    <t>Architecture</t>
  </si>
  <si>
    <t>Israel</t>
  </si>
  <si>
    <t>Tel Aviv</t>
  </si>
  <si>
    <t>Tel Aviv University</t>
  </si>
  <si>
    <t>Taiwan</t>
  </si>
  <si>
    <t>Taipei</t>
  </si>
  <si>
    <t>National Taiwan University</t>
  </si>
  <si>
    <t>Electronics Engineering</t>
  </si>
  <si>
    <t>Czech Republic</t>
  </si>
  <si>
    <t>Prague</t>
  </si>
  <si>
    <t>Charles University</t>
  </si>
  <si>
    <t>Medicine</t>
  </si>
  <si>
    <t>Stanford</t>
  </si>
  <si>
    <t>Stanford University</t>
  </si>
  <si>
    <t>PhD</t>
  </si>
  <si>
    <t>Boston</t>
  </si>
  <si>
    <t>MIT</t>
  </si>
  <si>
    <t>Electrical Engineering</t>
  </si>
  <si>
    <t>Oxford</t>
  </si>
  <si>
    <t>University of Oxford</t>
  </si>
  <si>
    <t>University of Cambridge</t>
  </si>
  <si>
    <t>Heidelberg</t>
  </si>
  <si>
    <t>Heidelberg University</t>
  </si>
  <si>
    <t>Molecular Biology</t>
  </si>
  <si>
    <t>Basel</t>
  </si>
  <si>
    <t>ETH Basel</t>
  </si>
  <si>
    <t>Pharmaceutical Sciences</t>
  </si>
  <si>
    <t>Delft</t>
  </si>
  <si>
    <t>TU Delft</t>
  </si>
  <si>
    <t>Robotics</t>
  </si>
  <si>
    <t>NTU Singapore</t>
  </si>
  <si>
    <t>Waterloo</t>
  </si>
  <si>
    <t>University of Waterloo</t>
  </si>
  <si>
    <t>Quantum Computing</t>
  </si>
  <si>
    <t>Canberra</t>
  </si>
  <si>
    <t>Australian National University</t>
  </si>
  <si>
    <t>Climate Science</t>
  </si>
  <si>
    <t>Lund</t>
  </si>
  <si>
    <t>Lund University</t>
  </si>
  <si>
    <t>Neuroscience</t>
  </si>
  <si>
    <t>San Diego</t>
  </si>
  <si>
    <t>UC San Diego</t>
  </si>
  <si>
    <t>Seattle</t>
  </si>
  <si>
    <t>University of Washington</t>
  </si>
  <si>
    <t>Edmonton</t>
  </si>
  <si>
    <t>University of Alberta</t>
  </si>
  <si>
    <t>Glasgow</t>
  </si>
  <si>
    <t>University of Glasgow</t>
  </si>
  <si>
    <t>India</t>
  </si>
  <si>
    <t>Bangalore</t>
  </si>
  <si>
    <t>Indian Institute of Science</t>
  </si>
  <si>
    <t>Aalborg</t>
  </si>
  <si>
    <t>Aalborg University</t>
  </si>
  <si>
    <t>Poland</t>
  </si>
  <si>
    <t>Warsaw</t>
  </si>
  <si>
    <t>University of Warsaw</t>
  </si>
  <si>
    <t>Galway</t>
  </si>
  <si>
    <t>NUI Galway</t>
  </si>
  <si>
    <t>Daejeon</t>
  </si>
  <si>
    <t>KAIST</t>
  </si>
  <si>
    <t>Malaysia</t>
  </si>
  <si>
    <t>Kuala Lumpur</t>
  </si>
  <si>
    <t>University of Malaya</t>
  </si>
  <si>
    <t>Berkeley</t>
  </si>
  <si>
    <t>UC Berkeley</t>
  </si>
  <si>
    <t>Manchester</t>
  </si>
  <si>
    <t>University of Manchester</t>
  </si>
  <si>
    <t>Economics</t>
  </si>
  <si>
    <t>Vancouver</t>
  </si>
  <si>
    <t>University of British Columbia</t>
  </si>
  <si>
    <t>Psychology</t>
  </si>
  <si>
    <t>Sydney</t>
  </si>
  <si>
    <t>University of Sydney</t>
  </si>
  <si>
    <t>Berlin</t>
  </si>
  <si>
    <t>Free University of Berlin</t>
  </si>
  <si>
    <t>International Business</t>
  </si>
  <si>
    <t>Spain</t>
  </si>
  <si>
    <t>Barcelona</t>
  </si>
  <si>
    <t>University of Barcelona</t>
  </si>
  <si>
    <t>Italy</t>
  </si>
  <si>
    <t>Milan</t>
  </si>
  <si>
    <t>Politecnico di Milano</t>
  </si>
  <si>
    <t>Design</t>
  </si>
  <si>
    <t>Rotterdam</t>
  </si>
  <si>
    <t>Erasmus University</t>
  </si>
  <si>
    <t>Finland</t>
  </si>
  <si>
    <t>Helsinki</t>
  </si>
  <si>
    <t>University of Helsinki</t>
  </si>
  <si>
    <t>Norway</t>
  </si>
  <si>
    <t>Oslo</t>
  </si>
  <si>
    <t>University of Oslo</t>
  </si>
  <si>
    <t>Environmental Science</t>
  </si>
  <si>
    <t>Osaka</t>
  </si>
  <si>
    <t>Osaka University</t>
  </si>
  <si>
    <t>Kyoto</t>
  </si>
  <si>
    <t>Kyoto University</t>
  </si>
  <si>
    <t>Nagoya</t>
  </si>
  <si>
    <t>Nagoya University</t>
  </si>
  <si>
    <t>Sendai</t>
  </si>
  <si>
    <t>Tohoku University</t>
  </si>
  <si>
    <t>Software Engineering</t>
  </si>
  <si>
    <t>Fukuoka</t>
  </si>
  <si>
    <t>Kyushu University</t>
  </si>
  <si>
    <t>Sapporo</t>
  </si>
  <si>
    <t>Hokkaido University</t>
  </si>
  <si>
    <t>Tokyo Institute of Technology</t>
  </si>
  <si>
    <t>Tsukuba</t>
  </si>
  <si>
    <t>University of Tsukuba</t>
  </si>
  <si>
    <t>Information Systems</t>
  </si>
  <si>
    <t>Kobe</t>
  </si>
  <si>
    <t>Kobe University</t>
  </si>
  <si>
    <t>Kanazawa</t>
  </si>
  <si>
    <t>Kanazawa University</t>
  </si>
  <si>
    <t>Hiroshima</t>
  </si>
  <si>
    <t>Hiroshima University</t>
  </si>
  <si>
    <t>Information Technology</t>
  </si>
  <si>
    <t>Adelaide</t>
  </si>
  <si>
    <t>University of Adelaide</t>
  </si>
  <si>
    <t>Perth</t>
  </si>
  <si>
    <t>University of Western Australia</t>
  </si>
  <si>
    <t>Gold Coast</t>
  </si>
  <si>
    <t>Griffith University</t>
  </si>
  <si>
    <t>Hobart</t>
  </si>
  <si>
    <t>University of Tasmania</t>
  </si>
  <si>
    <t>Newcastle</t>
  </si>
  <si>
    <t>University of Newcastle</t>
  </si>
  <si>
    <t>Wollongong</t>
  </si>
  <si>
    <t>University of Wollongong</t>
  </si>
  <si>
    <t>Darwin</t>
  </si>
  <si>
    <t>Charles Darwin University</t>
  </si>
  <si>
    <t>Townsville</t>
  </si>
  <si>
    <t>James Cook University</t>
  </si>
  <si>
    <t>Sunshine Coast</t>
  </si>
  <si>
    <t>USC</t>
  </si>
  <si>
    <t>Software Development</t>
  </si>
  <si>
    <t>Armidale</t>
  </si>
  <si>
    <t>University of New England</t>
  </si>
  <si>
    <t>Computing Science</t>
  </si>
  <si>
    <t>Dresden</t>
  </si>
  <si>
    <t>TU Dresden</t>
  </si>
  <si>
    <t>Stuttgart</t>
  </si>
  <si>
    <t>University of Stuttgart</t>
  </si>
  <si>
    <t>Hamburg</t>
  </si>
  <si>
    <t>TU Hamburg</t>
  </si>
  <si>
    <t>Data Engineering</t>
  </si>
  <si>
    <t>Aachen</t>
  </si>
  <si>
    <t>RWTH Aachen</t>
  </si>
  <si>
    <t>Karlsruhe</t>
  </si>
  <si>
    <t>KIT</t>
  </si>
  <si>
    <t>Darmstadt</t>
  </si>
  <si>
    <t>TU Darmstadt</t>
  </si>
  <si>
    <t>Braunschweig</t>
  </si>
  <si>
    <t>TU Braunschweig</t>
  </si>
  <si>
    <t>Software Systems</t>
  </si>
  <si>
    <t>Jena</t>
  </si>
  <si>
    <t>University of Jena</t>
  </si>
  <si>
    <t>Hannover</t>
  </si>
  <si>
    <t>Leibniz University</t>
  </si>
  <si>
    <t>Digital Engineering</t>
  </si>
  <si>
    <t>Freiburg</t>
  </si>
  <si>
    <t>University of Freiburg</t>
  </si>
  <si>
    <t>Robotics &amp; AI</t>
  </si>
  <si>
    <t>Philadelphia</t>
  </si>
  <si>
    <t>University of Pennsylvania</t>
  </si>
  <si>
    <t>Chicago</t>
  </si>
  <si>
    <t>University of Chicago</t>
  </si>
  <si>
    <t>Baltimore</t>
  </si>
  <si>
    <t>Johns Hopkins</t>
  </si>
  <si>
    <t>Nashville</t>
  </si>
  <si>
    <t>Vanderbilt University</t>
  </si>
  <si>
    <t>Durham</t>
  </si>
  <si>
    <t>Duke University</t>
  </si>
  <si>
    <t>Madison</t>
  </si>
  <si>
    <t>University of Wisconsin</t>
  </si>
  <si>
    <t>Tempe</t>
  </si>
  <si>
    <t>Arizona State University</t>
  </si>
  <si>
    <t>Boulder</t>
  </si>
  <si>
    <t>University of Colorado</t>
  </si>
  <si>
    <t>Minneapolis</t>
  </si>
  <si>
    <t>University of Minnesota</t>
  </si>
  <si>
    <t>Davis</t>
  </si>
  <si>
    <t>UC Davis</t>
  </si>
  <si>
    <t>University College London</t>
  </si>
  <si>
    <t>Leeds</t>
  </si>
  <si>
    <t>University of Leeds</t>
  </si>
  <si>
    <t>Warwick</t>
  </si>
  <si>
    <t>University of Warwick</t>
  </si>
  <si>
    <t>Sheffield</t>
  </si>
  <si>
    <t>University of Sheffield</t>
  </si>
  <si>
    <t>Birmingham</t>
  </si>
  <si>
    <t>University of Birmingham</t>
  </si>
  <si>
    <t>Southampton</t>
  </si>
  <si>
    <t>University of Southampton</t>
  </si>
  <si>
    <t>Cybersecurity</t>
  </si>
  <si>
    <t>Nottingham</t>
  </si>
  <si>
    <t>University of Nottingham</t>
  </si>
  <si>
    <t>Cardiff</t>
  </si>
  <si>
    <t>Cardiff University</t>
  </si>
  <si>
    <t>Belfast</t>
  </si>
  <si>
    <t>Queen's University Belfast</t>
  </si>
  <si>
    <t>Computing Systems</t>
  </si>
  <si>
    <t>Newcastle University</t>
  </si>
  <si>
    <t>Hamilton</t>
  </si>
  <si>
    <t>McMaster University</t>
  </si>
  <si>
    <t>London ON</t>
  </si>
  <si>
    <t>Western University</t>
  </si>
  <si>
    <t>Halifax</t>
  </si>
  <si>
    <t>Dalhousie University</t>
  </si>
  <si>
    <t>Victoria</t>
  </si>
  <si>
    <t>University of Victoria</t>
  </si>
  <si>
    <t>Quebec City</t>
  </si>
  <si>
    <t>Laval University</t>
  </si>
  <si>
    <t>Winnipeg</t>
  </si>
  <si>
    <t>University of Manitoba</t>
  </si>
  <si>
    <t>Regina</t>
  </si>
  <si>
    <t>University of Regina</t>
  </si>
  <si>
    <t>St. John's</t>
  </si>
  <si>
    <t>Memorial University</t>
  </si>
  <si>
    <t>Saskatoon</t>
  </si>
  <si>
    <t>University of Saskatchewan</t>
  </si>
  <si>
    <t>Sherbrooke</t>
  </si>
  <si>
    <t>Pittsburgh</t>
  </si>
  <si>
    <t>Carnegie Mellon</t>
  </si>
  <si>
    <t>Urbana-Champaign</t>
  </si>
  <si>
    <t>UIUC</t>
  </si>
  <si>
    <t>Calgary</t>
  </si>
  <si>
    <t>University of Calgary</t>
  </si>
  <si>
    <t>Brazil</t>
  </si>
  <si>
    <t>Sao Paulo</t>
  </si>
  <si>
    <t>University of Sao Paulo</t>
  </si>
  <si>
    <t>Turkey</t>
  </si>
  <si>
    <t>Istanbul</t>
  </si>
  <si>
    <t>Bogazici University</t>
  </si>
  <si>
    <t>Russia</t>
  </si>
  <si>
    <t>Moscow</t>
  </si>
  <si>
    <t>Moscow State University</t>
  </si>
  <si>
    <t>Applied Mathematics</t>
  </si>
  <si>
    <t>Mexico</t>
  </si>
  <si>
    <t>Mexico City</t>
  </si>
  <si>
    <t>UNAM</t>
  </si>
  <si>
    <t>Greece</t>
  </si>
  <si>
    <t>Athens</t>
  </si>
  <si>
    <t>National Technical University</t>
  </si>
  <si>
    <t>Thailand</t>
  </si>
  <si>
    <t>Bangkok</t>
  </si>
  <si>
    <t>Chulalongkorn University</t>
  </si>
  <si>
    <t>UAE</t>
  </si>
  <si>
    <t>Dubai</t>
  </si>
  <si>
    <t>American University in Dubai</t>
  </si>
  <si>
    <t>New York</t>
  </si>
  <si>
    <t>Columbia University</t>
  </si>
  <si>
    <t>Ithaca</t>
  </si>
  <si>
    <t>Cornell University</t>
  </si>
  <si>
    <t>Shenzhen</t>
  </si>
  <si>
    <t>SUSTech</t>
  </si>
  <si>
    <t>South Africa</t>
  </si>
  <si>
    <t>Cape Town</t>
  </si>
  <si>
    <t>University of Cape Town</t>
  </si>
  <si>
    <t>Egypt</t>
  </si>
  <si>
    <t>Cairo</t>
  </si>
  <si>
    <t>American University in Cairo</t>
  </si>
  <si>
    <t>Argentina</t>
  </si>
  <si>
    <t>Buenos Aires</t>
  </si>
  <si>
    <t>University of Buenos Aires</t>
  </si>
  <si>
    <t>Indonesia</t>
  </si>
  <si>
    <t>Jakarta</t>
  </si>
  <si>
    <t>University of Indonesia</t>
  </si>
  <si>
    <t>Saudi Arabia</t>
  </si>
  <si>
    <t>Riyadh</t>
  </si>
  <si>
    <t>King Saud University</t>
  </si>
  <si>
    <t>Nigeria</t>
  </si>
  <si>
    <t>Lagos</t>
  </si>
  <si>
    <t>University of Lagos</t>
  </si>
  <si>
    <t>Vietnam</t>
  </si>
  <si>
    <t>Ho Chi Minh City</t>
  </si>
  <si>
    <t>HCMUT</t>
  </si>
  <si>
    <t>Eindhoven</t>
  </si>
  <si>
    <t>TU Eindhoven</t>
  </si>
  <si>
    <t>Enschede</t>
  </si>
  <si>
    <t>University of Twente</t>
  </si>
  <si>
    <t>Groningen</t>
  </si>
  <si>
    <t>University of Groningen</t>
  </si>
  <si>
    <t>Maastricht</t>
  </si>
  <si>
    <t>Maastricht University</t>
  </si>
  <si>
    <t>Nijmegen</t>
  </si>
  <si>
    <t>Radboud University</t>
  </si>
  <si>
    <t>Software Science</t>
  </si>
  <si>
    <t>Tilburg</t>
  </si>
  <si>
    <t>Tilburg University</t>
  </si>
  <si>
    <t>Utrecht</t>
  </si>
  <si>
    <t>Utrecht University</t>
  </si>
  <si>
    <t>Game Technology</t>
  </si>
  <si>
    <t>Leiden</t>
  </si>
  <si>
    <t>Leiden University</t>
  </si>
  <si>
    <t>Wageningen</t>
  </si>
  <si>
    <t>Wageningen University</t>
  </si>
  <si>
    <t>VU Amsterdam</t>
  </si>
  <si>
    <t>Nanyang Technological University</t>
  </si>
  <si>
    <t>Singapore Management University</t>
  </si>
  <si>
    <t>SUTD</t>
  </si>
  <si>
    <t>Computer Science &amp; Design</t>
  </si>
  <si>
    <t>SIT</t>
  </si>
  <si>
    <t>NUS</t>
  </si>
  <si>
    <t>NTU</t>
  </si>
  <si>
    <t>Data Science &amp; AI</t>
  </si>
  <si>
    <t>Technology &amp; Innovation</t>
  </si>
  <si>
    <t>SMU</t>
  </si>
  <si>
    <t>Computing &amp; Innovation</t>
  </si>
  <si>
    <t>Digital Systems &amp; AI</t>
  </si>
  <si>
    <t>Toulouse</t>
  </si>
  <si>
    <t>INSA Toulouse</t>
  </si>
  <si>
    <t>Lyon</t>
  </si>
  <si>
    <t>Grenoble</t>
  </si>
  <si>
    <t>Grenoble INP</t>
  </si>
  <si>
    <t>Nice</t>
  </si>
  <si>
    <t>Bordeaux</t>
  </si>
  <si>
    <t>University of Bordeaux</t>
  </si>
  <si>
    <t>Lille</t>
  </si>
  <si>
    <t>Rennes</t>
  </si>
  <si>
    <t>INSA Rennes</t>
  </si>
  <si>
    <t>Strasbourg</t>
  </si>
  <si>
    <t>University of Strasbourg</t>
  </si>
  <si>
    <t>Digital Systems</t>
  </si>
  <si>
    <t>Montpellier</t>
  </si>
  <si>
    <t>University of Montpellier</t>
  </si>
  <si>
    <t>Lausanne</t>
  </si>
  <si>
    <t>EPFL</t>
  </si>
  <si>
    <t>Geneva</t>
  </si>
  <si>
    <t>University of Geneva</t>
  </si>
  <si>
    <t>Bern</t>
  </si>
  <si>
    <t>University of Bern</t>
  </si>
  <si>
    <t>St. Gallen</t>
  </si>
  <si>
    <t>University of St. Gallen</t>
  </si>
  <si>
    <t>Business Informatics</t>
  </si>
  <si>
    <t>Lugano</t>
  </si>
  <si>
    <t>USI</t>
  </si>
  <si>
    <t>Fribourg</t>
  </si>
  <si>
    <t>University of Fribourg</t>
  </si>
  <si>
    <t>Neuchatel</t>
  </si>
  <si>
    <t>University of Neuchatel</t>
  </si>
  <si>
    <t>University of Basel</t>
  </si>
  <si>
    <t>Computational Science</t>
  </si>
  <si>
    <t>Lucerne</t>
  </si>
  <si>
    <t>University of Lucerne</t>
  </si>
  <si>
    <t>Digital Innovation</t>
  </si>
  <si>
    <t>Winterthur</t>
  </si>
  <si>
    <t>ZHAW</t>
  </si>
  <si>
    <t>Aarhus</t>
  </si>
  <si>
    <t>Aarhus University</t>
  </si>
  <si>
    <t>Peking University</t>
  </si>
  <si>
    <t>Shanghai</t>
  </si>
  <si>
    <t>Fudan University</t>
  </si>
  <si>
    <t>Shanghai Jiao Tong University</t>
  </si>
  <si>
    <t>Hangzhou</t>
  </si>
  <si>
    <t>Zhejiang University</t>
  </si>
  <si>
    <t>Nanjing</t>
  </si>
  <si>
    <t>Nanjing University</t>
  </si>
  <si>
    <t>Guangzhou</t>
  </si>
  <si>
    <t>Sun Yat-sen University</t>
  </si>
  <si>
    <t>Wuhan</t>
  </si>
  <si>
    <t>Wuhan University</t>
  </si>
  <si>
    <t>Xi'an</t>
  </si>
  <si>
    <t>Xi'an Jiaotong University</t>
  </si>
  <si>
    <t>Chengdu</t>
  </si>
  <si>
    <t>Sichuan University</t>
  </si>
  <si>
    <t>Korea University</t>
  </si>
  <si>
    <t>Yonsei University</t>
  </si>
  <si>
    <t>Hanyang University</t>
  </si>
  <si>
    <t>Sungkyunkwan University</t>
  </si>
  <si>
    <t>Robotics Engineering</t>
  </si>
  <si>
    <t>Chungnam National University</t>
  </si>
  <si>
    <t>Dong-A University</t>
  </si>
  <si>
    <t>Daegu</t>
  </si>
  <si>
    <t>Kyungpook National University</t>
  </si>
  <si>
    <t>Yeungnam University</t>
  </si>
  <si>
    <t>Gwangju</t>
  </si>
  <si>
    <t>Chonnam National University</t>
  </si>
  <si>
    <t>Chosun University</t>
  </si>
  <si>
    <t>Ulsan</t>
  </si>
  <si>
    <t>Ulsan National Institute of Science and Technology</t>
  </si>
  <si>
    <t>AI Engineering</t>
  </si>
  <si>
    <t>University of Ulsan</t>
  </si>
  <si>
    <t>Pohang</t>
  </si>
  <si>
    <t>POSTECH</t>
  </si>
  <si>
    <t>Incheon</t>
  </si>
  <si>
    <t>Incheon National University</t>
  </si>
  <si>
    <t>Suwon</t>
  </si>
  <si>
    <t>Sungkyunkwan University (Suwon)</t>
  </si>
  <si>
    <t>Computer Systems</t>
  </si>
  <si>
    <t>Hanbat National University</t>
  </si>
  <si>
    <t>Information Security</t>
  </si>
  <si>
    <t>Cheongju</t>
  </si>
  <si>
    <t>Chungbuk National University</t>
  </si>
  <si>
    <t>Computer Networks</t>
  </si>
  <si>
    <t>New Haven</t>
  </si>
  <si>
    <t>Yale University</t>
  </si>
  <si>
    <t>Princeton</t>
  </si>
  <si>
    <t>Princeton University</t>
  </si>
  <si>
    <t>Los Angeles</t>
  </si>
  <si>
    <t>UCLA</t>
  </si>
  <si>
    <t>University of Texas Austin</t>
  </si>
  <si>
    <t>University of Wisconsin-Madison</t>
  </si>
  <si>
    <t>Urbana</t>
  </si>
  <si>
    <t>University of Illinois Urbana-Champaign</t>
  </si>
  <si>
    <t>Columbus</t>
  </si>
  <si>
    <t>Ohio State University</t>
  </si>
  <si>
    <t>West Lafayette</t>
  </si>
  <si>
    <t>Purdue University</t>
  </si>
  <si>
    <t>Gainesville</t>
  </si>
  <si>
    <t>University of Florida</t>
  </si>
  <si>
    <t>Raleigh</t>
  </si>
  <si>
    <t>NC State University</t>
  </si>
  <si>
    <t>College Station</t>
  </si>
  <si>
    <t>Texas A&amp;M University</t>
  </si>
  <si>
    <t>Corvallis</t>
  </si>
  <si>
    <t>Oregon State University</t>
  </si>
  <si>
    <t>King's College London</t>
  </si>
  <si>
    <t>Edinburgh</t>
  </si>
  <si>
    <t>University of Edinburgh</t>
  </si>
  <si>
    <t>Durham University</t>
  </si>
  <si>
    <t>Liverpool</t>
  </si>
  <si>
    <t>University of Liverpool</t>
  </si>
  <si>
    <t>Aberdeen</t>
  </si>
  <si>
    <t>University of Aberdeen</t>
  </si>
  <si>
    <t>Leicester</t>
  </si>
  <si>
    <t>University of Leicester</t>
  </si>
  <si>
    <t>Reading</t>
  </si>
  <si>
    <t>University of Reading</t>
  </si>
  <si>
    <t>Sussex</t>
  </si>
  <si>
    <t>University of Sussex</t>
  </si>
  <si>
    <t>Essex</t>
  </si>
  <si>
    <t>University of Essex</t>
  </si>
  <si>
    <t>Bath</t>
  </si>
  <si>
    <t>University of Bath</t>
  </si>
  <si>
    <t>Surrey</t>
  </si>
  <si>
    <t>University of Surrey</t>
  </si>
  <si>
    <t>Exeter</t>
  </si>
  <si>
    <t>University of Exeter</t>
  </si>
  <si>
    <t>Kent</t>
  </si>
  <si>
    <t>University of Kent</t>
  </si>
  <si>
    <t>Dundee</t>
  </si>
  <si>
    <t>University of Dundee</t>
  </si>
  <si>
    <t>Strathclyde</t>
  </si>
  <si>
    <t>University of Strathclyde</t>
  </si>
  <si>
    <t>Heriot-Watt</t>
  </si>
  <si>
    <t>Heriot-Watt University</t>
  </si>
  <si>
    <t>Loughborough</t>
  </si>
  <si>
    <t>Loughborough University</t>
  </si>
  <si>
    <t>Brunel</t>
  </si>
  <si>
    <t>Brunel University London</t>
  </si>
  <si>
    <t>Queen Mary</t>
  </si>
  <si>
    <t>Queen Mary University of London</t>
  </si>
  <si>
    <t>Royal Holloway</t>
  </si>
  <si>
    <t>Royal Holloway University</t>
  </si>
  <si>
    <t>Lancaster</t>
  </si>
  <si>
    <t>Lancaster University</t>
  </si>
  <si>
    <t>Swansea</t>
  </si>
  <si>
    <t>Swansea University</t>
  </si>
  <si>
    <t>Aston</t>
  </si>
  <si>
    <t>Aston University</t>
  </si>
  <si>
    <t>Hull</t>
  </si>
  <si>
    <t>University of Hull</t>
  </si>
  <si>
    <t>Keele</t>
  </si>
  <si>
    <t>Keele University</t>
  </si>
  <si>
    <t>Plymouth</t>
  </si>
  <si>
    <t>University of Plymouth</t>
  </si>
  <si>
    <t>Portsmouth</t>
  </si>
  <si>
    <t>University of Portsmouth</t>
  </si>
  <si>
    <t>Ulster</t>
  </si>
  <si>
    <t>Ulster University</t>
  </si>
  <si>
    <t>Northumbria</t>
  </si>
  <si>
    <t>Northumbria University</t>
  </si>
  <si>
    <t>Coventry</t>
  </si>
  <si>
    <t>Coventry University</t>
  </si>
  <si>
    <t>Oxford Brookes</t>
  </si>
  <si>
    <t>Oxford Brookes University</t>
  </si>
  <si>
    <t>De Montfort</t>
  </si>
  <si>
    <t>De Montfort University</t>
  </si>
  <si>
    <t>Westminster</t>
  </si>
  <si>
    <t>University of Westminster</t>
  </si>
  <si>
    <t>Greenwich</t>
  </si>
  <si>
    <t>University of Greenwich</t>
  </si>
  <si>
    <t>Kingston</t>
  </si>
  <si>
    <t>Kingston University</t>
  </si>
  <si>
    <t>Montreal</t>
  </si>
  <si>
    <t>McGill University</t>
  </si>
  <si>
    <t>University of Montreal</t>
  </si>
  <si>
    <t>Queen's University</t>
  </si>
  <si>
    <t>University of Sherbrooke</t>
  </si>
  <si>
    <t>Windsor</t>
  </si>
  <si>
    <t>University of Windsor</t>
  </si>
  <si>
    <t>Moncton</t>
  </si>
  <si>
    <t>University of New Brunswick</t>
  </si>
  <si>
    <t>Trois-Rivieres</t>
  </si>
  <si>
    <t>UQTR</t>
  </si>
  <si>
    <t>Thunder Bay</t>
  </si>
  <si>
    <t>Lakehead University</t>
  </si>
  <si>
    <t>Sudbury</t>
  </si>
  <si>
    <t>Laurentian University</t>
  </si>
  <si>
    <t>Prince George</t>
  </si>
  <si>
    <t>UNBC</t>
  </si>
  <si>
    <t>Brisbane</t>
  </si>
  <si>
    <t>University of Queensland</t>
  </si>
  <si>
    <t>University of New South Wales</t>
  </si>
  <si>
    <t>Monash University</t>
  </si>
  <si>
    <t>Queensland University of Technology</t>
  </si>
  <si>
    <t>University of Technology Sydney</t>
  </si>
  <si>
    <t>RMIT University</t>
  </si>
  <si>
    <t>University of Canberra</t>
  </si>
  <si>
    <t>Toowoomba</t>
  </si>
  <si>
    <t>University of Southern Queensland</t>
  </si>
  <si>
    <t>Ballarat</t>
  </si>
  <si>
    <t>Federation University</t>
  </si>
  <si>
    <t>Lismore</t>
  </si>
  <si>
    <t>Southern Cross University</t>
  </si>
  <si>
    <t>TU Munich</t>
  </si>
  <si>
    <t>Chemistry</t>
  </si>
  <si>
    <t>Humboldt University</t>
  </si>
  <si>
    <t>Biotechnology</t>
  </si>
  <si>
    <t>University of Hamburg</t>
  </si>
  <si>
    <t>Frankfurt</t>
  </si>
  <si>
    <t>Goethe University</t>
  </si>
  <si>
    <t>Cologne</t>
  </si>
  <si>
    <t>University of Cologne</t>
  </si>
  <si>
    <t>Bonn</t>
  </si>
  <si>
    <t>University of Bonn</t>
  </si>
  <si>
    <t>San Francisco</t>
  </si>
  <si>
    <t>UC Berkeley Extension</t>
  </si>
  <si>
    <t>Anglia Ruskin University</t>
  </si>
  <si>
    <t>University of Lyon</t>
  </si>
  <si>
    <t>Cork</t>
  </si>
  <si>
    <t>University College Cork</t>
  </si>
  <si>
    <t>Northeastern University</t>
  </si>
  <si>
    <t>University of Toulouse</t>
  </si>
  <si>
    <t>Limerick</t>
  </si>
  <si>
    <t>University of Limerick</t>
  </si>
  <si>
    <t>University of Salford</t>
  </si>
  <si>
    <t>University of Nice</t>
  </si>
  <si>
    <t>Maynooth</t>
  </si>
  <si>
    <t>Maynooth University</t>
  </si>
  <si>
    <t>Denver</t>
  </si>
  <si>
    <t>University of Denver</t>
  </si>
  <si>
    <t>Leeds Beckett University</t>
  </si>
  <si>
    <t>University of Lille</t>
  </si>
  <si>
    <t>Waterford</t>
  </si>
  <si>
    <t>Waterford IT</t>
  </si>
  <si>
    <t>Portland</t>
  </si>
  <si>
    <t>Portland State University</t>
  </si>
  <si>
    <t>UWE Bristol</t>
  </si>
  <si>
    <t>USI Lugano</t>
  </si>
  <si>
    <t>Sligo</t>
  </si>
  <si>
    <t>IT Sligo</t>
  </si>
  <si>
    <t>Athlone</t>
  </si>
  <si>
    <t>Athlone IT</t>
  </si>
  <si>
    <t>Technical University Berlin</t>
  </si>
  <si>
    <t>Trondheim</t>
  </si>
  <si>
    <t>NTNU</t>
  </si>
  <si>
    <t>Espoo</t>
  </si>
  <si>
    <t>Aalto University</t>
  </si>
  <si>
    <t>LMU Munich</t>
  </si>
  <si>
    <t>Bergen</t>
  </si>
  <si>
    <t>University of Bergen</t>
  </si>
  <si>
    <t>Tampere</t>
  </si>
  <si>
    <t>Tampere University</t>
  </si>
  <si>
    <t>Odense</t>
  </si>
  <si>
    <t>University of Southern Denmark</t>
  </si>
  <si>
    <t>UiT Arctic University</t>
  </si>
  <si>
    <t>Marine Technology</t>
  </si>
  <si>
    <t>Turku</t>
  </si>
  <si>
    <t>University of Turku</t>
  </si>
  <si>
    <t>Energy Engineering</t>
  </si>
  <si>
    <t>Stavanger</t>
  </si>
  <si>
    <t>University of Stavanger</t>
  </si>
  <si>
    <t>Petroleum Engineering</t>
  </si>
  <si>
    <t>Oulu</t>
  </si>
  <si>
    <t>University of Oulu</t>
  </si>
  <si>
    <t>Roskilde</t>
  </si>
  <si>
    <t>Roskilde University</t>
  </si>
  <si>
    <t>Norwegian University of Life Sciences</t>
  </si>
  <si>
    <t>Vaasa</t>
  </si>
  <si>
    <t>University of Vaasa</t>
  </si>
  <si>
    <t>Industrial Management</t>
  </si>
  <si>
    <t>Mechatronics</t>
  </si>
  <si>
    <t>Lyngby</t>
  </si>
  <si>
    <t>Technical University of Denmark</t>
  </si>
  <si>
    <t>Quantum Engineering</t>
  </si>
  <si>
    <t>Nord University</t>
  </si>
  <si>
    <t>Kolding</t>
  </si>
  <si>
    <t>Lappeenranta</t>
  </si>
  <si>
    <t>LUT University</t>
  </si>
  <si>
    <t>Bremen</t>
  </si>
  <si>
    <t>University of Bremen</t>
  </si>
  <si>
    <t>Esbjerg</t>
  </si>
  <si>
    <t>Environmental Engineering</t>
  </si>
  <si>
    <t>Kristiansand</t>
  </si>
  <si>
    <t>University of Agder</t>
  </si>
  <si>
    <t>Renewable Energy</t>
  </si>
  <si>
    <t>Kuopio</t>
  </si>
  <si>
    <t>University of Eastern Finland</t>
  </si>
  <si>
    <t>Materials Science</t>
  </si>
  <si>
    <t>Slagelse</t>
  </si>
  <si>
    <t>Horten</t>
  </si>
  <si>
    <t>University of South-Eastern Norway</t>
  </si>
  <si>
    <t>Systems Engineering</t>
  </si>
  <si>
    <t>Joensuu</t>
  </si>
  <si>
    <t>Forestry Sciences</t>
  </si>
  <si>
    <t>Photonics</t>
  </si>
  <si>
    <t>Herning</t>
  </si>
  <si>
    <t>Engineering Management</t>
  </si>
  <si>
    <t>Engineering Physics</t>
  </si>
  <si>
    <t>Wellington</t>
  </si>
  <si>
    <t>Victoria University</t>
  </si>
  <si>
    <t>Uppsala</t>
  </si>
  <si>
    <t>Uppsala University</t>
  </si>
  <si>
    <t>Porto</t>
  </si>
  <si>
    <t>University of Porto</t>
  </si>
  <si>
    <t>Christchurch</t>
  </si>
  <si>
    <t>University of Canterbury</t>
  </si>
  <si>
    <t>Gothenburg</t>
  </si>
  <si>
    <t>Chalmers University</t>
  </si>
  <si>
    <t>Sustainable Energy</t>
  </si>
  <si>
    <t>Coimbra</t>
  </si>
  <si>
    <t>University of Coimbra</t>
  </si>
  <si>
    <t>Dunedin</t>
  </si>
  <si>
    <t>University of Otago</t>
  </si>
  <si>
    <t>Braga</t>
  </si>
  <si>
    <t>University of Minho</t>
  </si>
  <si>
    <t>University of Waikato</t>
  </si>
  <si>
    <t>Machine Learning</t>
  </si>
  <si>
    <t>Aveiro</t>
  </si>
  <si>
    <t>University of Aveiro</t>
  </si>
  <si>
    <t>Palmerston North</t>
  </si>
  <si>
    <t>Massey University</t>
  </si>
  <si>
    <t>Faro</t>
  </si>
  <si>
    <t>University of Algarve</t>
  </si>
  <si>
    <t>AUT University</t>
  </si>
  <si>
    <t>Karlstad</t>
  </si>
  <si>
    <t>Karlstad University</t>
  </si>
  <si>
    <t>Vila Real</t>
  </si>
  <si>
    <t>UTAD</t>
  </si>
  <si>
    <t>Lincoln University</t>
  </si>
  <si>
    <t>Environmental Computing</t>
  </si>
  <si>
    <t>Linnaeus University</t>
  </si>
  <si>
    <t>Funchal</t>
  </si>
  <si>
    <t>University of Madeira</t>
  </si>
  <si>
    <t>Computing</t>
  </si>
  <si>
    <t>Madrid</t>
  </si>
  <si>
    <t>TU Wien</t>
  </si>
  <si>
    <t>Rome</t>
  </si>
  <si>
    <t>Sapienza University</t>
  </si>
  <si>
    <t>Thessaloniki</t>
  </si>
  <si>
    <t>Aristotle University</t>
  </si>
  <si>
    <t>Graz</t>
  </si>
  <si>
    <t>TU Graz</t>
  </si>
  <si>
    <t>Monterrey</t>
  </si>
  <si>
    <t>Valencia</t>
  </si>
  <si>
    <t>Turin</t>
  </si>
  <si>
    <t>Politecnico di Torino</t>
  </si>
  <si>
    <t>Patras</t>
  </si>
  <si>
    <t>University of Patras</t>
  </si>
  <si>
    <t>Electronics</t>
  </si>
  <si>
    <t>Linz</t>
  </si>
  <si>
    <t>Johannes Kepler University</t>
  </si>
  <si>
    <t>Guadalajara</t>
  </si>
  <si>
    <t>Universidad de Guadalajara</t>
  </si>
  <si>
    <t>Seville</t>
  </si>
  <si>
    <t>Universidad de Sevilla</t>
  </si>
  <si>
    <t>Bologna</t>
  </si>
  <si>
    <t>University of Bologna</t>
  </si>
  <si>
    <t>Heraklion</t>
  </si>
  <si>
    <t>University of Crete</t>
  </si>
  <si>
    <t>Salzburg</t>
  </si>
  <si>
    <t>University of Salzburg</t>
  </si>
  <si>
    <t>Puebla</t>
  </si>
  <si>
    <t>UDLAP</t>
  </si>
  <si>
    <t>Bilbao</t>
  </si>
  <si>
    <t>University of the Basque Country</t>
  </si>
  <si>
    <t>Florence</t>
  </si>
  <si>
    <t>University of Florence</t>
  </si>
  <si>
    <t>Volos</t>
  </si>
  <si>
    <t>University of Thessaly</t>
  </si>
  <si>
    <t>Innsbruck</t>
  </si>
  <si>
    <t>University of Innsbruck</t>
  </si>
  <si>
    <t>Queretaro</t>
  </si>
  <si>
    <t>Tecnologico de Monterrey</t>
  </si>
  <si>
    <t>Granada</t>
  </si>
  <si>
    <t>University of Granada</t>
  </si>
  <si>
    <t>Naples</t>
  </si>
  <si>
    <t>University of Naples</t>
  </si>
  <si>
    <t>Ioannina</t>
  </si>
  <si>
    <t>University of Ioannina</t>
  </si>
  <si>
    <t>Klagenfurt</t>
  </si>
  <si>
    <t>University of Klagenfurt</t>
  </si>
  <si>
    <t>Merida</t>
  </si>
  <si>
    <t>Universidad Autonoma de Yucatan</t>
  </si>
  <si>
    <t>Zaragoza</t>
  </si>
  <si>
    <t>University of Zaragoza</t>
  </si>
  <si>
    <t>Pisa</t>
  </si>
  <si>
    <t>University of Pisa</t>
  </si>
  <si>
    <t>Rhodes</t>
  </si>
  <si>
    <t>University of the Aegean</t>
  </si>
  <si>
    <t>Leoben</t>
  </si>
  <si>
    <t>Tijuana</t>
  </si>
  <si>
    <t>CETYS Universidad</t>
  </si>
  <si>
    <t>Salamanca</t>
  </si>
  <si>
    <t>University of Salamanca</t>
  </si>
  <si>
    <t>Padua</t>
  </si>
  <si>
    <t>University of Padua</t>
  </si>
  <si>
    <t>Chania</t>
  </si>
  <si>
    <t>Technical University of Crete</t>
  </si>
  <si>
    <t>Electronic Engineering</t>
  </si>
  <si>
    <t>Dornbirn</t>
  </si>
  <si>
    <t>FH Vorarlberg</t>
  </si>
  <si>
    <t>San Luis Potosi</t>
  </si>
  <si>
    <t>UASLP</t>
  </si>
  <si>
    <t>Athens University of Economics</t>
  </si>
  <si>
    <t>Leuven</t>
  </si>
  <si>
    <t>Hungary</t>
  </si>
  <si>
    <t>Budapest</t>
  </si>
  <si>
    <t>Budapest University of Technology</t>
  </si>
  <si>
    <t>Ankara</t>
  </si>
  <si>
    <t>Middle East Technical University</t>
  </si>
  <si>
    <t>University of Macedonia</t>
  </si>
  <si>
    <t>Ghent</t>
  </si>
  <si>
    <t>Ghent University</t>
  </si>
  <si>
    <t>Debrecen</t>
  </si>
  <si>
    <t>University of Debrecen</t>
  </si>
  <si>
    <t>Saint Petersburg</t>
  </si>
  <si>
    <t>ITMO University</t>
  </si>
  <si>
    <t>Izmir</t>
  </si>
  <si>
    <t>Ege University</t>
  </si>
  <si>
    <t>Vrije Universiteit Brussel</t>
  </si>
  <si>
    <t>Szeged</t>
  </si>
  <si>
    <t>University of Szeged</t>
  </si>
  <si>
    <t>Novosibirsk</t>
  </si>
  <si>
    <t>Novosibirsk State University</t>
  </si>
  <si>
    <t>Eskisehir</t>
  </si>
  <si>
    <t>Anadolu University</t>
  </si>
  <si>
    <t>Antwerp</t>
  </si>
  <si>
    <t>University of Antwerp</t>
  </si>
  <si>
    <t>Pecs</t>
  </si>
  <si>
    <t>University of Pecs</t>
  </si>
  <si>
    <t>Kazan</t>
  </si>
  <si>
    <t>Kazan Federal University</t>
  </si>
  <si>
    <t>Bursa</t>
  </si>
  <si>
    <t>Uludag University</t>
  </si>
  <si>
    <t>Louvain</t>
  </si>
  <si>
    <t>UCLouvain</t>
  </si>
  <si>
    <t>Gyor</t>
  </si>
  <si>
    <t>Szechenyi Istvan University</t>
  </si>
  <si>
    <t>Tomsk</t>
  </si>
  <si>
    <t>Tomsk State University</t>
  </si>
  <si>
    <t>Antalya</t>
  </si>
  <si>
    <t>Akdeniz University</t>
  </si>
  <si>
    <t>Piraeus</t>
  </si>
  <si>
    <t>University of Piraeus</t>
  </si>
  <si>
    <t>Hasselt</t>
  </si>
  <si>
    <t>Hasselt University</t>
  </si>
  <si>
    <t>Miskolc</t>
  </si>
  <si>
    <t>University of Miskolc</t>
  </si>
  <si>
    <t>Yekaterinburg</t>
  </si>
  <si>
    <t>Ural Federal University</t>
  </si>
  <si>
    <t>Kayseri</t>
  </si>
  <si>
    <t>Erciyes University</t>
  </si>
  <si>
    <t>Xanthi</t>
  </si>
  <si>
    <t>Democritus University</t>
  </si>
  <si>
    <t>Liege</t>
  </si>
  <si>
    <t>University of Liege</t>
  </si>
  <si>
    <t>Veszprem</t>
  </si>
  <si>
    <t>University of Pannonia</t>
  </si>
  <si>
    <t>Samara</t>
  </si>
  <si>
    <t>Samara State University</t>
  </si>
  <si>
    <t>Konya</t>
  </si>
  <si>
    <t>Selcuk University</t>
  </si>
  <si>
    <t>Chios</t>
  </si>
  <si>
    <t>Mons</t>
  </si>
  <si>
    <t>University of Mons</t>
  </si>
  <si>
    <t>Kecskemet</t>
  </si>
  <si>
    <t>John von Neumann University</t>
  </si>
  <si>
    <t>Rostov-on-Don</t>
  </si>
  <si>
    <t>Southern Federal University</t>
  </si>
  <si>
    <t>Cairo University</t>
  </si>
  <si>
    <t>University of Dubai</t>
  </si>
  <si>
    <t>Rio de Janeiro</t>
  </si>
  <si>
    <t>PUC-Rio</t>
  </si>
  <si>
    <t>Mumbai</t>
  </si>
  <si>
    <t>IIT Bombay</t>
  </si>
  <si>
    <t>Chiang Mai</t>
  </si>
  <si>
    <t>Chiang Mai University</t>
  </si>
  <si>
    <t>Abu Dhabi</t>
  </si>
  <si>
    <t>Khalifa University</t>
  </si>
  <si>
    <t>Campinas</t>
  </si>
  <si>
    <t>UNICAMP</t>
  </si>
  <si>
    <t>Delhi</t>
  </si>
  <si>
    <t>IIT Delhi</t>
  </si>
  <si>
    <t>Khon Kaen</t>
  </si>
  <si>
    <t>Khon Kaen University</t>
  </si>
  <si>
    <t>Alexandria</t>
  </si>
  <si>
    <t>Alexandria University</t>
  </si>
  <si>
    <t>Sharjah</t>
  </si>
  <si>
    <t>American University of Sharjah</t>
  </si>
  <si>
    <t>Porto Alegre</t>
  </si>
  <si>
    <t>UFRGS</t>
  </si>
  <si>
    <t>Chennai</t>
  </si>
  <si>
    <t>IIT Madras</t>
  </si>
  <si>
    <t>Phuket</t>
  </si>
  <si>
    <t>Prince of Songkla University</t>
  </si>
  <si>
    <t>Giza</t>
  </si>
  <si>
    <t>Ain Shams University</t>
  </si>
  <si>
    <t>Singapore University of Technology</t>
  </si>
  <si>
    <t>Ajman</t>
  </si>
  <si>
    <t>Ajman University</t>
  </si>
  <si>
    <t>Recife</t>
  </si>
  <si>
    <t>UFPE</t>
  </si>
  <si>
    <t>Hyderabad</t>
  </si>
  <si>
    <t>IIT Hyderabad</t>
  </si>
  <si>
    <t>Hat Yai</t>
  </si>
  <si>
    <t>Port Said</t>
  </si>
  <si>
    <t>Port Said University</t>
  </si>
  <si>
    <t>Al Ain</t>
  </si>
  <si>
    <t>UAE University</t>
  </si>
  <si>
    <t>Florianopolis</t>
  </si>
  <si>
    <t>UFSC</t>
  </si>
  <si>
    <t>Pune</t>
  </si>
  <si>
    <t>IIT Pune</t>
  </si>
  <si>
    <t>Nakhon Ratchasima</t>
  </si>
  <si>
    <t>Suranaree University</t>
  </si>
  <si>
    <t>Mansoura</t>
  </si>
  <si>
    <t>Mansoura University</t>
  </si>
  <si>
    <t>SIM Global Education</t>
  </si>
  <si>
    <t>Ras Al Khaimah</t>
  </si>
  <si>
    <t>RAK University</t>
  </si>
  <si>
    <t>Salvador</t>
  </si>
  <si>
    <t>UFBA</t>
  </si>
  <si>
    <t>Kanpur</t>
  </si>
  <si>
    <t>IIT Kanpur</t>
  </si>
  <si>
    <t>Songkhla</t>
  </si>
  <si>
    <t>Thaksin University</t>
  </si>
  <si>
    <t>Aswan</t>
  </si>
  <si>
    <t>Aswan University</t>
  </si>
  <si>
    <t>Fujairah</t>
  </si>
  <si>
    <t>Fujairah University</t>
  </si>
  <si>
    <t>Iceland</t>
  </si>
  <si>
    <t>Reykjavik</t>
  </si>
  <si>
    <t>University of Iceland</t>
  </si>
  <si>
    <t>Colombia</t>
  </si>
  <si>
    <t>Bogota</t>
  </si>
  <si>
    <t>Universidad Nacional</t>
  </si>
  <si>
    <t>Romania</t>
  </si>
  <si>
    <t>Bucharest</t>
  </si>
  <si>
    <t>University Politehnica</t>
  </si>
  <si>
    <t>Luxembourg</t>
  </si>
  <si>
    <t>Luxembourg City</t>
  </si>
  <si>
    <t>University of Luxembourg</t>
  </si>
  <si>
    <t>Akureyri</t>
  </si>
  <si>
    <t>University of Akureyri</t>
  </si>
  <si>
    <t>Medellin</t>
  </si>
  <si>
    <t>Universidad de Antioquia</t>
  </si>
  <si>
    <t>Krakow</t>
  </si>
  <si>
    <t>Jagiellonian University</t>
  </si>
  <si>
    <t>Cluj-Napoca</t>
  </si>
  <si>
    <t>Babes-Bolyai University</t>
  </si>
  <si>
    <t>Esch-sur-Alzette</t>
  </si>
  <si>
    <t>Luxembourg School of Business</t>
  </si>
  <si>
    <t>Bandung</t>
  </si>
  <si>
    <t>Institut Teknologi Bandung</t>
  </si>
  <si>
    <t>Reykjavik University</t>
  </si>
  <si>
    <t>Cali</t>
  </si>
  <si>
    <t>Universidad del Valle</t>
  </si>
  <si>
    <t>Wroclaw</t>
  </si>
  <si>
    <t>Wroclaw University of Technology</t>
  </si>
  <si>
    <t>Timisoara</t>
  </si>
  <si>
    <t>Politehnica University</t>
  </si>
  <si>
    <t>Belval</t>
  </si>
  <si>
    <t>Luxembourg Institute of Science</t>
  </si>
  <si>
    <t>Yogyakarta</t>
  </si>
  <si>
    <t>Gadjah Mada University</t>
  </si>
  <si>
    <t>Hafnarfjordur</t>
  </si>
  <si>
    <t>Iceland University of Arts</t>
  </si>
  <si>
    <t>Digital Design</t>
  </si>
  <si>
    <t>Barranquilla</t>
  </si>
  <si>
    <t>Universidad del Norte</t>
  </si>
  <si>
    <t>Poznan</t>
  </si>
  <si>
    <t>Adam Mickiewicz University</t>
  </si>
  <si>
    <t>Iasi</t>
  </si>
  <si>
    <t>Alexandru Ioan Cuza University</t>
  </si>
  <si>
    <t>Kirchberg</t>
  </si>
  <si>
    <t>Sacred Heart University</t>
  </si>
  <si>
    <t>Surabaya</t>
  </si>
  <si>
    <t>Institut Teknologi Sepuluh</t>
  </si>
  <si>
    <t>Kopavogur</t>
  </si>
  <si>
    <t>Bifrost University</t>
  </si>
  <si>
    <t>Digital Business</t>
  </si>
  <si>
    <t>Bucaramanga</t>
  </si>
  <si>
    <t>UIS</t>
  </si>
  <si>
    <t>Gdansk</t>
  </si>
  <si>
    <t>Gdansk University of Technology</t>
  </si>
  <si>
    <t>Brasov</t>
  </si>
  <si>
    <t>Transilvania University</t>
  </si>
  <si>
    <t>Differdange</t>
  </si>
  <si>
    <t>Miami University Dolibois</t>
  </si>
  <si>
    <t>Malang</t>
  </si>
  <si>
    <t>Brawijaya University</t>
  </si>
  <si>
    <t>Lodz</t>
  </si>
  <si>
    <t>Lodz University of Technology</t>
  </si>
  <si>
    <t>Constanta</t>
  </si>
  <si>
    <t>Ovidius University</t>
  </si>
  <si>
    <t>Walferdange</t>
  </si>
  <si>
    <t>European Business University</t>
  </si>
  <si>
    <t>Semarang</t>
  </si>
  <si>
    <t>Diponegoro University</t>
  </si>
  <si>
    <t>Borgarnes</t>
  </si>
  <si>
    <t>Agricultural University</t>
  </si>
  <si>
    <t>Data Systems</t>
  </si>
  <si>
    <t>Cartagena</t>
  </si>
  <si>
    <t>Universidad de Cartagena</t>
  </si>
  <si>
    <t>Katowice</t>
  </si>
  <si>
    <t>University of Silesia</t>
  </si>
  <si>
    <t>Craiova</t>
  </si>
  <si>
    <t>University of Craiova</t>
  </si>
  <si>
    <t>Bertrange</t>
  </si>
  <si>
    <t>Chamber of Commerce School</t>
  </si>
  <si>
    <t>Denpasar</t>
  </si>
  <si>
    <t>Udayana University</t>
  </si>
  <si>
    <t>Tunisia</t>
  </si>
  <si>
    <t>Tunis</t>
  </si>
  <si>
    <t>University of Tunis</t>
  </si>
  <si>
    <t>Cyprus</t>
  </si>
  <si>
    <t>Nicosia</t>
  </si>
  <si>
    <t>University of Cyprus</t>
  </si>
  <si>
    <t>Croatia</t>
  </si>
  <si>
    <t>Zagreb</t>
  </si>
  <si>
    <t>University of Zagreb</t>
  </si>
  <si>
    <t>Dominican Republic</t>
  </si>
  <si>
    <t>Santo Domingo</t>
  </si>
  <si>
    <t>INTEC</t>
  </si>
  <si>
    <t>Morocco</t>
  </si>
  <si>
    <t>Rabat</t>
  </si>
  <si>
    <t>Mohammed V University</t>
  </si>
  <si>
    <t>Peru</t>
  </si>
  <si>
    <t>Lima</t>
  </si>
  <si>
    <t>PUCP</t>
  </si>
  <si>
    <t>Sfax</t>
  </si>
  <si>
    <t>University of Sfax</t>
  </si>
  <si>
    <t>Limassol</t>
  </si>
  <si>
    <t>Cyprus University of Technology</t>
  </si>
  <si>
    <t>Split</t>
  </si>
  <si>
    <t>University of Split</t>
  </si>
  <si>
    <t>Santiago</t>
  </si>
  <si>
    <t>PUCMM</t>
  </si>
  <si>
    <t>Casablanca</t>
  </si>
  <si>
    <t>Hassan II University</t>
  </si>
  <si>
    <t>Arequipa</t>
  </si>
  <si>
    <t>Universidad San Agustin</t>
  </si>
  <si>
    <t>Cordoba</t>
  </si>
  <si>
    <t>National University of Cordoba</t>
  </si>
  <si>
    <t>Sousse</t>
  </si>
  <si>
    <t>University of Sousse</t>
  </si>
  <si>
    <t>Larnaca</t>
  </si>
  <si>
    <t>American University Cyprus</t>
  </si>
  <si>
    <t>Rijeka</t>
  </si>
  <si>
    <t>University of Rijeka</t>
  </si>
  <si>
    <t>La Romana</t>
  </si>
  <si>
    <t>Universidad Central Este</t>
  </si>
  <si>
    <t>Fez</t>
  </si>
  <si>
    <t>University of Al Quaraouiyine</t>
  </si>
  <si>
    <t>Trujillo</t>
  </si>
  <si>
    <t>Universidad Nacional de Trujillo</t>
  </si>
  <si>
    <t>Rosario</t>
  </si>
  <si>
    <t>National University of Rosario</t>
  </si>
  <si>
    <t>Monastir</t>
  </si>
  <si>
    <t>University of Monastir</t>
  </si>
  <si>
    <t>Famagusta</t>
  </si>
  <si>
    <t>Eastern Mediterranean University</t>
  </si>
  <si>
    <t>Osijek</t>
  </si>
  <si>
    <t>University of Osijek</t>
  </si>
  <si>
    <t>San Pedro</t>
  </si>
  <si>
    <t>UCNE</t>
  </si>
  <si>
    <t>Marrakech</t>
  </si>
  <si>
    <t>Cadi Ayyad University</t>
  </si>
  <si>
    <t>Cusco</t>
  </si>
  <si>
    <t>Universidad San Antonio Abad</t>
  </si>
  <si>
    <t>La Plata</t>
  </si>
  <si>
    <t>National University of La Plata</t>
  </si>
  <si>
    <t>Gabes</t>
  </si>
  <si>
    <t>University of Gabes</t>
  </si>
  <si>
    <t>Zadar</t>
  </si>
  <si>
    <t>University of Zadar</t>
  </si>
  <si>
    <t>Paphos</t>
  </si>
  <si>
    <t>Neapolis University</t>
  </si>
  <si>
    <t>Puerto Plata</t>
  </si>
  <si>
    <t>UTESA</t>
  </si>
  <si>
    <t>Tangier</t>
  </si>
  <si>
    <t>Abdelmalek Essaadi University</t>
  </si>
  <si>
    <t>Piura</t>
  </si>
  <si>
    <t>Universidad de Piura</t>
  </si>
  <si>
    <t>Mendoza</t>
  </si>
  <si>
    <t>National University of Cuyo</t>
  </si>
  <si>
    <t>Bizerte</t>
  </si>
  <si>
    <t>University of Carthage</t>
  </si>
  <si>
    <t>Girne</t>
  </si>
  <si>
    <t>Girne American University</t>
  </si>
  <si>
    <t>Dubrovnik</t>
  </si>
  <si>
    <t>University of Dubrovnik</t>
  </si>
  <si>
    <t>Oujda</t>
  </si>
  <si>
    <t>Mohammed I University</t>
  </si>
  <si>
    <t>Chiclayo</t>
  </si>
  <si>
    <t>Universidad San Martin</t>
  </si>
  <si>
    <t>Ecuador</t>
  </si>
  <si>
    <t>Quito</t>
  </si>
  <si>
    <t>Universidad San Francisco</t>
  </si>
  <si>
    <t>Lebanon</t>
  </si>
  <si>
    <t>Beirut</t>
  </si>
  <si>
    <t>American University of Beirut</t>
  </si>
  <si>
    <t>Bahrain</t>
  </si>
  <si>
    <t>Manama</t>
  </si>
  <si>
    <t>University of Bahrain</t>
  </si>
  <si>
    <t>Uruguay</t>
  </si>
  <si>
    <t>Montevideo</t>
  </si>
  <si>
    <t>Universidad de la Republica</t>
  </si>
  <si>
    <t>Bulgaria</t>
  </si>
  <si>
    <t>Sofia</t>
  </si>
  <si>
    <t>Sofia University</t>
  </si>
  <si>
    <t>Ghana</t>
  </si>
  <si>
    <t>Accra</t>
  </si>
  <si>
    <t>University of Ghana</t>
  </si>
  <si>
    <t>Algeria</t>
  </si>
  <si>
    <t>Algiers</t>
  </si>
  <si>
    <t>University of Science and Technology</t>
  </si>
  <si>
    <t>Panama</t>
  </si>
  <si>
    <t>Panama City</t>
  </si>
  <si>
    <t>Universidad Tecnologica</t>
  </si>
  <si>
    <t>Guayaquil</t>
  </si>
  <si>
    <t>ESPOL</t>
  </si>
  <si>
    <t>Byblos</t>
  </si>
  <si>
    <t>Lebanese American University</t>
  </si>
  <si>
    <t>Riffa</t>
  </si>
  <si>
    <t>Royal University for Women</t>
  </si>
  <si>
    <t>Salto</t>
  </si>
  <si>
    <t>Universidad ORT Uruguay</t>
  </si>
  <si>
    <t>Plovdiv</t>
  </si>
  <si>
    <t>Plovdiv University</t>
  </si>
  <si>
    <t>Kumasi</t>
  </si>
  <si>
    <t>Kwame Nkrumah University</t>
  </si>
  <si>
    <t>Oran</t>
  </si>
  <si>
    <t>University of Oran</t>
  </si>
  <si>
    <t>David</t>
  </si>
  <si>
    <t>ISAE University</t>
  </si>
  <si>
    <t>Cuenca</t>
  </si>
  <si>
    <t>Universidad de Cuenca</t>
  </si>
  <si>
    <t>Tripoli</t>
  </si>
  <si>
    <t>Lebanese University</t>
  </si>
  <si>
    <t>Isa Town</t>
  </si>
  <si>
    <t>Bahrain Polytechnic</t>
  </si>
  <si>
    <t>Maldonado</t>
  </si>
  <si>
    <t>Universidad Catolica</t>
  </si>
  <si>
    <t>Varna</t>
  </si>
  <si>
    <t>Technical University Varna</t>
  </si>
  <si>
    <t>Cape Coast</t>
  </si>
  <si>
    <t>University of Cape Coast</t>
  </si>
  <si>
    <t>Constantine</t>
  </si>
  <si>
    <t>University of Constantine</t>
  </si>
  <si>
    <t>Universidad Latina</t>
  </si>
  <si>
    <t>Loja</t>
  </si>
  <si>
    <t>UTPL</t>
  </si>
  <si>
    <t>Jounieh</t>
  </si>
  <si>
    <t>Holy Spirit University</t>
  </si>
  <si>
    <t>Sakhir</t>
  </si>
  <si>
    <t>Arabian Gulf University</t>
  </si>
  <si>
    <t>Rivera</t>
  </si>
  <si>
    <t>UTEC</t>
  </si>
  <si>
    <t>Burgas</t>
  </si>
  <si>
    <t>Burgas Free University</t>
  </si>
  <si>
    <t>Tamale</t>
  </si>
  <si>
    <t>University for Development</t>
  </si>
  <si>
    <t>Annaba</t>
  </si>
  <si>
    <t>Badji Mokhtar University</t>
  </si>
  <si>
    <t>Quality Leadership University</t>
  </si>
  <si>
    <t>Ambato</t>
  </si>
  <si>
    <t>Universidad Tecnica</t>
  </si>
  <si>
    <t>Sidon</t>
  </si>
  <si>
    <t>Lebanese International</t>
  </si>
  <si>
    <t>Muharraq</t>
  </si>
  <si>
    <t>Applied Science University</t>
  </si>
  <si>
    <t>Paysandu</t>
  </si>
  <si>
    <t>Universidad de Paysandu</t>
  </si>
  <si>
    <t>Ruse</t>
  </si>
  <si>
    <t>University of Ruse</t>
  </si>
  <si>
    <t>Ho</t>
  </si>
  <si>
    <t>University of Health Sciences</t>
  </si>
  <si>
    <t>Tlemcen</t>
  </si>
  <si>
    <t>University of Tlemcen</t>
  </si>
  <si>
    <t>La Chorrera</t>
  </si>
  <si>
    <t>Universidad Metropolitana</t>
  </si>
  <si>
    <t>Bangladesh</t>
  </si>
  <si>
    <t>Dhaka</t>
  </si>
  <si>
    <t>Bangladesh University of Engineering</t>
  </si>
  <si>
    <t>Kuwait</t>
  </si>
  <si>
    <t>Kuwait City</t>
  </si>
  <si>
    <t>Kuwait University</t>
  </si>
  <si>
    <t>Ukraine</t>
  </si>
  <si>
    <t>Kyiv</t>
  </si>
  <si>
    <t>Igor Sikorsky Kyiv Polytechnic</t>
  </si>
  <si>
    <t>Slovenia</t>
  </si>
  <si>
    <t>Ljubljana</t>
  </si>
  <si>
    <t>University of Ljubljana</t>
  </si>
  <si>
    <t>Serbia</t>
  </si>
  <si>
    <t>Belgrade</t>
  </si>
  <si>
    <t>University of Belgrade</t>
  </si>
  <si>
    <t>Iran</t>
  </si>
  <si>
    <t>Tehran</t>
  </si>
  <si>
    <t>Sharif University of Technology</t>
  </si>
  <si>
    <t>Uzbekistan</t>
  </si>
  <si>
    <t>Tashkent</t>
  </si>
  <si>
    <t>INHA University Tashkent</t>
  </si>
  <si>
    <t>El Salvador</t>
  </si>
  <si>
    <t>San Salvador</t>
  </si>
  <si>
    <t>Universidad Don Bosco</t>
  </si>
  <si>
    <t>Chittagong</t>
  </si>
  <si>
    <t>CUET</t>
  </si>
  <si>
    <t>Hawalli</t>
  </si>
  <si>
    <t>American University Kuwait</t>
  </si>
  <si>
    <t>Lviv</t>
  </si>
  <si>
    <t>Lviv Polytechnic</t>
  </si>
  <si>
    <t>Maribor</t>
  </si>
  <si>
    <t>University of Maribor</t>
  </si>
  <si>
    <t>Novi Sad</t>
  </si>
  <si>
    <t>University of Novi Sad</t>
  </si>
  <si>
    <t>Isfahan</t>
  </si>
  <si>
    <t>Isfahan University of Technology</t>
  </si>
  <si>
    <t>Samarkand</t>
  </si>
  <si>
    <t>Samarkand State University</t>
  </si>
  <si>
    <t>Santa Ana</t>
  </si>
  <si>
    <t>Khulna</t>
  </si>
  <si>
    <t>Khulna University</t>
  </si>
  <si>
    <t>Al Jahra</t>
  </si>
  <si>
    <t>Gulf University for Science</t>
  </si>
  <si>
    <t>Kharkiv</t>
  </si>
  <si>
    <t>Kharkiv Polytechnic</t>
  </si>
  <si>
    <t>Koper</t>
  </si>
  <si>
    <t>University of Primorska</t>
  </si>
  <si>
    <t>Nis</t>
  </si>
  <si>
    <t>University of Nis</t>
  </si>
  <si>
    <t>Mashhad</t>
  </si>
  <si>
    <t>Ferdowsi University</t>
  </si>
  <si>
    <t>Bukhara</t>
  </si>
  <si>
    <t>Bukhara State University</t>
  </si>
  <si>
    <t>San Miguel</t>
  </si>
  <si>
    <t>Universidad de Oriente</t>
  </si>
  <si>
    <t>Rajshahi</t>
  </si>
  <si>
    <t>RUET</t>
  </si>
  <si>
    <t>Salmiya</t>
  </si>
  <si>
    <t>Australian College Kuwait</t>
  </si>
  <si>
    <t>Odesa</t>
  </si>
  <si>
    <t>Odesa Polytechnic</t>
  </si>
  <si>
    <t>Nova Gorica</t>
  </si>
  <si>
    <t>University of Nova Gorica</t>
  </si>
  <si>
    <t>Kragujevac</t>
  </si>
  <si>
    <t>University of Kragujevac</t>
  </si>
  <si>
    <t>Shiraz</t>
  </si>
  <si>
    <t>Shiraz University</t>
  </si>
  <si>
    <t>Namangan</t>
  </si>
  <si>
    <t>Namangan Institute</t>
  </si>
  <si>
    <t>Sonsonate</t>
  </si>
  <si>
    <t>Universidad de Sonsonate</t>
  </si>
  <si>
    <t>Sylhet</t>
  </si>
  <si>
    <t>SUST</t>
  </si>
  <si>
    <t>Al Ahmadi</t>
  </si>
  <si>
    <t>ACK</t>
  </si>
  <si>
    <t>Dnipro</t>
  </si>
  <si>
    <t>Dnipro Polytechnic</t>
  </si>
  <si>
    <t>Celje</t>
  </si>
  <si>
    <t>Faculty of Logistics</t>
  </si>
  <si>
    <t>Subotica</t>
  </si>
  <si>
    <t>University of Subotica</t>
  </si>
  <si>
    <t>Tabriz</t>
  </si>
  <si>
    <t>University of Tabriz</t>
  </si>
  <si>
    <t>Andijan</t>
  </si>
  <si>
    <t>Andijan State University</t>
  </si>
  <si>
    <t>Santa Tecla</t>
  </si>
  <si>
    <t>ITCA-FEPADE</t>
  </si>
  <si>
    <t>Imperial College</t>
  </si>
  <si>
    <t>Universidad Politecnica</t>
  </si>
  <si>
    <t>Penang</t>
  </si>
  <si>
    <t>USM</t>
  </si>
  <si>
    <t>Jeddah</t>
  </si>
  <si>
    <t>King Abdulaziz University</t>
  </si>
  <si>
    <t>Universitat de Barcelona</t>
  </si>
  <si>
    <t>Johor Bahru</t>
  </si>
  <si>
    <t>UTM</t>
  </si>
  <si>
    <t>Dhahran</t>
  </si>
  <si>
    <t>KFUPM</t>
  </si>
  <si>
    <t>Universidad de Valencia</t>
  </si>
  <si>
    <t>Kuching</t>
  </si>
  <si>
    <t>UNIMAS</t>
  </si>
  <si>
    <t>Medina</t>
  </si>
  <si>
    <t>Islamic University</t>
  </si>
  <si>
    <t>Massachusetts</t>
  </si>
  <si>
    <t>Marseille</t>
  </si>
  <si>
    <t>Aix-Marseille University</t>
  </si>
  <si>
    <t>Cyberjaya</t>
  </si>
  <si>
    <t>Multimedia University</t>
  </si>
  <si>
    <t>Dammam</t>
  </si>
  <si>
    <t>Imam Abdulrahman University</t>
  </si>
  <si>
    <t>Universidad de Granada</t>
  </si>
  <si>
    <t>Bangi</t>
  </si>
  <si>
    <t>UKM</t>
  </si>
  <si>
    <t>Taif</t>
  </si>
  <si>
    <t>Taif University</t>
  </si>
  <si>
    <t>Melaka</t>
  </si>
  <si>
    <t>UTeM</t>
  </si>
  <si>
    <t>Tabuk</t>
  </si>
  <si>
    <t>University of Tabuk</t>
  </si>
  <si>
    <t>Shah Alam</t>
  </si>
  <si>
    <t>UiTM</t>
  </si>
  <si>
    <t>Makkah</t>
  </si>
  <si>
    <t>Umm Al-Qura University</t>
  </si>
  <si>
    <t>Nilai</t>
  </si>
  <si>
    <t>USIM</t>
  </si>
  <si>
    <t>Al-Ahsa</t>
  </si>
  <si>
    <t>King Faisal University</t>
  </si>
  <si>
    <t>Total_Cost</t>
  </si>
  <si>
    <t>Cost_Per_Year</t>
  </si>
  <si>
    <t>Total_Rent</t>
  </si>
  <si>
    <t>Non_Tuition_Cost</t>
  </si>
  <si>
    <t>Tuition_Percentage</t>
  </si>
  <si>
    <t>Row Labels</t>
  </si>
  <si>
    <t>Grand Total</t>
  </si>
  <si>
    <t>Average of Total_Cost</t>
  </si>
  <si>
    <t>Average of Cost_Per_Year</t>
  </si>
  <si>
    <t>Average of Tuition_USD</t>
  </si>
  <si>
    <t>Average of Non_Tuition_Cost</t>
  </si>
  <si>
    <t>Average of Total_Rent</t>
  </si>
  <si>
    <t>Université de Sherbrooke</t>
  </si>
  <si>
    <t>École Polytechnique</t>
  </si>
  <si>
    <t>École Normale Supérieure Lyon</t>
  </si>
  <si>
    <t>Université Nice Sophia Antipolis</t>
  </si>
  <si>
    <t>Université de Lille</t>
  </si>
  <si>
    <t>Tromsø</t>
  </si>
  <si>
    <t>Ås</t>
  </si>
  <si>
    <t>Bodø</t>
  </si>
  <si>
    <t>Jyväskylä</t>
  </si>
  <si>
    <t>University of Jyväskylä</t>
  </si>
  <si>
    <t>Gjøvik</t>
  </si>
  <si>
    <t>NTNU Gjøvik</t>
  </si>
  <si>
    <t>Linköping</t>
  </si>
  <si>
    <t>Linköping University</t>
  </si>
  <si>
    <t>Umeå</t>
  </si>
  <si>
    <t>Umeå University</t>
  </si>
  <si>
    <t>Växjö</t>
  </si>
  <si>
    <t>Universidad Politécnica de Madrid</t>
  </si>
  <si>
    <t>Universitat Politècnica Catalunya</t>
  </si>
  <si>
    <t>Tecnológico de Monterrey</t>
  </si>
  <si>
    <t>Universitat de València</t>
  </si>
  <si>
    <t>Montanuniversität Leoben</t>
  </si>
  <si>
    <t>Chitré</t>
  </si>
  <si>
    <t>École Normale Supérieure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</si>
</sst>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6.558891203706" createdVersion="8" refreshedVersion="8" minRefreshableVersion="3" recordCount="908" xr:uid="{71BBC6DF-253E-4F57-AFE0-49B1598F5660}">
  <cacheSource type="worksheet">
    <worksheetSource ref="A1:P1048576" sheet="International_Education_Costs"/>
  </cacheSource>
  <cacheFields count="17">
    <cacheField name="Country" numFmtId="0">
      <sharedItems containsBlank="1" count="72">
        <s v="USA"/>
        <s v="UK"/>
        <s v="Canada"/>
        <s v="Australia"/>
        <s v="Germany"/>
        <s v="Japan"/>
        <s v="Netherlands"/>
        <s v="Singapore"/>
        <s v="France"/>
        <s v="Switzerland"/>
        <s v="Sweden"/>
        <s v="Denmark"/>
        <s v="China"/>
        <s v="South Korea"/>
        <s v="Ireland"/>
        <s v="New Zealand"/>
        <s v="Austria"/>
        <s v="Belgium"/>
        <s v="Hong Kong"/>
        <s v="Portugal"/>
        <s v="Israel"/>
        <s v="Taiwan"/>
        <s v="Czech Republic"/>
        <s v="India"/>
        <s v="Poland"/>
        <s v="Malaysia"/>
        <s v="Spain"/>
        <s v="Italy"/>
        <s v="Finland"/>
        <s v="Norway"/>
        <s v="Brazil"/>
        <s v="Turkey"/>
        <s v="Russia"/>
        <s v="Mexico"/>
        <s v="Greece"/>
        <s v="Thailand"/>
        <s v="UAE"/>
        <s v="South Africa"/>
        <s v="Egypt"/>
        <s v="Argentina"/>
        <s v="Indonesia"/>
        <s v="Saudi Arabia"/>
        <s v="Nigeria"/>
        <s v="Vietnam"/>
        <s v="Hungary"/>
        <s v="Iceland"/>
        <s v="Colombia"/>
        <s v="Romania"/>
        <s v="Luxembourg"/>
        <s v="Tunisia"/>
        <s v="Cyprus"/>
        <s v="Croatia"/>
        <s v="Dominican Republic"/>
        <s v="Morocco"/>
        <s v="Peru"/>
        <s v="Ecuador"/>
        <s v="Lebanon"/>
        <s v="Bahrain"/>
        <s v="Uruguay"/>
        <s v="Bulgaria"/>
        <s v="Ghana"/>
        <s v="Algeria"/>
        <s v="Panama"/>
        <s v="Bangladesh"/>
        <s v="Kuwait"/>
        <s v="Ukraine"/>
        <s v="Slovenia"/>
        <s v="Serbia"/>
        <s v="Iran"/>
        <s v="Uzbekistan"/>
        <s v="El Salvador"/>
        <m/>
      </sharedItems>
    </cacheField>
    <cacheField name="City" numFmtId="0">
      <sharedItems containsBlank="1"/>
    </cacheField>
    <cacheField name="University" numFmtId="0">
      <sharedItems containsBlank="1"/>
    </cacheField>
    <cacheField name="Program" numFmtId="0">
      <sharedItems containsBlank="1"/>
    </cacheField>
    <cacheField name="Level" numFmtId="0">
      <sharedItems containsBlank="1"/>
    </cacheField>
    <cacheField name="Duration_Years" numFmtId="0">
      <sharedItems containsString="0" containsBlank="1" containsNumber="1" minValue="1" maxValue="5"/>
    </cacheField>
    <cacheField name="Tuition_USD" numFmtId="164">
      <sharedItems containsString="0" containsBlank="1" containsNumber="1" containsInteger="1" minValue="0" maxValue="62000"/>
    </cacheField>
    <cacheField name="Living_Cost_Index" numFmtId="0">
      <sharedItems containsString="0" containsBlank="1" containsNumber="1" minValue="27.8" maxValue="122.4"/>
    </cacheField>
    <cacheField name="Rent_USD" numFmtId="164">
      <sharedItems containsString="0" containsBlank="1" containsNumber="1" containsInteger="1" minValue="150" maxValue="2500"/>
    </cacheField>
    <cacheField name="Visa_Fee_USD" numFmtId="164">
      <sharedItems containsString="0" containsBlank="1" containsNumber="1" containsInteger="1" minValue="40" maxValue="490"/>
    </cacheField>
    <cacheField name="Insurance_USD" numFmtId="164">
      <sharedItems containsString="0" containsBlank="1" containsNumber="1" containsInteger="1" minValue="200" maxValue="1500"/>
    </cacheField>
    <cacheField name="Exchange_Rate" numFmtId="164">
      <sharedItems containsString="0" containsBlank="1" containsNumber="1" minValue="0.15" maxValue="42150"/>
    </cacheField>
    <cacheField name="Total_Cost" numFmtId="0">
      <sharedItems containsString="0" containsBlank="1" containsNumber="1" containsInteger="1" minValue="5700" maxValue="199860"/>
    </cacheField>
    <cacheField name="Cost_Per_Year" numFmtId="0">
      <sharedItems containsString="0" containsBlank="1" containsNumber="1" minValue="2420" maxValue="64885"/>
    </cacheField>
    <cacheField name="Total_Rent" numFmtId="0">
      <sharedItems containsString="0" containsBlank="1" containsNumber="1" containsInteger="1" minValue="3840" maxValue="138000"/>
    </cacheField>
    <cacheField name="Non_Tuition_Cost" numFmtId="0">
      <sharedItems containsString="0" containsBlank="1" containsNumber="1" containsInteger="1" minValue="4300" maxValue="145660"/>
    </cacheField>
    <cacheField name="Tuition_Percentage" numFmtId="10">
      <sharedItems containsString="0" containsBlank="1" containsNumber="1" minValue="0" maxValue="0.74135677794938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6.632678703703" createdVersion="8" refreshedVersion="8" minRefreshableVersion="3" recordCount="907" xr:uid="{5AC7CB66-B017-48CA-9625-5973356B7461}">
  <cacheSource type="worksheet">
    <worksheetSource name="Table1"/>
  </cacheSource>
  <cacheFields count="17">
    <cacheField name="Country" numFmtId="0">
      <sharedItems count="71">
        <s v="USA"/>
        <s v="UK"/>
        <s v="Canada"/>
        <s v="Australia"/>
        <s v="Germany"/>
        <s v="Japan"/>
        <s v="Netherlands"/>
        <s v="Singapore"/>
        <s v="France"/>
        <s v="Switzerland"/>
        <s v="Sweden"/>
        <s v="Denmark"/>
        <s v="China"/>
        <s v="South Korea"/>
        <s v="Ireland"/>
        <s v="New Zealand"/>
        <s v="Austria"/>
        <s v="Belgium"/>
        <s v="Hong Kong"/>
        <s v="Portugal"/>
        <s v="Israel"/>
        <s v="Taiwan"/>
        <s v="Czech Republic"/>
        <s v="India"/>
        <s v="Poland"/>
        <s v="Malaysia"/>
        <s v="Spain"/>
        <s v="Italy"/>
        <s v="Finland"/>
        <s v="Norway"/>
        <s v="Brazil"/>
        <s v="Turkey"/>
        <s v="Russia"/>
        <s v="Mexico"/>
        <s v="Greece"/>
        <s v="Thailand"/>
        <s v="UAE"/>
        <s v="South Africa"/>
        <s v="Egypt"/>
        <s v="Argentina"/>
        <s v="Indonesia"/>
        <s v="Saudi Arabia"/>
        <s v="Nigeria"/>
        <s v="Vietnam"/>
        <s v="Hungary"/>
        <s v="Iceland"/>
        <s v="Colombia"/>
        <s v="Romania"/>
        <s v="Luxembourg"/>
        <s v="Tunisia"/>
        <s v="Cyprus"/>
        <s v="Croatia"/>
        <s v="Dominican Republic"/>
        <s v="Morocco"/>
        <s v="Peru"/>
        <s v="Ecuador"/>
        <s v="Lebanon"/>
        <s v="Bahrain"/>
        <s v="Uruguay"/>
        <s v="Bulgaria"/>
        <s v="Ghana"/>
        <s v="Algeria"/>
        <s v="Panama"/>
        <s v="Bangladesh"/>
        <s v="Kuwait"/>
        <s v="Ukraine"/>
        <s v="Slovenia"/>
        <s v="Serbia"/>
        <s v="Iran"/>
        <s v="Uzbekistan"/>
        <s v="El Salvador"/>
      </sharedItems>
    </cacheField>
    <cacheField name="City" numFmtId="0">
      <sharedItems/>
    </cacheField>
    <cacheField name="University" numFmtId="0">
      <sharedItems/>
    </cacheField>
    <cacheField name="Program" numFmtId="0">
      <sharedItems/>
    </cacheField>
    <cacheField name="Level" numFmtId="0">
      <sharedItems count="3">
        <s v="Master"/>
        <s v="Bachelor"/>
        <s v="PhD"/>
      </sharedItems>
    </cacheField>
    <cacheField name="Duration_Years" numFmtId="0">
      <sharedItems containsSemiMixedTypes="0" containsString="0" containsNumber="1" minValue="1" maxValue="5"/>
    </cacheField>
    <cacheField name="Tuition_USD" numFmtId="164">
      <sharedItems containsSemiMixedTypes="0" containsString="0" containsNumber="1" containsInteger="1" minValue="0" maxValue="62000"/>
    </cacheField>
    <cacheField name="Living_Cost_Index" numFmtId="0">
      <sharedItems containsSemiMixedTypes="0" containsString="0" containsNumber="1" minValue="27.8" maxValue="122.4"/>
    </cacheField>
    <cacheField name="Rent_USD" numFmtId="164">
      <sharedItems containsSemiMixedTypes="0" containsString="0" containsNumber="1" containsInteger="1" minValue="150" maxValue="2500"/>
    </cacheField>
    <cacheField name="Visa_Fee_USD" numFmtId="164">
      <sharedItems containsSemiMixedTypes="0" containsString="0" containsNumber="1" containsInteger="1" minValue="40" maxValue="490"/>
    </cacheField>
    <cacheField name="Insurance_USD" numFmtId="164">
      <sharedItems containsSemiMixedTypes="0" containsString="0" containsNumber="1" containsInteger="1" minValue="200" maxValue="1500"/>
    </cacheField>
    <cacheField name="Exchange_Rate" numFmtId="164">
      <sharedItems containsSemiMixedTypes="0" containsString="0" containsNumber="1" minValue="0.15" maxValue="42150"/>
    </cacheField>
    <cacheField name="Total_Cost" numFmtId="164">
      <sharedItems containsSemiMixedTypes="0" containsString="0" containsNumber="1" containsInteger="1" minValue="5700" maxValue="199860"/>
    </cacheField>
    <cacheField name="Cost_Per_Year" numFmtId="164">
      <sharedItems containsSemiMixedTypes="0" containsString="0" containsNumber="1" minValue="2420" maxValue="64885"/>
    </cacheField>
    <cacheField name="Total_Rent" numFmtId="164">
      <sharedItems containsSemiMixedTypes="0" containsString="0" containsNumber="1" containsInteger="1" minValue="3840" maxValue="138000"/>
    </cacheField>
    <cacheField name="Non_Tuition_Cost" numFmtId="164">
      <sharedItems containsSemiMixedTypes="0" containsString="0" containsNumber="1" containsInteger="1" minValue="4300" maxValue="145660"/>
    </cacheField>
    <cacheField name="Tuition_Percentage" numFmtId="10">
      <sharedItems containsSemiMixedTypes="0" containsString="0" containsNumber="1" minValue="0" maxValue="0.74135677794938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6.632745833333" createdVersion="8" refreshedVersion="8" minRefreshableVersion="3" recordCount="907" xr:uid="{7C58BAB1-5F23-450F-BFF0-544DAAE6F077}">
  <cacheSource type="worksheet">
    <worksheetSource name="International_Education_Costs"/>
  </cacheSource>
  <cacheFields count="17">
    <cacheField name="Country" numFmtId="0">
      <sharedItems/>
    </cacheField>
    <cacheField name="City" numFmtId="0">
      <sharedItems count="556">
        <s v="Cambridge"/>
        <s v="London"/>
        <s v="Toronto"/>
        <s v="Melbourne"/>
        <s v="Munich"/>
        <s v="Tokyo"/>
        <s v="Amsterdam"/>
        <s v="Singapore"/>
        <s v="Paris"/>
        <s v="Zurich"/>
        <s v="Stockholm"/>
        <s v="Copenhagen"/>
        <s v="Beijing"/>
        <s v="Seoul"/>
        <s v="Dublin"/>
        <s v="Busan"/>
        <s v="Auckland"/>
        <s v="Vienna"/>
        <s v="Brussels"/>
        <s v="Ann Arbor"/>
        <s v="Atlanta"/>
        <s v="Austin"/>
        <s v="Bristol"/>
        <s v="Ottawa"/>
        <s v="Hong Kong"/>
        <s v="Lisbon"/>
        <s v="Tel Aviv"/>
        <s v="Taipei"/>
        <s v="Prague"/>
        <s v="Stanford"/>
        <s v="Boston"/>
        <s v="Oxford"/>
        <s v="Heidelberg"/>
        <s v="Basel"/>
        <s v="Delft"/>
        <s v="Waterloo"/>
        <s v="Canberra"/>
        <s v="Lund"/>
        <s v="San Diego"/>
        <s v="Seattle"/>
        <s v="Edmonton"/>
        <s v="Glasgow"/>
        <s v="Bangalore"/>
        <s v="Aalborg"/>
        <s v="Warsaw"/>
        <s v="Galway"/>
        <s v="Daejeon"/>
        <s v="Kuala Lumpur"/>
        <s v="Berkeley"/>
        <s v="Manchester"/>
        <s v="Vancouver"/>
        <s v="Sydney"/>
        <s v="Berlin"/>
        <s v="Barcelona"/>
        <s v="Milan"/>
        <s v="Rotterdam"/>
        <s v="Helsinki"/>
        <s v="Oslo"/>
        <s v="Osaka"/>
        <s v="Kyoto"/>
        <s v="Nagoya"/>
        <s v="Sendai"/>
        <s v="Fukuoka"/>
        <s v="Sapporo"/>
        <s v="Tsukuba"/>
        <s v="Kobe"/>
        <s v="Kanazawa"/>
        <s v="Hiroshima"/>
        <s v="Adelaide"/>
        <s v="Perth"/>
        <s v="Gold Coast"/>
        <s v="Hobart"/>
        <s v="Newcastle"/>
        <s v="Wollongong"/>
        <s v="Darwin"/>
        <s v="Townsville"/>
        <s v="Sunshine Coast"/>
        <s v="Armidale"/>
        <s v="Dresden"/>
        <s v="Stuttgart"/>
        <s v="Hamburg"/>
        <s v="Aachen"/>
        <s v="Karlsruhe"/>
        <s v="Darmstadt"/>
        <s v="Braunschweig"/>
        <s v="Jena"/>
        <s v="Hannover"/>
        <s v="Freiburg"/>
        <s v="Philadelphia"/>
        <s v="Chicago"/>
        <s v="Baltimore"/>
        <s v="Nashville"/>
        <s v="Durham"/>
        <s v="Madison"/>
        <s v="Tempe"/>
        <s v="Boulder"/>
        <s v="Minneapolis"/>
        <s v="Davis"/>
        <s v="Leeds"/>
        <s v="Warwick"/>
        <s v="Sheffield"/>
        <s v="Birmingham"/>
        <s v="Southampton"/>
        <s v="Nottingham"/>
        <s v="Cardiff"/>
        <s v="Belfast"/>
        <s v="Hamilton"/>
        <s v="London ON"/>
        <s v="Halifax"/>
        <s v="Victoria"/>
        <s v="Quebec City"/>
        <s v="Winnipeg"/>
        <s v="Regina"/>
        <s v="St. John's"/>
        <s v="Saskatoon"/>
        <s v="Sherbrooke"/>
        <s v="Pittsburgh"/>
        <s v="Urbana-Champaign"/>
        <s v="Calgary"/>
        <s v="Sao Paulo"/>
        <s v="Istanbul"/>
        <s v="Moscow"/>
        <s v="Mexico City"/>
        <s v="Athens"/>
        <s v="Bangkok"/>
        <s v="Dubai"/>
        <s v="New York"/>
        <s v="Ithaca"/>
        <s v="Shenzhen"/>
        <s v="Cape Town"/>
        <s v="Cairo"/>
        <s v="Buenos Aires"/>
        <s v="Jakarta"/>
        <s v="Riyadh"/>
        <s v="Lagos"/>
        <s v="Ho Chi Minh City"/>
        <s v="Eindhoven"/>
        <s v="Enschede"/>
        <s v="Groningen"/>
        <s v="Maastricht"/>
        <s v="Nijmegen"/>
        <s v="Tilburg"/>
        <s v="Utrecht"/>
        <s v="Leiden"/>
        <s v="Wageningen"/>
        <s v="Toulouse"/>
        <s v="Lyon"/>
        <s v="Grenoble"/>
        <s v="Nice"/>
        <s v="Bordeaux"/>
        <s v="Lille"/>
        <s v="Rennes"/>
        <s v="Strasbourg"/>
        <s v="Montpellier"/>
        <s v="Lausanne"/>
        <s v="Geneva"/>
        <s v="Bern"/>
        <s v="St. Gallen"/>
        <s v="Lugano"/>
        <s v="Fribourg"/>
        <s v="Neuchatel"/>
        <s v="Lucerne"/>
        <s v="Winterthur"/>
        <s v="Aarhus"/>
        <s v="Shanghai"/>
        <s v="Hangzhou"/>
        <s v="Nanjing"/>
        <s v="Guangzhou"/>
        <s v="Wuhan"/>
        <s v="Xi'an"/>
        <s v="Chengdu"/>
        <s v="Daegu"/>
        <s v="Gwangju"/>
        <s v="Ulsan"/>
        <s v="Pohang"/>
        <s v="Incheon"/>
        <s v="Suwon"/>
        <s v="Cheongju"/>
        <s v="New Haven"/>
        <s v="Princeton"/>
        <s v="Los Angeles"/>
        <s v="Urbana"/>
        <s v="Columbus"/>
        <s v="West Lafayette"/>
        <s v="Gainesville"/>
        <s v="Raleigh"/>
        <s v="College Station"/>
        <s v="Corvallis"/>
        <s v="Edinburgh"/>
        <s v="Liverpool"/>
        <s v="Aberdeen"/>
        <s v="Leicester"/>
        <s v="Reading"/>
        <s v="Sussex"/>
        <s v="Essex"/>
        <s v="Bath"/>
        <s v="Surrey"/>
        <s v="Exeter"/>
        <s v="Kent"/>
        <s v="Dundee"/>
        <s v="Strathclyde"/>
        <s v="Heriot-Watt"/>
        <s v="Loughborough"/>
        <s v="Brunel"/>
        <s v="Queen Mary"/>
        <s v="Royal Holloway"/>
        <s v="Lancaster"/>
        <s v="Swansea"/>
        <s v="Aston"/>
        <s v="Hull"/>
        <s v="Keele"/>
        <s v="Plymouth"/>
        <s v="Portsmouth"/>
        <s v="Ulster"/>
        <s v="Northumbria"/>
        <s v="Coventry"/>
        <s v="Oxford Brookes"/>
        <s v="De Montfort"/>
        <s v="Westminster"/>
        <s v="Greenwich"/>
        <s v="Kingston"/>
        <s v="Montreal"/>
        <s v="Windsor"/>
        <s v="Moncton"/>
        <s v="Trois-Rivieres"/>
        <s v="Thunder Bay"/>
        <s v="Sudbury"/>
        <s v="Prince George"/>
        <s v="Brisbane"/>
        <s v="Toowoomba"/>
        <s v="Ballarat"/>
        <s v="Lismore"/>
        <s v="Frankfurt"/>
        <s v="Cologne"/>
        <s v="Bonn"/>
        <s v="San Francisco"/>
        <s v="Cork"/>
        <s v="Limerick"/>
        <s v="Maynooth"/>
        <s v="Denver"/>
        <s v="Waterford"/>
        <s v="Portland"/>
        <s v="Sligo"/>
        <s v="Athlone"/>
        <s v="Trondheim"/>
        <s v="Espoo"/>
        <s v="Bergen"/>
        <s v="Tampere"/>
        <s v="Odense"/>
        <s v="Tromsø"/>
        <s v="Turku"/>
        <s v="Stavanger"/>
        <s v="Oulu"/>
        <s v="Roskilde"/>
        <s v="Ås"/>
        <s v="Vaasa"/>
        <s v="Lyngby"/>
        <s v="Bodø"/>
        <s v="Jyväskylä"/>
        <s v="Kolding"/>
        <s v="Gjøvik"/>
        <s v="Lappeenranta"/>
        <s v="Bremen"/>
        <s v="Esbjerg"/>
        <s v="Kristiansand"/>
        <s v="Kuopio"/>
        <s v="Slagelse"/>
        <s v="Horten"/>
        <s v="Joensuu"/>
        <s v="Herning"/>
        <s v="Wellington"/>
        <s v="Uppsala"/>
        <s v="Porto"/>
        <s v="Christchurch"/>
        <s v="Gothenburg"/>
        <s v="Coimbra"/>
        <s v="Dunedin"/>
        <s v="Braga"/>
        <s v="Linköping"/>
        <s v="Aveiro"/>
        <s v="Palmerston North"/>
        <s v="Umeå"/>
        <s v="Faro"/>
        <s v="Karlstad"/>
        <s v="Vila Real"/>
        <s v="Växjö"/>
        <s v="Funchal"/>
        <s v="Madrid"/>
        <s v="Rome"/>
        <s v="Thessaloniki"/>
        <s v="Graz"/>
        <s v="Monterrey"/>
        <s v="Valencia"/>
        <s v="Turin"/>
        <s v="Patras"/>
        <s v="Linz"/>
        <s v="Guadalajara"/>
        <s v="Seville"/>
        <s v="Bologna"/>
        <s v="Heraklion"/>
        <s v="Salzburg"/>
        <s v="Puebla"/>
        <s v="Bilbao"/>
        <s v="Florence"/>
        <s v="Volos"/>
        <s v="Innsbruck"/>
        <s v="Queretaro"/>
        <s v="Granada"/>
        <s v="Naples"/>
        <s v="Ioannina"/>
        <s v="Klagenfurt"/>
        <s v="Merida"/>
        <s v="Zaragoza"/>
        <s v="Pisa"/>
        <s v="Rhodes"/>
        <s v="Leoben"/>
        <s v="Tijuana"/>
        <s v="Salamanca"/>
        <s v="Padua"/>
        <s v="Chania"/>
        <s v="Dornbirn"/>
        <s v="San Luis Potosi"/>
        <s v="Leuven"/>
        <s v="Budapest"/>
        <s v="Ankara"/>
        <s v="Ghent"/>
        <s v="Debrecen"/>
        <s v="Saint Petersburg"/>
        <s v="Izmir"/>
        <s v="Szeged"/>
        <s v="Novosibirsk"/>
        <s v="Eskisehir"/>
        <s v="Antwerp"/>
        <s v="Pecs"/>
        <s v="Kazan"/>
        <s v="Bursa"/>
        <s v="Louvain"/>
        <s v="Gyor"/>
        <s v="Tomsk"/>
        <s v="Antalya"/>
        <s v="Piraeus"/>
        <s v="Hasselt"/>
        <s v="Miskolc"/>
        <s v="Yekaterinburg"/>
        <s v="Kayseri"/>
        <s v="Xanthi"/>
        <s v="Liege"/>
        <s v="Veszprem"/>
        <s v="Samara"/>
        <s v="Konya"/>
        <s v="Chios"/>
        <s v="Mons"/>
        <s v="Kecskemet"/>
        <s v="Rostov-on-Don"/>
        <s v="Rio de Janeiro"/>
        <s v="Mumbai"/>
        <s v="Chiang Mai"/>
        <s v="Abu Dhabi"/>
        <s v="Campinas"/>
        <s v="Delhi"/>
        <s v="Khon Kaen"/>
        <s v="Alexandria"/>
        <s v="Sharjah"/>
        <s v="Porto Alegre"/>
        <s v="Chennai"/>
        <s v="Phuket"/>
        <s v="Giza"/>
        <s v="Ajman"/>
        <s v="Recife"/>
        <s v="Hyderabad"/>
        <s v="Hat Yai"/>
        <s v="Port Said"/>
        <s v="Al Ain"/>
        <s v="Florianopolis"/>
        <s v="Pune"/>
        <s v="Nakhon Ratchasima"/>
        <s v="Mansoura"/>
        <s v="Ras Al Khaimah"/>
        <s v="Salvador"/>
        <s v="Kanpur"/>
        <s v="Songkhla"/>
        <s v="Aswan"/>
        <s v="Fujairah"/>
        <s v="Reykjavik"/>
        <s v="Bogota"/>
        <s v="Bucharest"/>
        <s v="Luxembourg City"/>
        <s v="Akureyri"/>
        <s v="Medellin"/>
        <s v="Krakow"/>
        <s v="Cluj-Napoca"/>
        <s v="Esch-sur-Alzette"/>
        <s v="Bandung"/>
        <s v="Cali"/>
        <s v="Wroclaw"/>
        <s v="Timisoara"/>
        <s v="Belval"/>
        <s v="Yogyakarta"/>
        <s v="Hafnarfjordur"/>
        <s v="Barranquilla"/>
        <s v="Poznan"/>
        <s v="Iasi"/>
        <s v="Kirchberg"/>
        <s v="Surabaya"/>
        <s v="Kopavogur"/>
        <s v="Bucaramanga"/>
        <s v="Gdansk"/>
        <s v="Brasov"/>
        <s v="Differdange"/>
        <s v="Malang"/>
        <s v="Lodz"/>
        <s v="Constanta"/>
        <s v="Walferdange"/>
        <s v="Semarang"/>
        <s v="Borgarnes"/>
        <s v="Cartagena"/>
        <s v="Katowice"/>
        <s v="Craiova"/>
        <s v="Bertrange"/>
        <s v="Denpasar"/>
        <s v="Tunis"/>
        <s v="Nicosia"/>
        <s v="Zagreb"/>
        <s v="Santo Domingo"/>
        <s v="Rabat"/>
        <s v="Lima"/>
        <s v="Sfax"/>
        <s v="Limassol"/>
        <s v="Split"/>
        <s v="Santiago"/>
        <s v="Casablanca"/>
        <s v="Arequipa"/>
        <s v="Cordoba"/>
        <s v="Sousse"/>
        <s v="Larnaca"/>
        <s v="Rijeka"/>
        <s v="La Romana"/>
        <s v="Fez"/>
        <s v="Trujillo"/>
        <s v="Rosario"/>
        <s v="Monastir"/>
        <s v="Famagusta"/>
        <s v="Osijek"/>
        <s v="San Pedro"/>
        <s v="Marrakech"/>
        <s v="Cusco"/>
        <s v="La Plata"/>
        <s v="Gabes"/>
        <s v="Zadar"/>
        <s v="Paphos"/>
        <s v="Puerto Plata"/>
        <s v="Tangier"/>
        <s v="Piura"/>
        <s v="Mendoza"/>
        <s v="Bizerte"/>
        <s v="Girne"/>
        <s v="Dubrovnik"/>
        <s v="Oujda"/>
        <s v="Chiclayo"/>
        <s v="Quito"/>
        <s v="Beirut"/>
        <s v="Manama"/>
        <s v="Montevideo"/>
        <s v="Sofia"/>
        <s v="Accra"/>
        <s v="Algiers"/>
        <s v="Panama City"/>
        <s v="Guayaquil"/>
        <s v="Byblos"/>
        <s v="Riffa"/>
        <s v="Salto"/>
        <s v="Plovdiv"/>
        <s v="Kumasi"/>
        <s v="Oran"/>
        <s v="David"/>
        <s v="Cuenca"/>
        <s v="Tripoli"/>
        <s v="Isa Town"/>
        <s v="Maldonado"/>
        <s v="Varna"/>
        <s v="Cape Coast"/>
        <s v="Constantine"/>
        <s v="Loja"/>
        <s v="Jounieh"/>
        <s v="Sakhir"/>
        <s v="Rivera"/>
        <s v="Burgas"/>
        <s v="Tamale"/>
        <s v="Annaba"/>
        <s v="Chitré"/>
        <s v="Ambato"/>
        <s v="Sidon"/>
        <s v="Muharraq"/>
        <s v="Paysandu"/>
        <s v="Ruse"/>
        <s v="Ho"/>
        <s v="Tlemcen"/>
        <s v="La Chorrera"/>
        <s v="Dhaka"/>
        <s v="Kuwait City"/>
        <s v="Kyiv"/>
        <s v="Ljubljana"/>
        <s v="Belgrade"/>
        <s v="Tehran"/>
        <s v="Tashkent"/>
        <s v="San Salvador"/>
        <s v="Chittagong"/>
        <s v="Hawalli"/>
        <s v="Lviv"/>
        <s v="Maribor"/>
        <s v="Novi Sad"/>
        <s v="Isfahan"/>
        <s v="Samarkand"/>
        <s v="Santa Ana"/>
        <s v="Khulna"/>
        <s v="Al Jahra"/>
        <s v="Kharkiv"/>
        <s v="Koper"/>
        <s v="Nis"/>
        <s v="Mashhad"/>
        <s v="Bukhara"/>
        <s v="San Miguel"/>
        <s v="Rajshahi"/>
        <s v="Salmiya"/>
        <s v="Odesa"/>
        <s v="Nova Gorica"/>
        <s v="Kragujevac"/>
        <s v="Shiraz"/>
        <s v="Namangan"/>
        <s v="Sonsonate"/>
        <s v="Sylhet"/>
        <s v="Al Ahmadi"/>
        <s v="Dnipro"/>
        <s v="Celje"/>
        <s v="Subotica"/>
        <s v="Tabriz"/>
        <s v="Andijan"/>
        <s v="Santa Tecla"/>
        <s v="Penang"/>
        <s v="Jeddah"/>
        <s v="Johor Bahru"/>
        <s v="Dhahran"/>
        <s v="Kuching"/>
        <s v="Medina"/>
        <s v="MIT"/>
        <s v="Marseille"/>
        <s v="Cyberjaya"/>
        <s v="Dammam"/>
        <s v="Bangi"/>
        <s v="Taif"/>
        <s v="Melaka"/>
        <s v="Tabuk"/>
        <s v="Shah Alam"/>
        <s v="Makkah"/>
        <s v="Nilai"/>
        <s v="Al-Ahsa"/>
      </sharedItems>
    </cacheField>
    <cacheField name="University" numFmtId="0">
      <sharedItems/>
    </cacheField>
    <cacheField name="Program" numFmtId="0">
      <sharedItems/>
    </cacheField>
    <cacheField name="Level" numFmtId="0">
      <sharedItems/>
    </cacheField>
    <cacheField name="Duration_Years" numFmtId="0">
      <sharedItems containsSemiMixedTypes="0" containsString="0" containsNumber="1" minValue="1" maxValue="5"/>
    </cacheField>
    <cacheField name="Tuition_USD" numFmtId="164">
      <sharedItems containsSemiMixedTypes="0" containsString="0" containsNumber="1" containsInteger="1" minValue="0" maxValue="62000"/>
    </cacheField>
    <cacheField name="Living_Cost_Index" numFmtId="0">
      <sharedItems containsSemiMixedTypes="0" containsString="0" containsNumber="1" minValue="27.8" maxValue="122.4"/>
    </cacheField>
    <cacheField name="Rent_USD" numFmtId="164">
      <sharedItems containsSemiMixedTypes="0" containsString="0" containsNumber="1" containsInteger="1" minValue="150" maxValue="2500"/>
    </cacheField>
    <cacheField name="Visa_Fee_USD" numFmtId="164">
      <sharedItems containsSemiMixedTypes="0" containsString="0" containsNumber="1" containsInteger="1" minValue="40" maxValue="490"/>
    </cacheField>
    <cacheField name="Insurance_USD" numFmtId="164">
      <sharedItems containsSemiMixedTypes="0" containsString="0" containsNumber="1" containsInteger="1" minValue="200" maxValue="1500"/>
    </cacheField>
    <cacheField name="Exchange_Rate" numFmtId="0">
      <sharedItems containsSemiMixedTypes="0" containsString="0" containsNumber="1" minValue="0.15" maxValue="42150"/>
    </cacheField>
    <cacheField name="Total_Cost" numFmtId="164">
      <sharedItems containsSemiMixedTypes="0" containsString="0" containsNumber="1" containsInteger="1" minValue="5700" maxValue="199860"/>
    </cacheField>
    <cacheField name="Cost_Per_Year" numFmtId="164">
      <sharedItems containsSemiMixedTypes="0" containsString="0" containsNumber="1" minValue="2420" maxValue="64885"/>
    </cacheField>
    <cacheField name="Total_Rent" numFmtId="164">
      <sharedItems containsSemiMixedTypes="0" containsString="0" containsNumber="1" containsInteger="1" minValue="3840" maxValue="138000"/>
    </cacheField>
    <cacheField name="Non_Tuition_Cost" numFmtId="164">
      <sharedItems containsSemiMixedTypes="0" containsString="0" containsNumber="1" containsInteger="1" minValue="4300" maxValue="145660"/>
    </cacheField>
    <cacheField name="Tuition_Percentage" numFmtId="10">
      <sharedItems containsSemiMixedTypes="0" containsString="0" containsNumber="1" minValue="0" maxValue="0.74135677794938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x v="0"/>
    <s v="Cambridge"/>
    <s v="Harvard University"/>
    <s v="Computer Science"/>
    <s v="Master"/>
    <n v="2"/>
    <n v="55400"/>
    <n v="83.5"/>
    <n v="2200"/>
    <n v="160"/>
    <n v="1500"/>
    <n v="1"/>
    <n v="111360"/>
    <n v="55680"/>
    <n v="52800"/>
    <n v="55960"/>
    <n v="0.49748563218390807"/>
  </r>
  <r>
    <x v="1"/>
    <s v="London"/>
    <s v="Imperial College London"/>
    <s v="Data Science"/>
    <s v="Master"/>
    <n v="1"/>
    <n v="41200"/>
    <n v="75.8"/>
    <n v="1800"/>
    <n v="485"/>
    <n v="800"/>
    <n v="0.79"/>
    <n v="64085"/>
    <n v="64085"/>
    <n v="21600"/>
    <n v="22885"/>
    <n v="0.64289615354607166"/>
  </r>
  <r>
    <x v="2"/>
    <s v="Toronto"/>
    <s v="University of Toronto"/>
    <s v="Business Analytics"/>
    <s v="Master"/>
    <n v="2"/>
    <n v="38500"/>
    <n v="72.5"/>
    <n v="1600"/>
    <n v="235"/>
    <n v="900"/>
    <n v="1.35"/>
    <n v="78935"/>
    <n v="39467.5"/>
    <n v="38400"/>
    <n v="40435"/>
    <n v="0.4877430797491607"/>
  </r>
  <r>
    <x v="3"/>
    <s v="Melbourne"/>
    <s v="University of Melbourne"/>
    <s v="Engineering"/>
    <s v="Master"/>
    <n v="2"/>
    <n v="42000"/>
    <n v="71.2"/>
    <n v="1400"/>
    <n v="450"/>
    <n v="650"/>
    <n v="1.52"/>
    <n v="77350"/>
    <n v="38675"/>
    <n v="33600"/>
    <n v="35350"/>
    <n v="0.54298642533936647"/>
  </r>
  <r>
    <x v="4"/>
    <s v="Munich"/>
    <s v="Technical University of Munich"/>
    <s v="Mechanical Engineering"/>
    <s v="Master"/>
    <n v="2"/>
    <n v="500"/>
    <n v="70.5"/>
    <n v="1100"/>
    <n v="75"/>
    <n v="550"/>
    <n v="0.92"/>
    <n v="28075"/>
    <n v="14037.5"/>
    <n v="26400"/>
    <n v="27575"/>
    <n v="1.7809439002671415E-2"/>
  </r>
  <r>
    <x v="5"/>
    <s v="Tokyo"/>
    <s v="University of Tokyo"/>
    <s v="Information Science"/>
    <s v="Master"/>
    <n v="2"/>
    <n v="8900"/>
    <n v="76.400000000000006"/>
    <n v="1300"/>
    <n v="220"/>
    <n v="750"/>
    <n v="145.80000000000001"/>
    <n v="41820"/>
    <n v="20910"/>
    <n v="31200"/>
    <n v="32920"/>
    <n v="0.21281683405069346"/>
  </r>
  <r>
    <x v="6"/>
    <s v="Amsterdam"/>
    <s v="University of Amsterdam"/>
    <s v="Artificial Intelligence"/>
    <s v="Master"/>
    <n v="1"/>
    <n v="15800"/>
    <n v="73.2"/>
    <n v="1500"/>
    <n v="180"/>
    <n v="720"/>
    <n v="0.92"/>
    <n v="34700"/>
    <n v="34700"/>
    <n v="18000"/>
    <n v="18900"/>
    <n v="0.45533141210374639"/>
  </r>
  <r>
    <x v="7"/>
    <s v="Singapore"/>
    <s v="National University of Singapore"/>
    <s v="Finance"/>
    <s v="Master"/>
    <n v="1.5"/>
    <n v="35000"/>
    <n v="81.099999999999994"/>
    <n v="1900"/>
    <n v="90"/>
    <n v="800"/>
    <n v="1.34"/>
    <n v="70490"/>
    <n v="46993.333333333336"/>
    <n v="34200"/>
    <n v="35490"/>
    <n v="0.49652432969215493"/>
  </r>
  <r>
    <x v="8"/>
    <s v="Paris"/>
    <s v="Sorbonne University"/>
    <s v="International Relations"/>
    <s v="Master"/>
    <n v="2"/>
    <n v="4500"/>
    <n v="74.599999999999994"/>
    <n v="1400"/>
    <n v="99"/>
    <n v="650"/>
    <n v="0.92"/>
    <n v="39499"/>
    <n v="19749.5"/>
    <n v="33600"/>
    <n v="34999"/>
    <n v="0.11392693485911036"/>
  </r>
  <r>
    <x v="9"/>
    <s v="Zurich"/>
    <s v="ETH Zurich"/>
    <s v="Physics"/>
    <s v="Master"/>
    <n v="2"/>
    <n v="1460"/>
    <n v="91.5"/>
    <n v="2100"/>
    <n v="88"/>
    <n v="1200"/>
    <n v="0.89"/>
    <n v="54348"/>
    <n v="27174"/>
    <n v="50400"/>
    <n v="52888"/>
    <n v="2.6863914035475087E-2"/>
  </r>
  <r>
    <x v="10"/>
    <s v="Stockholm"/>
    <s v="KTH Royal Institute"/>
    <s v="Sustainable Technology"/>
    <s v="Master"/>
    <n v="2"/>
    <n v="0"/>
    <n v="71.8"/>
    <n v="1200"/>
    <n v="110"/>
    <n v="400"/>
    <n v="10.45"/>
    <n v="29710"/>
    <n v="14855"/>
    <n v="28800"/>
    <n v="29710"/>
    <n v="0"/>
  </r>
  <r>
    <x v="11"/>
    <s v="Copenhagen"/>
    <s v="University of Copenhagen"/>
    <s v="Bioinformatics"/>
    <s v="Master"/>
    <n v="2"/>
    <n v="0"/>
    <n v="73.400000000000006"/>
    <n v="1300"/>
    <n v="120"/>
    <n v="450"/>
    <n v="6.92"/>
    <n v="32220"/>
    <n v="16110"/>
    <n v="31200"/>
    <n v="32220"/>
    <n v="0"/>
  </r>
  <r>
    <x v="12"/>
    <s v="Beijing"/>
    <s v="Tsinghua University"/>
    <s v="Computer Engineering"/>
    <s v="Master"/>
    <n v="2.5"/>
    <n v="8900"/>
    <n v="52.3"/>
    <n v="800"/>
    <n v="140"/>
    <n v="400"/>
    <n v="7.18"/>
    <n v="34040"/>
    <n v="13616"/>
    <n v="24000"/>
    <n v="25140"/>
    <n v="0.26145710928319627"/>
  </r>
  <r>
    <x v="13"/>
    <s v="Seoul"/>
    <s v="Seoul National University"/>
    <s v="Digital Media"/>
    <s v="Master"/>
    <n v="2"/>
    <n v="7200"/>
    <n v="68.7"/>
    <n v="900"/>
    <n v="130"/>
    <n v="500"/>
    <n v="1320.5"/>
    <n v="29930"/>
    <n v="14965"/>
    <n v="21600"/>
    <n v="22730"/>
    <n v="0.24056130972268627"/>
  </r>
  <r>
    <x v="14"/>
    <s v="Dublin"/>
    <s v="Trinity College Dublin"/>
    <s v="Data Analytics"/>
    <s v="Master"/>
    <n v="1"/>
    <n v="28900"/>
    <n v="72.900000000000006"/>
    <n v="1600"/>
    <n v="150"/>
    <n v="650"/>
    <n v="0.92"/>
    <n v="48900"/>
    <n v="48900"/>
    <n v="19200"/>
    <n v="20000"/>
    <n v="0.59100204498977504"/>
  </r>
  <r>
    <x v="13"/>
    <s v="Busan"/>
    <s v="Pusan National University"/>
    <s v="Business"/>
    <s v="Bachelor"/>
    <n v="4"/>
    <n v="5900"/>
    <n v="62.4"/>
    <n v="700"/>
    <n v="130"/>
    <n v="500"/>
    <n v="1320.5"/>
    <n v="41630"/>
    <n v="10407.5"/>
    <n v="33600"/>
    <n v="35730"/>
    <n v="0.14172471775162143"/>
  </r>
  <r>
    <x v="15"/>
    <s v="Auckland"/>
    <s v="University of Auckland"/>
    <s v="Marine Biology"/>
    <s v="Bachelor"/>
    <n v="3"/>
    <n v="28500"/>
    <n v="69.8"/>
    <n v="1200"/>
    <n v="245"/>
    <n v="600"/>
    <n v="1.64"/>
    <n v="73745"/>
    <n v="24581.666666666668"/>
    <n v="43200"/>
    <n v="45245"/>
    <n v="0.38646687911044819"/>
  </r>
  <r>
    <x v="16"/>
    <s v="Vienna"/>
    <s v="University of Vienna"/>
    <s v="Social Sciences"/>
    <s v="Bachelor"/>
    <n v="3"/>
    <n v="1500"/>
    <n v="67.400000000000006"/>
    <n v="950"/>
    <n v="160"/>
    <n v="500"/>
    <n v="0.92"/>
    <n v="37360"/>
    <n v="12453.333333333334"/>
    <n v="34200"/>
    <n v="35860"/>
    <n v="4.0149892933618841E-2"/>
  </r>
  <r>
    <x v="17"/>
    <s v="Brussels"/>
    <s v="KU Leuven"/>
    <s v="Biomedical Sciences"/>
    <s v="Bachelor"/>
    <n v="3"/>
    <n v="3500"/>
    <n v="68.900000000000006"/>
    <n v="1000"/>
    <n v="180"/>
    <n v="550"/>
    <n v="0.92"/>
    <n v="41330"/>
    <n v="13776.666666666666"/>
    <n v="36000"/>
    <n v="37830"/>
    <n v="8.4684248729736275E-2"/>
  </r>
  <r>
    <x v="0"/>
    <s v="Ann Arbor"/>
    <s v="University of Michigan"/>
    <s v="Aerospace Engineering"/>
    <s v="Bachelor"/>
    <n v="4"/>
    <n v="52300"/>
    <n v="72.5"/>
    <n v="1800"/>
    <n v="160"/>
    <n v="1500"/>
    <n v="1"/>
    <n v="144860"/>
    <n v="36215"/>
    <n v="86400"/>
    <n v="92560"/>
    <n v="0.36103824382162086"/>
  </r>
  <r>
    <x v="0"/>
    <s v="Atlanta"/>
    <s v="Georgia Tech"/>
    <s v="Industrial Engineering"/>
    <s v="Bachelor"/>
    <n v="4"/>
    <n v="43800"/>
    <n v="71.5"/>
    <n v="1700"/>
    <n v="160"/>
    <n v="1500"/>
    <n v="1"/>
    <n v="131560"/>
    <n v="32890"/>
    <n v="81600"/>
    <n v="87760"/>
    <n v="0.33292794162359379"/>
  </r>
  <r>
    <x v="0"/>
    <s v="Austin"/>
    <s v="UT Austin"/>
    <s v="Chemical Engineering"/>
    <s v="Bachelor"/>
    <n v="4"/>
    <n v="40900"/>
    <n v="72.400000000000006"/>
    <n v="1600"/>
    <n v="160"/>
    <n v="1500"/>
    <n v="1"/>
    <n v="123860"/>
    <n v="30965"/>
    <n v="76800"/>
    <n v="82960"/>
    <n v="0.33021152914580981"/>
  </r>
  <r>
    <x v="1"/>
    <s v="Bristol"/>
    <s v="University of Bristol"/>
    <s v="Mathematics"/>
    <s v="Bachelor"/>
    <n v="3"/>
    <n v="31200"/>
    <n v="69.8"/>
    <n v="1100"/>
    <n v="485"/>
    <n v="800"/>
    <n v="0.79"/>
    <n v="73685"/>
    <n v="24561.666666666668"/>
    <n v="39600"/>
    <n v="42485"/>
    <n v="0.42342403474248491"/>
  </r>
  <r>
    <x v="2"/>
    <s v="Ottawa"/>
    <s v="University of Ottawa"/>
    <s v="Political Science"/>
    <s v="Bachelor"/>
    <n v="4"/>
    <n v="28900"/>
    <n v="68.5"/>
    <n v="1300"/>
    <n v="235"/>
    <n v="900"/>
    <n v="1.35"/>
    <n v="95135"/>
    <n v="23783.75"/>
    <n v="62400"/>
    <n v="66235"/>
    <n v="0.30377884059494403"/>
  </r>
  <r>
    <x v="18"/>
    <s v="Hong Kong"/>
    <s v="HKUST"/>
    <s v="Finance"/>
    <s v="Bachelor"/>
    <n v="4"/>
    <n v="22000"/>
    <n v="78.599999999999994"/>
    <n v="1500"/>
    <n v="120"/>
    <n v="600"/>
    <n v="7.82"/>
    <n v="96520"/>
    <n v="24130"/>
    <n v="72000"/>
    <n v="74520"/>
    <n v="0.22793203481143803"/>
  </r>
  <r>
    <x v="19"/>
    <s v="Lisbon"/>
    <s v="University of Lisbon"/>
    <s v="Architecture"/>
    <s v="Bachelor"/>
    <n v="3"/>
    <n v="3500"/>
    <n v="58.4"/>
    <n v="800"/>
    <n v="120"/>
    <n v="450"/>
    <n v="0.92"/>
    <n v="33770"/>
    <n v="11256.666666666666"/>
    <n v="28800"/>
    <n v="30270"/>
    <n v="0.1036422860527095"/>
  </r>
  <r>
    <x v="20"/>
    <s v="Tel Aviv"/>
    <s v="Tel Aviv University"/>
    <s v="Computer Science"/>
    <s v="Bachelor"/>
    <n v="3"/>
    <n v="12000"/>
    <n v="76.2"/>
    <n v="1200"/>
    <n v="150"/>
    <n v="800"/>
    <n v="3.72"/>
    <n v="57750"/>
    <n v="19250"/>
    <n v="43200"/>
    <n v="45750"/>
    <n v="0.20779220779220781"/>
  </r>
  <r>
    <x v="21"/>
    <s v="Taipei"/>
    <s v="National Taiwan University"/>
    <s v="Electronics Engineering"/>
    <s v="Bachelor"/>
    <n v="4"/>
    <n v="5200"/>
    <n v="62.8"/>
    <n v="700"/>
    <n v="140"/>
    <n v="450"/>
    <n v="31.2"/>
    <n v="40740"/>
    <n v="10185"/>
    <n v="33600"/>
    <n v="35540"/>
    <n v="0.12763868433971526"/>
  </r>
  <r>
    <x v="22"/>
    <s v="Prague"/>
    <s v="Charles University"/>
    <s v="Medicine"/>
    <s v="Bachelor"/>
    <n v="3"/>
    <n v="9800"/>
    <n v="54.6"/>
    <n v="650"/>
    <n v="100"/>
    <n v="400"/>
    <n v="22.5"/>
    <n v="34500"/>
    <n v="11500"/>
    <n v="23400"/>
    <n v="24700"/>
    <n v="0.28405797101449276"/>
  </r>
  <r>
    <x v="0"/>
    <s v="Stanford"/>
    <s v="Stanford University"/>
    <s v="Computer Science"/>
    <s v="PhD"/>
    <n v="5"/>
    <n v="54200"/>
    <n v="89.5"/>
    <n v="2300"/>
    <n v="160"/>
    <n v="1500"/>
    <n v="1"/>
    <n v="199860"/>
    <n v="39972"/>
    <n v="138000"/>
    <n v="145660"/>
    <n v="0.27118983288301812"/>
  </r>
  <r>
    <x v="0"/>
    <s v="Boston"/>
    <s v="MIT"/>
    <s v="Electrical Engineering"/>
    <s v="PhD"/>
    <n v="5"/>
    <n v="53800"/>
    <n v="83.2"/>
    <n v="2200"/>
    <n v="160"/>
    <n v="1500"/>
    <n v="1"/>
    <n v="193460"/>
    <n v="38692"/>
    <n v="132000"/>
    <n v="139660"/>
    <n v="0.27809366277266617"/>
  </r>
  <r>
    <x v="1"/>
    <s v="Oxford"/>
    <s v="University of Oxford"/>
    <s v="Biomedical Sciences"/>
    <s v="PhD"/>
    <n v="4"/>
    <n v="29800"/>
    <n v="74.5"/>
    <n v="1600"/>
    <n v="485"/>
    <n v="800"/>
    <n v="0.79"/>
    <n v="110285"/>
    <n v="27571.25"/>
    <n v="76800"/>
    <n v="80485"/>
    <n v="0.27020900394432606"/>
  </r>
  <r>
    <x v="1"/>
    <s v="Cambridge"/>
    <s v="University of Cambridge"/>
    <s v="Physics"/>
    <s v="PhD"/>
    <n v="4"/>
    <n v="31200"/>
    <n v="75.2"/>
    <n v="1700"/>
    <n v="485"/>
    <n v="800"/>
    <n v="0.79"/>
    <n v="116485"/>
    <n v="29121.25"/>
    <n v="81600"/>
    <n v="85285"/>
    <n v="0.26784564536206379"/>
  </r>
  <r>
    <x v="4"/>
    <s v="Heidelberg"/>
    <s v="Heidelberg University"/>
    <s v="Molecular Biology"/>
    <s v="PhD"/>
    <n v="3"/>
    <n v="500"/>
    <n v="68.400000000000006"/>
    <n v="900"/>
    <n v="75"/>
    <n v="550"/>
    <n v="0.92"/>
    <n v="34625"/>
    <n v="11541.666666666666"/>
    <n v="32400"/>
    <n v="34125"/>
    <n v="1.444043321299639E-2"/>
  </r>
  <r>
    <x v="9"/>
    <s v="Basel"/>
    <s v="ETH Basel"/>
    <s v="Pharmaceutical Sciences"/>
    <s v="PhD"/>
    <n v="4"/>
    <n v="1500"/>
    <n v="88.6"/>
    <n v="1800"/>
    <n v="88"/>
    <n v="1200"/>
    <n v="0.89"/>
    <n v="92788"/>
    <n v="23197"/>
    <n v="86400"/>
    <n v="91288"/>
    <n v="1.6165883519420613E-2"/>
  </r>
  <r>
    <x v="6"/>
    <s v="Delft"/>
    <s v="TU Delft"/>
    <s v="Robotics"/>
    <s v="PhD"/>
    <n v="4"/>
    <n v="4800"/>
    <n v="71.8"/>
    <n v="1200"/>
    <n v="180"/>
    <n v="720"/>
    <n v="0.92"/>
    <n v="65460"/>
    <n v="16365"/>
    <n v="57600"/>
    <n v="60660"/>
    <n v="7.3327222731439046E-2"/>
  </r>
  <r>
    <x v="7"/>
    <s v="Singapore"/>
    <s v="NTU Singapore"/>
    <s v="Data Science"/>
    <s v="PhD"/>
    <n v="4"/>
    <n v="8900"/>
    <n v="81.5"/>
    <n v="1600"/>
    <n v="90"/>
    <n v="800"/>
    <n v="1.34"/>
    <n v="88990"/>
    <n v="22247.5"/>
    <n v="76800"/>
    <n v="80090"/>
    <n v="0.1000112372176649"/>
  </r>
  <r>
    <x v="2"/>
    <s v="Waterloo"/>
    <s v="University of Waterloo"/>
    <s v="Quantum Computing"/>
    <s v="PhD"/>
    <n v="4"/>
    <n v="21500"/>
    <n v="69.8"/>
    <n v="1300"/>
    <n v="235"/>
    <n v="900"/>
    <n v="1.35"/>
    <n v="87735"/>
    <n v="21933.75"/>
    <n v="62400"/>
    <n v="66235"/>
    <n v="0.24505613495184361"/>
  </r>
  <r>
    <x v="3"/>
    <s v="Canberra"/>
    <s v="Australian National University"/>
    <s v="Climate Science"/>
    <s v="PhD"/>
    <n v="4"/>
    <n v="29800"/>
    <n v="70.2"/>
    <n v="1400"/>
    <n v="450"/>
    <n v="650"/>
    <n v="1.52"/>
    <n v="100050"/>
    <n v="25012.5"/>
    <n v="67200"/>
    <n v="70250"/>
    <n v="0.29785107446276859"/>
  </r>
  <r>
    <x v="10"/>
    <s v="Lund"/>
    <s v="Lund University"/>
    <s v="Neuroscience"/>
    <s v="PhD"/>
    <n v="4"/>
    <n v="0"/>
    <n v="69.5"/>
    <n v="1000"/>
    <n v="110"/>
    <n v="400"/>
    <n v="10.45"/>
    <n v="49710"/>
    <n v="12427.5"/>
    <n v="48000"/>
    <n v="49710"/>
    <n v="0"/>
  </r>
  <r>
    <x v="0"/>
    <s v="San Diego"/>
    <s v="UC San Diego"/>
    <s v="Computer Science"/>
    <s v="Bachelor"/>
    <n v="4"/>
    <n v="44200"/>
    <n v="79.5"/>
    <n v="1900"/>
    <n v="160"/>
    <n v="1500"/>
    <n v="1"/>
    <n v="141560"/>
    <n v="35390"/>
    <n v="91200"/>
    <n v="97360"/>
    <n v="0.31223509465950833"/>
  </r>
  <r>
    <x v="0"/>
    <s v="Seattle"/>
    <s v="University of Washington"/>
    <s v="Computer Science"/>
    <s v="Master"/>
    <n v="2"/>
    <n v="38900"/>
    <n v="83.4"/>
    <n v="2000"/>
    <n v="160"/>
    <n v="1500"/>
    <n v="1"/>
    <n v="90060"/>
    <n v="45030"/>
    <n v="48000"/>
    <n v="51160"/>
    <n v="0.43193426604485896"/>
  </r>
  <r>
    <x v="2"/>
    <s v="Edmonton"/>
    <s v="University of Alberta"/>
    <s v="Computer Science"/>
    <s v="PhD"/>
    <n v="4"/>
    <n v="22800"/>
    <n v="67.8"/>
    <n v="1200"/>
    <n v="235"/>
    <n v="900"/>
    <n v="1.35"/>
    <n v="84235"/>
    <n v="21058.75"/>
    <n v="57600"/>
    <n v="61435"/>
    <n v="0.27067133614293348"/>
  </r>
  <r>
    <x v="1"/>
    <s v="Glasgow"/>
    <s v="University of Glasgow"/>
    <s v="Computer Science"/>
    <s v="Master"/>
    <n v="1"/>
    <n v="33500"/>
    <n v="67.5"/>
    <n v="1100"/>
    <n v="485"/>
    <n v="800"/>
    <n v="0.79"/>
    <n v="47985"/>
    <n v="47985"/>
    <n v="13200"/>
    <n v="14485"/>
    <n v="0.69813483380222985"/>
  </r>
  <r>
    <x v="23"/>
    <s v="Bangalore"/>
    <s v="Indian Institute of Science"/>
    <s v="Computer Science"/>
    <s v="Master"/>
    <n v="2"/>
    <n v="2500"/>
    <n v="45.6"/>
    <n v="500"/>
    <n v="200"/>
    <n v="300"/>
    <n v="83.2"/>
    <n v="15300"/>
    <n v="7650"/>
    <n v="12000"/>
    <n v="12800"/>
    <n v="0.16339869281045752"/>
  </r>
  <r>
    <x v="11"/>
    <s v="Aalborg"/>
    <s v="Aalborg University"/>
    <s v="Computer Science"/>
    <s v="Bachelor"/>
    <n v="3"/>
    <n v="0"/>
    <n v="69.8"/>
    <n v="900"/>
    <n v="120"/>
    <n v="450"/>
    <n v="6.92"/>
    <n v="33870"/>
    <n v="11290"/>
    <n v="32400"/>
    <n v="33870"/>
    <n v="0"/>
  </r>
  <r>
    <x v="24"/>
    <s v="Warsaw"/>
    <s v="University of Warsaw"/>
    <s v="Computer Science"/>
    <s v="Master"/>
    <n v="2"/>
    <n v="3800"/>
    <n v="51.2"/>
    <n v="650"/>
    <n v="80"/>
    <n v="350"/>
    <n v="4.0199999999999996"/>
    <n v="20180"/>
    <n v="10090"/>
    <n v="15600"/>
    <n v="16380"/>
    <n v="0.18830525272547077"/>
  </r>
  <r>
    <x v="14"/>
    <s v="Galway"/>
    <s v="NUI Galway"/>
    <s v="Computer Science"/>
    <s v="Bachelor"/>
    <n v="4"/>
    <n v="25800"/>
    <n v="68.5"/>
    <n v="1100"/>
    <n v="150"/>
    <n v="650"/>
    <n v="0.92"/>
    <n v="81350"/>
    <n v="20337.5"/>
    <n v="52800"/>
    <n v="55550"/>
    <n v="0.31714812538414261"/>
  </r>
  <r>
    <x v="13"/>
    <s v="Daejeon"/>
    <s v="KAIST"/>
    <s v="Computer Science"/>
    <s v="PhD"/>
    <n v="4"/>
    <n v="6900"/>
    <n v="65.400000000000006"/>
    <n v="700"/>
    <n v="130"/>
    <n v="500"/>
    <n v="1320.5"/>
    <n v="42630"/>
    <n v="10657.5"/>
    <n v="33600"/>
    <n v="35730"/>
    <n v="0.16185784658691063"/>
  </r>
  <r>
    <x v="25"/>
    <s v="Kuala Lumpur"/>
    <s v="University of Malaya"/>
    <s v="Computer Science"/>
    <s v="Bachelor"/>
    <n v="4"/>
    <n v="4800"/>
    <n v="48.2"/>
    <n v="500"/>
    <n v="110"/>
    <n v="300"/>
    <n v="4.72"/>
    <n v="30110"/>
    <n v="7527.5"/>
    <n v="24000"/>
    <n v="25310"/>
    <n v="0.15941547658585187"/>
  </r>
  <r>
    <x v="0"/>
    <s v="Berkeley"/>
    <s v="UC Berkeley"/>
    <s v="Computer Science"/>
    <s v="Bachelor"/>
    <n v="4"/>
    <n v="44900"/>
    <n v="84.2"/>
    <n v="2100"/>
    <n v="160"/>
    <n v="1500"/>
    <n v="1"/>
    <n v="151860"/>
    <n v="37965"/>
    <n v="100800"/>
    <n v="106960"/>
    <n v="0.29566706176741736"/>
  </r>
  <r>
    <x v="1"/>
    <s v="Manchester"/>
    <s v="University of Manchester"/>
    <s v="Economics"/>
    <s v="Bachelor"/>
    <n v="3"/>
    <n v="32000"/>
    <n v="68.400000000000006"/>
    <n v="1200"/>
    <n v="485"/>
    <n v="800"/>
    <n v="0.79"/>
    <n v="78085"/>
    <n v="26028.333333333332"/>
    <n v="43200"/>
    <n v="46085"/>
    <n v="0.40980982262918614"/>
  </r>
  <r>
    <x v="2"/>
    <s v="Vancouver"/>
    <s v="University of British Columbia"/>
    <s v="Psychology"/>
    <s v="Bachelor"/>
    <n v="4"/>
    <n v="31200"/>
    <n v="71.2"/>
    <n v="1700"/>
    <n v="235"/>
    <n v="900"/>
    <n v="1.35"/>
    <n v="116635"/>
    <n v="29158.75"/>
    <n v="81600"/>
    <n v="85435"/>
    <n v="0.26750117889141339"/>
  </r>
  <r>
    <x v="3"/>
    <s v="Sydney"/>
    <s v="University of Sydney"/>
    <s v="Business"/>
    <s v="Bachelor"/>
    <n v="3"/>
    <n v="35000"/>
    <n v="72.8"/>
    <n v="1600"/>
    <n v="450"/>
    <n v="650"/>
    <n v="1.52"/>
    <n v="95000"/>
    <n v="31666.666666666668"/>
    <n v="57600"/>
    <n v="60000"/>
    <n v="0.36842105263157893"/>
  </r>
  <r>
    <x v="4"/>
    <s v="Berlin"/>
    <s v="Free University of Berlin"/>
    <s v="International Business"/>
    <s v="Bachelor"/>
    <n v="3"/>
    <n v="0"/>
    <n v="65.2"/>
    <n v="900"/>
    <n v="75"/>
    <n v="550"/>
    <n v="0.92"/>
    <n v="34125"/>
    <n v="11375"/>
    <n v="32400"/>
    <n v="34125"/>
    <n v="0"/>
  </r>
  <r>
    <x v="26"/>
    <s v="Barcelona"/>
    <s v="University of Barcelona"/>
    <s v="Architecture"/>
    <s v="Bachelor"/>
    <n v="4"/>
    <n v="2800"/>
    <n v="62.4"/>
    <n v="950"/>
    <n v="160"/>
    <n v="500"/>
    <n v="0.92"/>
    <n v="50560"/>
    <n v="12640"/>
    <n v="45600"/>
    <n v="47760"/>
    <n v="5.5379746835443035E-2"/>
  </r>
  <r>
    <x v="27"/>
    <s v="Milan"/>
    <s v="Politecnico di Milano"/>
    <s v="Design"/>
    <s v="Bachelor"/>
    <n v="3"/>
    <n v="4200"/>
    <n v="63.8"/>
    <n v="1100"/>
    <n v="120"/>
    <n v="650"/>
    <n v="0.92"/>
    <n v="45870"/>
    <n v="15290"/>
    <n v="39600"/>
    <n v="41670"/>
    <n v="9.1563113145846961E-2"/>
  </r>
  <r>
    <x v="6"/>
    <s v="Rotterdam"/>
    <s v="Erasmus University"/>
    <s v="Economics"/>
    <s v="Bachelor"/>
    <n v="3"/>
    <n v="11200"/>
    <n v="71.5"/>
    <n v="1300"/>
    <n v="180"/>
    <n v="720"/>
    <n v="0.92"/>
    <n v="60340"/>
    <n v="20113.333333333332"/>
    <n v="46800"/>
    <n v="49140"/>
    <n v="0.18561484918793503"/>
  </r>
  <r>
    <x v="28"/>
    <s v="Helsinki"/>
    <s v="University of Helsinki"/>
    <s v="Computer Science"/>
    <s v="Bachelor"/>
    <n v="3"/>
    <n v="0"/>
    <n v="70.2"/>
    <n v="1100"/>
    <n v="120"/>
    <n v="400"/>
    <n v="0.92"/>
    <n v="40920"/>
    <n v="13640"/>
    <n v="39600"/>
    <n v="40920"/>
    <n v="0"/>
  </r>
  <r>
    <x v="29"/>
    <s v="Oslo"/>
    <s v="University of Oslo"/>
    <s v="Environmental Science"/>
    <s v="Bachelor"/>
    <n v="3"/>
    <n v="0"/>
    <n v="75.599999999999994"/>
    <n v="1400"/>
    <n v="135"/>
    <n v="450"/>
    <n v="10.45"/>
    <n v="51885"/>
    <n v="17295"/>
    <n v="50400"/>
    <n v="51885"/>
    <n v="0"/>
  </r>
  <r>
    <x v="5"/>
    <s v="Osaka"/>
    <s v="Osaka University"/>
    <s v="Engineering"/>
    <s v="Bachelor"/>
    <n v="4"/>
    <n v="6800"/>
    <n v="71.2"/>
    <n v="900"/>
    <n v="220"/>
    <n v="750"/>
    <n v="145.80000000000001"/>
    <n v="53220"/>
    <n v="13305"/>
    <n v="43200"/>
    <n v="46420"/>
    <n v="0.12777151446824503"/>
  </r>
  <r>
    <x v="5"/>
    <s v="Kyoto"/>
    <s v="Kyoto University"/>
    <s v="Computer Science"/>
    <s v="Master"/>
    <n v="2"/>
    <n v="8500"/>
    <n v="71.8"/>
    <n v="900"/>
    <n v="220"/>
    <n v="750"/>
    <n v="145.80000000000001"/>
    <n v="31820"/>
    <n v="15910"/>
    <n v="21600"/>
    <n v="23320"/>
    <n v="0.26712759270898806"/>
  </r>
  <r>
    <x v="5"/>
    <s v="Nagoya"/>
    <s v="Nagoya University"/>
    <s v="Information Science"/>
    <s v="Bachelor"/>
    <n v="4"/>
    <n v="7800"/>
    <n v="68.5"/>
    <n v="750"/>
    <n v="220"/>
    <n v="750"/>
    <n v="145.80000000000001"/>
    <n v="47020"/>
    <n v="11755"/>
    <n v="36000"/>
    <n v="39220"/>
    <n v="0.1658868566567418"/>
  </r>
  <r>
    <x v="5"/>
    <s v="Sendai"/>
    <s v="Tohoku University"/>
    <s v="Software Engineering"/>
    <s v="Master"/>
    <n v="2"/>
    <n v="8200"/>
    <n v="65.400000000000006"/>
    <n v="650"/>
    <n v="220"/>
    <n v="750"/>
    <n v="145.80000000000001"/>
    <n v="25520"/>
    <n v="12760"/>
    <n v="15600"/>
    <n v="17320"/>
    <n v="0.32131661442006271"/>
  </r>
  <r>
    <x v="5"/>
    <s v="Fukuoka"/>
    <s v="Kyushu University"/>
    <s v="Computer Engineering"/>
    <s v="Bachelor"/>
    <n v="4"/>
    <n v="7500"/>
    <n v="64.8"/>
    <n v="600"/>
    <n v="220"/>
    <n v="750"/>
    <n v="145.80000000000001"/>
    <n v="39520"/>
    <n v="9880"/>
    <n v="28800"/>
    <n v="32020"/>
    <n v="0.18977732793522267"/>
  </r>
  <r>
    <x v="5"/>
    <s v="Sapporo"/>
    <s v="Hokkaido University"/>
    <s v="Data Science"/>
    <s v="Master"/>
    <n v="2"/>
    <n v="8100"/>
    <n v="63.5"/>
    <n v="550"/>
    <n v="220"/>
    <n v="750"/>
    <n v="145.80000000000001"/>
    <n v="23020"/>
    <n v="11510"/>
    <n v="13200"/>
    <n v="14920"/>
    <n v="0.35186794092093832"/>
  </r>
  <r>
    <x v="5"/>
    <s v="Tokyo"/>
    <s v="Tokyo Institute of Technology"/>
    <s v="Artificial Intelligence"/>
    <s v="PhD"/>
    <n v="3"/>
    <n v="8900"/>
    <n v="76.400000000000006"/>
    <n v="1100"/>
    <n v="220"/>
    <n v="750"/>
    <n v="145.80000000000001"/>
    <n v="50970"/>
    <n v="16990"/>
    <n v="39600"/>
    <n v="42070"/>
    <n v="0.17461251716696097"/>
  </r>
  <r>
    <x v="5"/>
    <s v="Tsukuba"/>
    <s v="University of Tsukuba"/>
    <s v="Information Systems"/>
    <s v="Bachelor"/>
    <n v="4"/>
    <n v="7200"/>
    <n v="64.2"/>
    <n v="600"/>
    <n v="220"/>
    <n v="750"/>
    <n v="145.80000000000001"/>
    <n v="39220"/>
    <n v="9805"/>
    <n v="28800"/>
    <n v="32020"/>
    <n v="0.18357980622131564"/>
  </r>
  <r>
    <x v="5"/>
    <s v="Kobe"/>
    <s v="Kobe University"/>
    <s v="Computer Science"/>
    <s v="Master"/>
    <n v="2"/>
    <n v="7900"/>
    <n v="67.8"/>
    <n v="700"/>
    <n v="220"/>
    <n v="750"/>
    <n v="145.80000000000001"/>
    <n v="26420"/>
    <n v="13210"/>
    <n v="16800"/>
    <n v="18520"/>
    <n v="0.29901589704769116"/>
  </r>
  <r>
    <x v="5"/>
    <s v="Kanazawa"/>
    <s v="Kanazawa University"/>
    <s v="Software Engineering"/>
    <s v="Bachelor"/>
    <n v="4"/>
    <n v="7100"/>
    <n v="62.5"/>
    <n v="500"/>
    <n v="220"/>
    <n v="750"/>
    <n v="145.80000000000001"/>
    <n v="34320"/>
    <n v="8580"/>
    <n v="24000"/>
    <n v="27220"/>
    <n v="0.20687645687645687"/>
  </r>
  <r>
    <x v="5"/>
    <s v="Hiroshima"/>
    <s v="Hiroshima University"/>
    <s v="Information Technology"/>
    <s v="Master"/>
    <n v="2"/>
    <n v="7600"/>
    <n v="63.8"/>
    <n v="550"/>
    <n v="220"/>
    <n v="750"/>
    <n v="145.80000000000001"/>
    <n v="22520"/>
    <n v="11260"/>
    <n v="13200"/>
    <n v="14920"/>
    <n v="0.33747779751332146"/>
  </r>
  <r>
    <x v="3"/>
    <s v="Adelaide"/>
    <s v="University of Adelaide"/>
    <s v="Computer Science"/>
    <s v="Bachelor"/>
    <n v="3"/>
    <n v="32800"/>
    <n v="68.5"/>
    <n v="1100"/>
    <n v="450"/>
    <n v="650"/>
    <n v="1.52"/>
    <n v="74800"/>
    <n v="24933.333333333332"/>
    <n v="39600"/>
    <n v="42000"/>
    <n v="0.43850267379679142"/>
  </r>
  <r>
    <x v="3"/>
    <s v="Perth"/>
    <s v="University of Western Australia"/>
    <s v="Software Engineering"/>
    <s v="Master"/>
    <n v="2"/>
    <n v="34500"/>
    <n v="69.8"/>
    <n v="1200"/>
    <n v="450"/>
    <n v="650"/>
    <n v="1.52"/>
    <n v="65050"/>
    <n v="32525"/>
    <n v="28800"/>
    <n v="30550"/>
    <n v="0.53036126056879329"/>
  </r>
  <r>
    <x v="3"/>
    <s v="Gold Coast"/>
    <s v="Griffith University"/>
    <s v="Information Technology"/>
    <s v="Bachelor"/>
    <n v="3"/>
    <n v="31200"/>
    <n v="67.5"/>
    <n v="1100"/>
    <n v="450"/>
    <n v="650"/>
    <n v="1.52"/>
    <n v="73200"/>
    <n v="24400"/>
    <n v="39600"/>
    <n v="42000"/>
    <n v="0.42622950819672129"/>
  </r>
  <r>
    <x v="3"/>
    <s v="Hobart"/>
    <s v="University of Tasmania"/>
    <s v="Data Science"/>
    <s v="Master"/>
    <n v="2"/>
    <n v="30800"/>
    <n v="65.400000000000006"/>
    <n v="950"/>
    <n v="450"/>
    <n v="650"/>
    <n v="1.52"/>
    <n v="55350"/>
    <n v="27675"/>
    <n v="22800"/>
    <n v="24550"/>
    <n v="0.55645889792231251"/>
  </r>
  <r>
    <x v="3"/>
    <s v="Newcastle"/>
    <s v="University of Newcastle"/>
    <s v="Computer Engineering"/>
    <s v="Bachelor"/>
    <n v="4"/>
    <n v="31500"/>
    <n v="66.8"/>
    <n v="1000"/>
    <n v="450"/>
    <n v="650"/>
    <n v="1.52"/>
    <n v="82550"/>
    <n v="20637.5"/>
    <n v="48000"/>
    <n v="51050"/>
    <n v="0.38158691701998787"/>
  </r>
  <r>
    <x v="3"/>
    <s v="Wollongong"/>
    <s v="University of Wollongong"/>
    <s v="Artificial Intelligence"/>
    <s v="Master"/>
    <n v="2"/>
    <n v="32900"/>
    <n v="67.2"/>
    <n v="1050"/>
    <n v="450"/>
    <n v="650"/>
    <n v="1.52"/>
    <n v="59850"/>
    <n v="29925"/>
    <n v="25200"/>
    <n v="26950"/>
    <n v="0.54970760233918126"/>
  </r>
  <r>
    <x v="3"/>
    <s v="Darwin"/>
    <s v="Charles Darwin University"/>
    <s v="Information Systems"/>
    <s v="Bachelor"/>
    <n v="3"/>
    <n v="29800"/>
    <n v="64.5"/>
    <n v="900"/>
    <n v="450"/>
    <n v="650"/>
    <n v="1.52"/>
    <n v="64600"/>
    <n v="21533.333333333332"/>
    <n v="32400"/>
    <n v="34800"/>
    <n v="0.46130030959752322"/>
  </r>
  <r>
    <x v="3"/>
    <s v="Townsville"/>
    <s v="James Cook University"/>
    <s v="Data Analytics"/>
    <s v="Master"/>
    <n v="2"/>
    <n v="31200"/>
    <n v="65.8"/>
    <n v="950"/>
    <n v="450"/>
    <n v="650"/>
    <n v="1.52"/>
    <n v="55750"/>
    <n v="27875"/>
    <n v="22800"/>
    <n v="24550"/>
    <n v="0.55964125560538114"/>
  </r>
  <r>
    <x v="3"/>
    <s v="Sunshine Coast"/>
    <s v="USC"/>
    <s v="Software Development"/>
    <s v="Bachelor"/>
    <n v="3"/>
    <n v="29500"/>
    <n v="66.2"/>
    <n v="1000"/>
    <n v="450"/>
    <n v="650"/>
    <n v="1.52"/>
    <n v="67900"/>
    <n v="22633.333333333332"/>
    <n v="36000"/>
    <n v="38400"/>
    <n v="0.43446244477172313"/>
  </r>
  <r>
    <x v="3"/>
    <s v="Armidale"/>
    <s v="University of New England"/>
    <s v="Computing Science"/>
    <s v="Master"/>
    <n v="2"/>
    <n v="30500"/>
    <n v="64.8"/>
    <n v="850"/>
    <n v="450"/>
    <n v="650"/>
    <n v="1.52"/>
    <n v="52650"/>
    <n v="26325"/>
    <n v="20400"/>
    <n v="22150"/>
    <n v="0.57929724596391263"/>
  </r>
  <r>
    <x v="4"/>
    <s v="Dresden"/>
    <s v="TU Dresden"/>
    <s v="Computer Science"/>
    <s v="Master"/>
    <n v="2"/>
    <n v="500"/>
    <n v="65.8"/>
    <n v="750"/>
    <n v="75"/>
    <n v="550"/>
    <n v="0.92"/>
    <n v="19675"/>
    <n v="9837.5"/>
    <n v="18000"/>
    <n v="19175"/>
    <n v="2.5412960609911054E-2"/>
  </r>
  <r>
    <x v="4"/>
    <s v="Stuttgart"/>
    <s v="University of Stuttgart"/>
    <s v="Software Engineering"/>
    <s v="Bachelor"/>
    <n v="3"/>
    <n v="450"/>
    <n v="68.5"/>
    <n v="850"/>
    <n v="75"/>
    <n v="550"/>
    <n v="0.92"/>
    <n v="32775"/>
    <n v="10925"/>
    <n v="30600"/>
    <n v="32325"/>
    <n v="1.3729977116704805E-2"/>
  </r>
  <r>
    <x v="4"/>
    <s v="Hamburg"/>
    <s v="TU Hamburg"/>
    <s v="Data Engineering"/>
    <s v="Master"/>
    <n v="2"/>
    <n v="500"/>
    <n v="71.2"/>
    <n v="950"/>
    <n v="75"/>
    <n v="550"/>
    <n v="0.92"/>
    <n v="24475"/>
    <n v="12237.5"/>
    <n v="22800"/>
    <n v="23975"/>
    <n v="2.0429009193054137E-2"/>
  </r>
  <r>
    <x v="4"/>
    <s v="Aachen"/>
    <s v="RWTH Aachen"/>
    <s v="Computer Engineering"/>
    <s v="Bachelor"/>
    <n v="3"/>
    <n v="500"/>
    <n v="66.400000000000006"/>
    <n v="700"/>
    <n v="75"/>
    <n v="550"/>
    <n v="0.92"/>
    <n v="27425"/>
    <n v="9141.6666666666661"/>
    <n v="25200"/>
    <n v="26925"/>
    <n v="1.8231540565177756E-2"/>
  </r>
  <r>
    <x v="4"/>
    <s v="Karlsruhe"/>
    <s v="KIT"/>
    <s v="Artificial Intelligence"/>
    <s v="Master"/>
    <n v="2"/>
    <n v="500"/>
    <n v="67.8"/>
    <n v="800"/>
    <n v="75"/>
    <n v="550"/>
    <n v="0.92"/>
    <n v="20875"/>
    <n v="10437.5"/>
    <n v="19200"/>
    <n v="20375"/>
    <n v="2.3952095808383235E-2"/>
  </r>
  <r>
    <x v="4"/>
    <s v="Darmstadt"/>
    <s v="TU Darmstadt"/>
    <s v="Information Systems"/>
    <s v="Bachelor"/>
    <n v="3"/>
    <n v="450"/>
    <n v="66.900000000000006"/>
    <n v="750"/>
    <n v="75"/>
    <n v="550"/>
    <n v="0.92"/>
    <n v="29175"/>
    <n v="9725"/>
    <n v="27000"/>
    <n v="28725"/>
    <n v="1.5424164524421594E-2"/>
  </r>
  <r>
    <x v="4"/>
    <s v="Braunschweig"/>
    <s v="TU Braunschweig"/>
    <s v="Software Systems"/>
    <s v="Master"/>
    <n v="2"/>
    <n v="500"/>
    <n v="64.5"/>
    <n v="650"/>
    <n v="75"/>
    <n v="550"/>
    <n v="0.92"/>
    <n v="17275"/>
    <n v="8637.5"/>
    <n v="15600"/>
    <n v="16775"/>
    <n v="2.8943560057887119E-2"/>
  </r>
  <r>
    <x v="4"/>
    <s v="Jena"/>
    <s v="University of Jena"/>
    <s v="Data Science"/>
    <s v="Bachelor"/>
    <n v="3"/>
    <n v="450"/>
    <n v="63.8"/>
    <n v="600"/>
    <n v="75"/>
    <n v="550"/>
    <n v="0.92"/>
    <n v="23775"/>
    <n v="7925"/>
    <n v="21600"/>
    <n v="23325"/>
    <n v="1.8927444794952682E-2"/>
  </r>
  <r>
    <x v="4"/>
    <s v="Hannover"/>
    <s v="Leibniz University"/>
    <s v="Digital Engineering"/>
    <s v="Master"/>
    <n v="2"/>
    <n v="500"/>
    <n v="66.2"/>
    <n v="750"/>
    <n v="75"/>
    <n v="550"/>
    <n v="0.92"/>
    <n v="19675"/>
    <n v="9837.5"/>
    <n v="18000"/>
    <n v="19175"/>
    <n v="2.5412960609911054E-2"/>
  </r>
  <r>
    <x v="4"/>
    <s v="Freiburg"/>
    <s v="University of Freiburg"/>
    <s v="Robotics &amp; AI"/>
    <s v="Master"/>
    <n v="2"/>
    <n v="500"/>
    <n v="67.5"/>
    <n v="800"/>
    <n v="75"/>
    <n v="550"/>
    <n v="0.92"/>
    <n v="20875"/>
    <n v="10437.5"/>
    <n v="19200"/>
    <n v="20375"/>
    <n v="2.3952095808383235E-2"/>
  </r>
  <r>
    <x v="0"/>
    <s v="Philadelphia"/>
    <s v="University of Pennsylvania"/>
    <s v="Computer Science"/>
    <s v="Master"/>
    <n v="2"/>
    <n v="51900"/>
    <n v="76.8"/>
    <n v="1900"/>
    <n v="160"/>
    <n v="1500"/>
    <n v="1"/>
    <n v="100660"/>
    <n v="50330"/>
    <n v="45600"/>
    <n v="48760"/>
    <n v="0.51559705940790779"/>
  </r>
  <r>
    <x v="0"/>
    <s v="Chicago"/>
    <s v="University of Chicago"/>
    <s v="Data Analytics"/>
    <s v="Master"/>
    <n v="2"/>
    <n v="52400"/>
    <n v="78.900000000000006"/>
    <n v="2000"/>
    <n v="160"/>
    <n v="1500"/>
    <n v="1"/>
    <n v="103560"/>
    <n v="51780"/>
    <n v="48000"/>
    <n v="51160"/>
    <n v="0.50598686751641564"/>
  </r>
  <r>
    <x v="0"/>
    <s v="Baltimore"/>
    <s v="Johns Hopkins"/>
    <s v="Artificial Intelligence"/>
    <s v="PhD"/>
    <n v="5"/>
    <n v="53600"/>
    <n v="72.5"/>
    <n v="1700"/>
    <n v="160"/>
    <n v="1500"/>
    <n v="1"/>
    <n v="163260"/>
    <n v="32652"/>
    <n v="102000"/>
    <n v="109660"/>
    <n v="0.32831067009677817"/>
  </r>
  <r>
    <x v="0"/>
    <s v="Nashville"/>
    <s v="Vanderbilt University"/>
    <s v="Computer Engineering"/>
    <s v="Bachelor"/>
    <n v="4"/>
    <n v="50800"/>
    <n v="71.2"/>
    <n v="1600"/>
    <n v="160"/>
    <n v="1500"/>
    <n v="1"/>
    <n v="133760"/>
    <n v="33440"/>
    <n v="76800"/>
    <n v="82960"/>
    <n v="0.37978468899521534"/>
  </r>
  <r>
    <x v="0"/>
    <s v="Durham"/>
    <s v="Duke University"/>
    <s v="Software Engineering"/>
    <s v="Master"/>
    <n v="2"/>
    <n v="51500"/>
    <n v="70.8"/>
    <n v="1500"/>
    <n v="160"/>
    <n v="1500"/>
    <n v="1"/>
    <n v="90660"/>
    <n v="45330"/>
    <n v="36000"/>
    <n v="39160"/>
    <n v="0.5680564747407898"/>
  </r>
  <r>
    <x v="0"/>
    <s v="Madison"/>
    <s v="University of Wisconsin"/>
    <s v="Computer Science"/>
    <s v="PhD"/>
    <n v="5"/>
    <n v="38200"/>
    <n v="69.5"/>
    <n v="1400"/>
    <n v="160"/>
    <n v="1500"/>
    <n v="1"/>
    <n v="129860"/>
    <n v="25972"/>
    <n v="84000"/>
    <n v="91660"/>
    <n v="0.29416294470968735"/>
  </r>
  <r>
    <x v="0"/>
    <s v="Tempe"/>
    <s v="Arizona State University"/>
    <s v="Information Technology"/>
    <s v="Bachelor"/>
    <n v="4"/>
    <n v="41200"/>
    <n v="70.2"/>
    <n v="1300"/>
    <n v="160"/>
    <n v="1500"/>
    <n v="1"/>
    <n v="109760"/>
    <n v="27440"/>
    <n v="62400"/>
    <n v="68560"/>
    <n v="0.37536443148688048"/>
  </r>
  <r>
    <x v="0"/>
    <s v="Boulder"/>
    <s v="University of Colorado"/>
    <s v="Data Science"/>
    <s v="Master"/>
    <n v="2"/>
    <n v="39800"/>
    <n v="71.5"/>
    <n v="1600"/>
    <n v="160"/>
    <n v="1500"/>
    <n v="1"/>
    <n v="81360"/>
    <n v="40680"/>
    <n v="38400"/>
    <n v="41560"/>
    <n v="0.48918387413962633"/>
  </r>
  <r>
    <x v="0"/>
    <s v="Minneapolis"/>
    <s v="University of Minnesota"/>
    <s v="Computer Science"/>
    <s v="Bachelor"/>
    <n v="4"/>
    <n v="42500"/>
    <n v="72.8"/>
    <n v="1500"/>
    <n v="160"/>
    <n v="1500"/>
    <n v="1"/>
    <n v="120660"/>
    <n v="30165"/>
    <n v="72000"/>
    <n v="78160"/>
    <n v="0.35222940493949945"/>
  </r>
  <r>
    <x v="0"/>
    <s v="Davis"/>
    <s v="UC Davis"/>
    <s v="Computer Engineering"/>
    <s v="Master"/>
    <n v="2"/>
    <n v="42800"/>
    <n v="73.5"/>
    <n v="1700"/>
    <n v="160"/>
    <n v="1500"/>
    <n v="1"/>
    <n v="86760"/>
    <n v="43380"/>
    <n v="40800"/>
    <n v="43960"/>
    <n v="0.49331489165514064"/>
  </r>
  <r>
    <x v="1"/>
    <s v="London"/>
    <s v="University College London"/>
    <s v="Computer Science"/>
    <s v="Master"/>
    <n v="1"/>
    <n v="39200"/>
    <n v="76.2"/>
    <n v="1900"/>
    <n v="485"/>
    <n v="800"/>
    <n v="0.79"/>
    <n v="63285"/>
    <n v="63285"/>
    <n v="22800"/>
    <n v="24085"/>
    <n v="0.61942008374812352"/>
  </r>
  <r>
    <x v="1"/>
    <s v="Leeds"/>
    <s v="University of Leeds"/>
    <s v="Software Engineering"/>
    <s v="Bachelor"/>
    <n v="3"/>
    <n v="28500"/>
    <n v="65.8"/>
    <n v="950"/>
    <n v="485"/>
    <n v="800"/>
    <n v="0.79"/>
    <n v="65585"/>
    <n v="21861.666666666668"/>
    <n v="34200"/>
    <n v="37085"/>
    <n v="0.43455058321262485"/>
  </r>
  <r>
    <x v="1"/>
    <s v="Warwick"/>
    <s v="University of Warwick"/>
    <s v="Data Science"/>
    <s v="Master"/>
    <n v="1"/>
    <n v="36800"/>
    <n v="67.2"/>
    <n v="1000"/>
    <n v="485"/>
    <n v="800"/>
    <n v="0.79"/>
    <n v="50085"/>
    <n v="50085"/>
    <n v="12000"/>
    <n v="13285"/>
    <n v="0.73475092343016868"/>
  </r>
  <r>
    <x v="1"/>
    <s v="Sheffield"/>
    <s v="University of Sheffield"/>
    <s v="Artificial Intelligence"/>
    <s v="PhD"/>
    <n v="3"/>
    <n v="27900"/>
    <n v="64.5"/>
    <n v="850"/>
    <n v="485"/>
    <n v="800"/>
    <n v="0.79"/>
    <n v="61385"/>
    <n v="20461.666666666668"/>
    <n v="30600"/>
    <n v="33485"/>
    <n v="0.4545084303983058"/>
  </r>
  <r>
    <x v="1"/>
    <s v="Birmingham"/>
    <s v="University of Birmingham"/>
    <s v="Computer Engineering"/>
    <s v="Bachelor"/>
    <n v="3"/>
    <n v="29500"/>
    <n v="66.8"/>
    <n v="950"/>
    <n v="485"/>
    <n v="800"/>
    <n v="0.79"/>
    <n v="66585"/>
    <n v="22195"/>
    <n v="34200"/>
    <n v="37085"/>
    <n v="0.4430427273409927"/>
  </r>
  <r>
    <x v="1"/>
    <s v="Southampton"/>
    <s v="University of Southampton"/>
    <s v="Cybersecurity"/>
    <s v="Master"/>
    <n v="1"/>
    <n v="32400"/>
    <n v="65.900000000000006"/>
    <n v="900"/>
    <n v="485"/>
    <n v="800"/>
    <n v="0.79"/>
    <n v="44485"/>
    <n v="44485"/>
    <n v="10800"/>
    <n v="12085"/>
    <n v="0.72833539395301783"/>
  </r>
  <r>
    <x v="1"/>
    <s v="Nottingham"/>
    <s v="University of Nottingham"/>
    <s v="Computer Science"/>
    <s v="Bachelor"/>
    <n v="3"/>
    <n v="28900"/>
    <n v="64.8"/>
    <n v="850"/>
    <n v="485"/>
    <n v="800"/>
    <n v="0.79"/>
    <n v="62385"/>
    <n v="20795"/>
    <n v="30600"/>
    <n v="33485"/>
    <n v="0.46325238438727256"/>
  </r>
  <r>
    <x v="1"/>
    <s v="Cardiff"/>
    <s v="Cardiff University"/>
    <s v="Software Development"/>
    <s v="Master"/>
    <n v="1"/>
    <n v="31200"/>
    <n v="64.2"/>
    <n v="800"/>
    <n v="485"/>
    <n v="800"/>
    <n v="0.79"/>
    <n v="42085"/>
    <n v="42085"/>
    <n v="9600"/>
    <n v="10885"/>
    <n v="0.74135677794938815"/>
  </r>
  <r>
    <x v="1"/>
    <s v="Belfast"/>
    <s v="Queen's University Belfast"/>
    <s v="Computing Systems"/>
    <s v="Bachelor"/>
    <n v="3"/>
    <n v="27500"/>
    <n v="63.5"/>
    <n v="750"/>
    <n v="485"/>
    <n v="800"/>
    <n v="0.79"/>
    <n v="57385"/>
    <n v="19128.333333333332"/>
    <n v="27000"/>
    <n v="29885"/>
    <n v="0.47921930818158054"/>
  </r>
  <r>
    <x v="1"/>
    <s v="Newcastle"/>
    <s v="Newcastle University"/>
    <s v="Data Analytics"/>
    <s v="Master"/>
    <n v="1"/>
    <n v="30800"/>
    <n v="64.599999999999994"/>
    <n v="800"/>
    <n v="485"/>
    <n v="800"/>
    <n v="0.79"/>
    <n v="41685"/>
    <n v="41685"/>
    <n v="9600"/>
    <n v="10885"/>
    <n v="0.73887489504617965"/>
  </r>
  <r>
    <x v="2"/>
    <s v="Hamilton"/>
    <s v="McMaster University"/>
    <s v="Software Engineering"/>
    <s v="Bachelor"/>
    <n v="4"/>
    <n v="32500"/>
    <n v="68.5"/>
    <n v="1200"/>
    <n v="235"/>
    <n v="900"/>
    <n v="1.35"/>
    <n v="93935"/>
    <n v="23483.75"/>
    <n v="57600"/>
    <n v="61435"/>
    <n v="0.34598392505455899"/>
  </r>
  <r>
    <x v="2"/>
    <s v="London ON"/>
    <s v="Western University"/>
    <s v="Computer Science"/>
    <s v="Master"/>
    <n v="2"/>
    <n v="29800"/>
    <n v="65.8"/>
    <n v="1100"/>
    <n v="235"/>
    <n v="900"/>
    <n v="1.35"/>
    <n v="58235"/>
    <n v="29117.5"/>
    <n v="26400"/>
    <n v="28435"/>
    <n v="0.51171975616038468"/>
  </r>
  <r>
    <x v="2"/>
    <s v="Halifax"/>
    <s v="Dalhousie University"/>
    <s v="Data Science"/>
    <s v="Master"/>
    <n v="2"/>
    <n v="28500"/>
    <n v="64.5"/>
    <n v="1200"/>
    <n v="235"/>
    <n v="900"/>
    <n v="1.35"/>
    <n v="59335"/>
    <n v="29667.5"/>
    <n v="28800"/>
    <n v="30835"/>
    <n v="0.48032358641611189"/>
  </r>
  <r>
    <x v="2"/>
    <s v="Victoria"/>
    <s v="University of Victoria"/>
    <s v="Computer Engineering"/>
    <s v="Bachelor"/>
    <n v="4"/>
    <n v="27900"/>
    <n v="69.2"/>
    <n v="1300"/>
    <n v="235"/>
    <n v="900"/>
    <n v="1.35"/>
    <n v="94135"/>
    <n v="23533.75"/>
    <n v="62400"/>
    <n v="66235"/>
    <n v="0.29638285441121792"/>
  </r>
  <r>
    <x v="2"/>
    <s v="Quebec City"/>
    <s v="Laval University"/>
    <s v="Artificial Intelligence"/>
    <s v="Master"/>
    <n v="2"/>
    <n v="21500"/>
    <n v="63.8"/>
    <n v="900"/>
    <n v="235"/>
    <n v="900"/>
    <n v="1.35"/>
    <n v="45135"/>
    <n v="22567.5"/>
    <n v="21600"/>
    <n v="23635"/>
    <n v="0.47634873158302871"/>
  </r>
  <r>
    <x v="2"/>
    <s v="Winnipeg"/>
    <s v="University of Manitoba"/>
    <s v="Computer Science"/>
    <s v="Bachelor"/>
    <n v="4"/>
    <n v="26800"/>
    <n v="62.5"/>
    <n v="950"/>
    <n v="235"/>
    <n v="900"/>
    <n v="1.35"/>
    <n v="76235"/>
    <n v="19058.75"/>
    <n v="45600"/>
    <n v="49435"/>
    <n v="0.35154456614415952"/>
  </r>
  <r>
    <x v="2"/>
    <s v="Regina"/>
    <s v="University of Regina"/>
    <s v="Software Systems"/>
    <s v="Bachelor"/>
    <n v="4"/>
    <n v="25500"/>
    <n v="61.8"/>
    <n v="900"/>
    <n v="235"/>
    <n v="900"/>
    <n v="1.35"/>
    <n v="72535"/>
    <n v="18133.75"/>
    <n v="43200"/>
    <n v="47035"/>
    <n v="0.35155442200317089"/>
  </r>
  <r>
    <x v="2"/>
    <s v="St. John's"/>
    <s v="Memorial University"/>
    <s v="Computer Science"/>
    <s v="Master"/>
    <n v="2"/>
    <n v="19800"/>
    <n v="63.2"/>
    <n v="950"/>
    <n v="235"/>
    <n v="900"/>
    <n v="1.35"/>
    <n v="44635"/>
    <n v="22317.5"/>
    <n v="22800"/>
    <n v="24835"/>
    <n v="0.4435980732608939"/>
  </r>
  <r>
    <x v="2"/>
    <s v="Saskatoon"/>
    <s v="University of Saskatchewan"/>
    <s v="Data Analytics"/>
    <s v="Master"/>
    <n v="2"/>
    <n v="24500"/>
    <n v="62.8"/>
    <n v="1000"/>
    <n v="235"/>
    <n v="900"/>
    <n v="1.35"/>
    <n v="50535"/>
    <n v="25267.5"/>
    <n v="24000"/>
    <n v="26035"/>
    <n v="0.48481250618383298"/>
  </r>
  <r>
    <x v="2"/>
    <s v="Sherbrooke"/>
    <s v="UniversitÃ© de Sherbrooke"/>
    <s v="Computer Engineering"/>
    <s v="PhD"/>
    <n v="4"/>
    <n v="20500"/>
    <n v="61.5"/>
    <n v="850"/>
    <n v="235"/>
    <n v="900"/>
    <n v="1.35"/>
    <n v="65135"/>
    <n v="16283.75"/>
    <n v="40800"/>
    <n v="44635"/>
    <n v="0.31473094342519381"/>
  </r>
  <r>
    <x v="0"/>
    <s v="Pittsburgh"/>
    <s v="Carnegie Mellon"/>
    <s v="Computer Science"/>
    <s v="Master"/>
    <n v="2"/>
    <n v="51200"/>
    <n v="72.400000000000006"/>
    <n v="1800"/>
    <n v="160"/>
    <n v="1500"/>
    <n v="1"/>
    <n v="97560"/>
    <n v="48780"/>
    <n v="43200"/>
    <n v="46360"/>
    <n v="0.52480524805248052"/>
  </r>
  <r>
    <x v="0"/>
    <s v="Urbana-Champaign"/>
    <s v="UIUC"/>
    <s v="Computer Science"/>
    <s v="PhD"/>
    <n v="5"/>
    <n v="45800"/>
    <n v="68.5"/>
    <n v="1400"/>
    <n v="160"/>
    <n v="1500"/>
    <n v="1"/>
    <n v="137460"/>
    <n v="27492"/>
    <n v="84000"/>
    <n v="91660"/>
    <n v="0.33318783646151606"/>
  </r>
  <r>
    <x v="2"/>
    <s v="Calgary"/>
    <s v="University of Calgary"/>
    <s v="Software Engineering"/>
    <s v="Bachelor"/>
    <n v="4"/>
    <n v="26500"/>
    <n v="69.2"/>
    <n v="1300"/>
    <n v="235"/>
    <n v="900"/>
    <n v="1.35"/>
    <n v="92735"/>
    <n v="23183.75"/>
    <n v="62400"/>
    <n v="66235"/>
    <n v="0.28576050035046097"/>
  </r>
  <r>
    <x v="30"/>
    <s v="Sao Paulo"/>
    <s v="University of Sao Paulo"/>
    <s v="Computer Science"/>
    <s v="Master"/>
    <n v="2"/>
    <n v="0"/>
    <n v="48.5"/>
    <n v="600"/>
    <n v="160"/>
    <n v="400"/>
    <n v="4.95"/>
    <n v="15360"/>
    <n v="7680"/>
    <n v="14400"/>
    <n v="15360"/>
    <n v="0"/>
  </r>
  <r>
    <x v="31"/>
    <s v="Istanbul"/>
    <s v="Bogazici University"/>
    <s v="Computer Engineering"/>
    <s v="Bachelor"/>
    <n v="4"/>
    <n v="1800"/>
    <n v="42.8"/>
    <n v="450"/>
    <n v="100"/>
    <n v="300"/>
    <n v="30.5"/>
    <n v="24700"/>
    <n v="6175"/>
    <n v="21600"/>
    <n v="22900"/>
    <n v="7.28744939271255E-2"/>
  </r>
  <r>
    <x v="32"/>
    <s v="Moscow"/>
    <s v="Moscow State University"/>
    <s v="Applied Mathematics"/>
    <s v="Master"/>
    <n v="2"/>
    <n v="3900"/>
    <n v="51.2"/>
    <n v="700"/>
    <n v="120"/>
    <n v="350"/>
    <n v="92.8"/>
    <n v="21520"/>
    <n v="10760"/>
    <n v="16800"/>
    <n v="17620"/>
    <n v="0.18122676579925651"/>
  </r>
  <r>
    <x v="33"/>
    <s v="Mexico City"/>
    <s v="UNAM"/>
    <s v="Computer Engineering"/>
    <s v="Bachelor"/>
    <n v="4"/>
    <n v="800"/>
    <n v="44.6"/>
    <n v="500"/>
    <n v="160"/>
    <n v="400"/>
    <n v="17.2"/>
    <n v="26560"/>
    <n v="6640"/>
    <n v="24000"/>
    <n v="25760"/>
    <n v="3.0120481927710843E-2"/>
  </r>
  <r>
    <x v="34"/>
    <s v="Athens"/>
    <s v="National Technical University"/>
    <s v="Software Engineering"/>
    <s v="Master"/>
    <n v="2"/>
    <n v="2500"/>
    <n v="54.8"/>
    <n v="550"/>
    <n v="120"/>
    <n v="400"/>
    <n v="0.92"/>
    <n v="16620"/>
    <n v="8310"/>
    <n v="13200"/>
    <n v="14120"/>
    <n v="0.15042117930204574"/>
  </r>
  <r>
    <x v="35"/>
    <s v="Bangkok"/>
    <s v="Chulalongkorn University"/>
    <s v="Computer Science"/>
    <s v="Bachelor"/>
    <n v="4"/>
    <n v="3800"/>
    <n v="46.5"/>
    <n v="450"/>
    <n v="140"/>
    <n v="300"/>
    <n v="35.200000000000003"/>
    <n v="26740"/>
    <n v="6685"/>
    <n v="21600"/>
    <n v="22940"/>
    <n v="0.14210919970082272"/>
  </r>
  <r>
    <x v="36"/>
    <s v="Dubai"/>
    <s v="American University in Dubai"/>
    <s v="Computer Science"/>
    <s v="Bachelor"/>
    <n v="4"/>
    <n v="29500"/>
    <n v="72.400000000000006"/>
    <n v="1200"/>
    <n v="270"/>
    <n v="800"/>
    <n v="3.67"/>
    <n v="90570"/>
    <n v="22642.5"/>
    <n v="57600"/>
    <n v="61070"/>
    <n v="0.32571491663906371"/>
  </r>
  <r>
    <x v="0"/>
    <s v="New York"/>
    <s v="Columbia University"/>
    <s v="Data Science"/>
    <s v="Master"/>
    <n v="2"/>
    <n v="52800"/>
    <n v="100"/>
    <n v="2500"/>
    <n v="160"/>
    <n v="1500"/>
    <n v="1"/>
    <n v="115960"/>
    <n v="57980"/>
    <n v="60000"/>
    <n v="63160"/>
    <n v="0.45532942393928943"/>
  </r>
  <r>
    <x v="0"/>
    <s v="Ithaca"/>
    <s v="Cornell University"/>
    <s v="Computer Science"/>
    <s v="PhD"/>
    <n v="5"/>
    <n v="49800"/>
    <n v="70.5"/>
    <n v="1600"/>
    <n v="160"/>
    <n v="1500"/>
    <n v="1"/>
    <n v="153460"/>
    <n v="30692"/>
    <n v="96000"/>
    <n v="103660"/>
    <n v="0.32451453147399972"/>
  </r>
  <r>
    <x v="12"/>
    <s v="Shenzhen"/>
    <s v="SUSTech"/>
    <s v="Artificial Intelligence"/>
    <s v="Master"/>
    <n v="2"/>
    <n v="8200"/>
    <n v="58.4"/>
    <n v="800"/>
    <n v="140"/>
    <n v="400"/>
    <n v="7.18"/>
    <n v="28340"/>
    <n v="14170"/>
    <n v="19200"/>
    <n v="20140"/>
    <n v="0.2893436838390967"/>
  </r>
  <r>
    <x v="37"/>
    <s v="Cape Town"/>
    <s v="University of Cape Town"/>
    <s v="Computer Science"/>
    <s v="Bachelor"/>
    <n v="3"/>
    <n v="5900"/>
    <n v="49.2"/>
    <n v="600"/>
    <n v="140"/>
    <n v="400"/>
    <n v="18.72"/>
    <n v="28840"/>
    <n v="9613.3333333333339"/>
    <n v="21600"/>
    <n v="22940"/>
    <n v="0.20457697642163661"/>
  </r>
  <r>
    <x v="38"/>
    <s v="Cairo"/>
    <s v="American University in Cairo"/>
    <s v="Computer Engineering"/>
    <s v="Bachelor"/>
    <n v="4"/>
    <n v="19800"/>
    <n v="38.4"/>
    <n v="450"/>
    <n v="130"/>
    <n v="350"/>
    <n v="30.9"/>
    <n v="42930"/>
    <n v="10732.5"/>
    <n v="21600"/>
    <n v="23130"/>
    <n v="0.46121593291404611"/>
  </r>
  <r>
    <x v="39"/>
    <s v="Buenos Aires"/>
    <s v="University of Buenos Aires"/>
    <s v="Software Engineering"/>
    <s v="Bachelor"/>
    <n v="5"/>
    <n v="0"/>
    <n v="42.6"/>
    <n v="400"/>
    <n v="150"/>
    <n v="300"/>
    <n v="821.5"/>
    <n v="25650"/>
    <n v="5130"/>
    <n v="24000"/>
    <n v="25650"/>
    <n v="0"/>
  </r>
  <r>
    <x v="40"/>
    <s v="Jakarta"/>
    <s v="University of Indonesia"/>
    <s v="Information Systems"/>
    <s v="Bachelor"/>
    <n v="4"/>
    <n v="4200"/>
    <n v="45.8"/>
    <n v="500"/>
    <n v="130"/>
    <n v="300"/>
    <n v="15640"/>
    <n v="29530"/>
    <n v="7382.5"/>
    <n v="24000"/>
    <n v="25330"/>
    <n v="0.14222824246528953"/>
  </r>
  <r>
    <x v="41"/>
    <s v="Riyadh"/>
    <s v="King Saud University"/>
    <s v="Computer Science"/>
    <s v="Master"/>
    <n v="2"/>
    <n v="7800"/>
    <n v="52.4"/>
    <n v="800"/>
    <n v="250"/>
    <n v="600"/>
    <n v="3.75"/>
    <n v="28450"/>
    <n v="14225"/>
    <n v="19200"/>
    <n v="20650"/>
    <n v="0.27416520210896311"/>
  </r>
  <r>
    <x v="42"/>
    <s v="Lagos"/>
    <s v="University of Lagos"/>
    <s v="Computer Engineering"/>
    <s v="Bachelor"/>
    <n v="4"/>
    <n v="2500"/>
    <n v="40.200000000000003"/>
    <n v="400"/>
    <n v="180"/>
    <n v="300"/>
    <n v="860.2"/>
    <n v="23080"/>
    <n v="5770"/>
    <n v="19200"/>
    <n v="20580"/>
    <n v="0.10831889081455806"/>
  </r>
  <r>
    <x v="43"/>
    <s v="Ho Chi Minh City"/>
    <s v="HCMUT"/>
    <s v="Software Engineering"/>
    <s v="Bachelor"/>
    <n v="4"/>
    <n v="3200"/>
    <n v="43.6"/>
    <n v="450"/>
    <n v="120"/>
    <n v="250"/>
    <n v="24450"/>
    <n v="25920"/>
    <n v="6480"/>
    <n v="21600"/>
    <n v="22720"/>
    <n v="0.12345679012345678"/>
  </r>
  <r>
    <x v="6"/>
    <s v="Eindhoven"/>
    <s v="TU Eindhoven"/>
    <s v="Computer Science"/>
    <s v="Master"/>
    <n v="2"/>
    <n v="15600"/>
    <n v="69.8"/>
    <n v="950"/>
    <n v="180"/>
    <n v="720"/>
    <n v="0.92"/>
    <n v="40020"/>
    <n v="20010"/>
    <n v="22800"/>
    <n v="24420"/>
    <n v="0.38980509745127434"/>
  </r>
  <r>
    <x v="6"/>
    <s v="Enschede"/>
    <s v="University of Twente"/>
    <s v="Artificial Intelligence"/>
    <s v="Bachelor"/>
    <n v="3"/>
    <n v="11200"/>
    <n v="65.400000000000006"/>
    <n v="750"/>
    <n v="180"/>
    <n v="720"/>
    <n v="0.92"/>
    <n v="40540"/>
    <n v="13513.333333333334"/>
    <n v="27000"/>
    <n v="29340"/>
    <n v="0.27627035027133695"/>
  </r>
  <r>
    <x v="6"/>
    <s v="Groningen"/>
    <s v="University of Groningen"/>
    <s v="Computing Science"/>
    <s v="Master"/>
    <n v="2"/>
    <n v="14800"/>
    <n v="66.8"/>
    <n v="800"/>
    <n v="180"/>
    <n v="720"/>
    <n v="0.92"/>
    <n v="35620"/>
    <n v="17810"/>
    <n v="19200"/>
    <n v="20820"/>
    <n v="0.41549691184727683"/>
  </r>
  <r>
    <x v="6"/>
    <s v="Maastricht"/>
    <s v="Maastricht University"/>
    <s v="Data Science"/>
    <s v="Bachelor"/>
    <n v="3"/>
    <n v="11500"/>
    <n v="67.2"/>
    <n v="850"/>
    <n v="180"/>
    <n v="720"/>
    <n v="0.92"/>
    <n v="44440"/>
    <n v="14813.333333333334"/>
    <n v="30600"/>
    <n v="32940"/>
    <n v="0.25877587758775877"/>
  </r>
  <r>
    <x v="6"/>
    <s v="Nijmegen"/>
    <s v="Radboud University"/>
    <s v="Software Science"/>
    <s v="Master"/>
    <n v="2"/>
    <n v="14500"/>
    <n v="66.5"/>
    <n v="800"/>
    <n v="180"/>
    <n v="720"/>
    <n v="0.92"/>
    <n v="35320"/>
    <n v="17660"/>
    <n v="19200"/>
    <n v="20820"/>
    <n v="0.41053227633069084"/>
  </r>
  <r>
    <x v="6"/>
    <s v="Tilburg"/>
    <s v="Tilburg University"/>
    <s v="Information Systems"/>
    <s v="Bachelor"/>
    <n v="3"/>
    <n v="11300"/>
    <n v="65.8"/>
    <n v="750"/>
    <n v="180"/>
    <n v="720"/>
    <n v="0.92"/>
    <n v="40640"/>
    <n v="13546.666666666666"/>
    <n v="27000"/>
    <n v="29340"/>
    <n v="0.27805118110236221"/>
  </r>
  <r>
    <x v="6"/>
    <s v="Utrecht"/>
    <s v="Utrecht University"/>
    <s v="Game Technology"/>
    <s v="Master"/>
    <n v="2"/>
    <n v="15200"/>
    <n v="70.2"/>
    <n v="1000"/>
    <n v="180"/>
    <n v="720"/>
    <n v="0.92"/>
    <n v="40820"/>
    <n v="20410"/>
    <n v="24000"/>
    <n v="25620"/>
    <n v="0.37236648701616853"/>
  </r>
  <r>
    <x v="6"/>
    <s v="Leiden"/>
    <s v="Leiden University"/>
    <s v="Computer Engineering"/>
    <s v="Bachelor"/>
    <n v="3"/>
    <n v="11400"/>
    <n v="69.5"/>
    <n v="950"/>
    <n v="180"/>
    <n v="720"/>
    <n v="0.92"/>
    <n v="47940"/>
    <n v="15980"/>
    <n v="34200"/>
    <n v="36540"/>
    <n v="0.23779724655819776"/>
  </r>
  <r>
    <x v="6"/>
    <s v="Wageningen"/>
    <s v="Wageningen University"/>
    <s v="Bioinformatics"/>
    <s v="Master"/>
    <n v="2"/>
    <n v="14900"/>
    <n v="65.2"/>
    <n v="750"/>
    <n v="180"/>
    <n v="720"/>
    <n v="0.92"/>
    <n v="34520"/>
    <n v="17260"/>
    <n v="18000"/>
    <n v="19620"/>
    <n v="0.43163383545770567"/>
  </r>
  <r>
    <x v="6"/>
    <s v="Amsterdam"/>
    <s v="VU Amsterdam"/>
    <s v="Business Analytics"/>
    <s v="Master"/>
    <n v="2"/>
    <n v="15400"/>
    <n v="73.5"/>
    <n v="1100"/>
    <n v="180"/>
    <n v="720"/>
    <n v="0.92"/>
    <n v="43420"/>
    <n v="21710"/>
    <n v="26400"/>
    <n v="28020"/>
    <n v="0.35467526485490558"/>
  </r>
  <r>
    <x v="7"/>
    <s v="Singapore"/>
    <s v="Nanyang Technological University"/>
    <s v="Computer Science"/>
    <s v="Bachelor"/>
    <n v="4"/>
    <n v="32500"/>
    <n v="81.099999999999994"/>
    <n v="1500"/>
    <n v="90"/>
    <n v="800"/>
    <n v="1.34"/>
    <n v="107790"/>
    <n v="26947.5"/>
    <n v="72000"/>
    <n v="75290"/>
    <n v="0.30151219964746268"/>
  </r>
  <r>
    <x v="7"/>
    <s v="Singapore"/>
    <s v="Singapore Management University"/>
    <s v="Information Systems"/>
    <s v="Bachelor"/>
    <n v="4"/>
    <n v="31800"/>
    <n v="81.099999999999994"/>
    <n v="1500"/>
    <n v="90"/>
    <n v="800"/>
    <n v="1.34"/>
    <n v="107090"/>
    <n v="26772.5"/>
    <n v="72000"/>
    <n v="75290"/>
    <n v="0.29694649360351105"/>
  </r>
  <r>
    <x v="7"/>
    <s v="Singapore"/>
    <s v="SUTD"/>
    <s v="Computer Science &amp; Design"/>
    <s v="Bachelor"/>
    <n v="4"/>
    <n v="31200"/>
    <n v="81.099999999999994"/>
    <n v="1500"/>
    <n v="90"/>
    <n v="800"/>
    <n v="1.34"/>
    <n v="106490"/>
    <n v="26622.5"/>
    <n v="72000"/>
    <n v="75290"/>
    <n v="0.29298525683162741"/>
  </r>
  <r>
    <x v="7"/>
    <s v="Singapore"/>
    <s v="SIT"/>
    <s v="Software Engineering"/>
    <s v="Bachelor"/>
    <n v="4"/>
    <n v="29800"/>
    <n v="81.099999999999994"/>
    <n v="1500"/>
    <n v="90"/>
    <n v="800"/>
    <n v="1.34"/>
    <n v="105090"/>
    <n v="26272.5"/>
    <n v="72000"/>
    <n v="75290"/>
    <n v="0.28356646683794845"/>
  </r>
  <r>
    <x v="7"/>
    <s v="Singapore"/>
    <s v="NUS"/>
    <s v="Artificial Intelligence"/>
    <s v="Master"/>
    <n v="2"/>
    <n v="35600"/>
    <n v="81.099999999999994"/>
    <n v="1500"/>
    <n v="90"/>
    <n v="800"/>
    <n v="1.34"/>
    <n v="73290"/>
    <n v="36645"/>
    <n v="36000"/>
    <n v="37690"/>
    <n v="0.48574157456678946"/>
  </r>
  <r>
    <x v="7"/>
    <s v="Singapore"/>
    <s v="NTU"/>
    <s v="Data Science &amp; AI"/>
    <s v="Master"/>
    <n v="2"/>
    <n v="34900"/>
    <n v="81.099999999999994"/>
    <n v="1500"/>
    <n v="90"/>
    <n v="800"/>
    <n v="1.34"/>
    <n v="72590"/>
    <n v="36295"/>
    <n v="36000"/>
    <n v="37690"/>
    <n v="0.48078247692519632"/>
  </r>
  <r>
    <x v="7"/>
    <s v="Singapore"/>
    <s v="SUTD"/>
    <s v="Technology &amp; Innovation"/>
    <s v="Master"/>
    <n v="2"/>
    <n v="33800"/>
    <n v="81.099999999999994"/>
    <n v="1500"/>
    <n v="90"/>
    <n v="800"/>
    <n v="1.34"/>
    <n v="71490"/>
    <n v="35745"/>
    <n v="36000"/>
    <n v="37690"/>
    <n v="0.47279339767799694"/>
  </r>
  <r>
    <x v="7"/>
    <s v="Singapore"/>
    <s v="SMU"/>
    <s v="Computing &amp; Innovation"/>
    <s v="Master"/>
    <n v="2"/>
    <n v="34200"/>
    <n v="81.099999999999994"/>
    <n v="1500"/>
    <n v="90"/>
    <n v="800"/>
    <n v="1.34"/>
    <n v="71890"/>
    <n v="35945"/>
    <n v="36000"/>
    <n v="37690"/>
    <n v="0.47572680484072888"/>
  </r>
  <r>
    <x v="7"/>
    <s v="Singapore"/>
    <s v="NUS"/>
    <s v="Computer Engineering"/>
    <s v="PhD"/>
    <n v="4"/>
    <n v="38500"/>
    <n v="81.099999999999994"/>
    <n v="1500"/>
    <n v="90"/>
    <n v="800"/>
    <n v="1.34"/>
    <n v="113790"/>
    <n v="28447.5"/>
    <n v="72000"/>
    <n v="75290"/>
    <n v="0.33834256085772035"/>
  </r>
  <r>
    <x v="7"/>
    <s v="Singapore"/>
    <s v="NTU"/>
    <s v="Digital Systems &amp; AI"/>
    <s v="PhD"/>
    <n v="4"/>
    <n v="37900"/>
    <n v="81.099999999999994"/>
    <n v="1500"/>
    <n v="90"/>
    <n v="800"/>
    <n v="1.34"/>
    <n v="113190"/>
    <n v="28297.5"/>
    <n v="72000"/>
    <n v="75290"/>
    <n v="0.33483523279441646"/>
  </r>
  <r>
    <x v="8"/>
    <s v="Paris"/>
    <s v="Ã‰cole Polytechnique"/>
    <s v="Computer Science"/>
    <s v="Master"/>
    <n v="2"/>
    <n v="15600"/>
    <n v="74.599999999999994"/>
    <n v="1500"/>
    <n v="99"/>
    <n v="650"/>
    <n v="0.92"/>
    <n v="52999"/>
    <n v="26499.5"/>
    <n v="36000"/>
    <n v="37399"/>
    <n v="0.29434517632408158"/>
  </r>
  <r>
    <x v="8"/>
    <s v="Toulouse"/>
    <s v="INSA Toulouse"/>
    <s v="Software Engineering"/>
    <s v="Bachelor"/>
    <n v="3"/>
    <n v="4200"/>
    <n v="65.8"/>
    <n v="750"/>
    <n v="99"/>
    <n v="650"/>
    <n v="0.92"/>
    <n v="33249"/>
    <n v="11083"/>
    <n v="27000"/>
    <n v="29049"/>
    <n v="0.1263195885590544"/>
  </r>
  <r>
    <x v="8"/>
    <s v="Lyon"/>
    <s v="Ã‰cole Normale SupÃ©rieure Lyon"/>
    <s v="Data Science"/>
    <s v="Master"/>
    <n v="2"/>
    <n v="4800"/>
    <n v="68.5"/>
    <n v="850"/>
    <n v="99"/>
    <n v="650"/>
    <n v="0.92"/>
    <n v="26599"/>
    <n v="13299.5"/>
    <n v="20400"/>
    <n v="21799"/>
    <n v="0.18045791195157712"/>
  </r>
  <r>
    <x v="8"/>
    <s v="Grenoble"/>
    <s v="Grenoble INP"/>
    <s v="Artificial Intelligence"/>
    <s v="Master"/>
    <n v="2"/>
    <n v="4500"/>
    <n v="66.400000000000006"/>
    <n v="800"/>
    <n v="99"/>
    <n v="650"/>
    <n v="0.92"/>
    <n v="25099"/>
    <n v="12549.5"/>
    <n v="19200"/>
    <n v="20599"/>
    <n v="0.17929001155424518"/>
  </r>
  <r>
    <x v="8"/>
    <s v="Nice"/>
    <s v="UniversitÃ© Nice Sophia Antipolis"/>
    <s v="Computer Engineering"/>
    <s v="Bachelor"/>
    <n v="3"/>
    <n v="3900"/>
    <n v="69.2"/>
    <n v="900"/>
    <n v="99"/>
    <n v="650"/>
    <n v="0.92"/>
    <n v="38349"/>
    <n v="12783"/>
    <n v="32400"/>
    <n v="34449"/>
    <n v="0.10169756708127982"/>
  </r>
  <r>
    <x v="8"/>
    <s v="Bordeaux"/>
    <s v="University of Bordeaux"/>
    <s v="Information Systems"/>
    <s v="Master"/>
    <n v="2"/>
    <n v="4200"/>
    <n v="67.8"/>
    <n v="850"/>
    <n v="99"/>
    <n v="650"/>
    <n v="0.92"/>
    <n v="25999"/>
    <n v="12999.5"/>
    <n v="20400"/>
    <n v="21799"/>
    <n v="0.16154467479518442"/>
  </r>
  <r>
    <x v="8"/>
    <s v="Lille"/>
    <s v="UniversitÃ© de Lille"/>
    <s v="Software Development"/>
    <s v="Bachelor"/>
    <n v="3"/>
    <n v="3800"/>
    <n v="65.5"/>
    <n v="750"/>
    <n v="99"/>
    <n v="650"/>
    <n v="0.92"/>
    <n v="32849"/>
    <n v="10949.666666666666"/>
    <n v="27000"/>
    <n v="29049"/>
    <n v="0.11568084264361168"/>
  </r>
  <r>
    <x v="8"/>
    <s v="Rennes"/>
    <s v="INSA Rennes"/>
    <s v="Cybersecurity"/>
    <s v="Master"/>
    <n v="2"/>
    <n v="4500"/>
    <n v="64.8"/>
    <n v="700"/>
    <n v="99"/>
    <n v="650"/>
    <n v="0.92"/>
    <n v="22699"/>
    <n v="11349.5"/>
    <n v="16800"/>
    <n v="18199"/>
    <n v="0.19824661879377947"/>
  </r>
  <r>
    <x v="8"/>
    <s v="Strasbourg"/>
    <s v="University of Strasbourg"/>
    <s v="Digital Systems"/>
    <s v="Bachelor"/>
    <n v="3"/>
    <n v="3900"/>
    <n v="66.2"/>
    <n v="800"/>
    <n v="99"/>
    <n v="650"/>
    <n v="0.92"/>
    <n v="34749"/>
    <n v="11583"/>
    <n v="28800"/>
    <n v="30849"/>
    <n v="0.1122334455667789"/>
  </r>
  <r>
    <x v="8"/>
    <s v="Montpellier"/>
    <s v="University of Montpellier"/>
    <s v="Data Engineering"/>
    <s v="Master"/>
    <n v="2"/>
    <n v="4100"/>
    <n v="65.900000000000006"/>
    <n v="750"/>
    <n v="99"/>
    <n v="650"/>
    <n v="0.92"/>
    <n v="23499"/>
    <n v="11749.5"/>
    <n v="18000"/>
    <n v="19399"/>
    <n v="0.17447550959615302"/>
  </r>
  <r>
    <x v="9"/>
    <s v="Lausanne"/>
    <s v="EPFL"/>
    <s v="Computer Science"/>
    <s v="Master"/>
    <n v="2"/>
    <n v="1460"/>
    <n v="89.8"/>
    <n v="1900"/>
    <n v="88"/>
    <n v="1200"/>
    <n v="0.89"/>
    <n v="49548"/>
    <n v="24774"/>
    <n v="45600"/>
    <n v="48088"/>
    <n v="2.9466376039396142E-2"/>
  </r>
  <r>
    <x v="9"/>
    <s v="Geneva"/>
    <s v="University of Geneva"/>
    <s v="Data Science"/>
    <s v="Bachelor"/>
    <n v="3"/>
    <n v="1380"/>
    <n v="90.5"/>
    <n v="2000"/>
    <n v="88"/>
    <n v="1200"/>
    <n v="0.89"/>
    <n v="77068"/>
    <n v="25689.333333333332"/>
    <n v="72000"/>
    <n v="75688"/>
    <n v="1.7906264597498313E-2"/>
  </r>
  <r>
    <x v="9"/>
    <s v="Bern"/>
    <s v="University of Bern"/>
    <s v="Software Engineering"/>
    <s v="Master"/>
    <n v="2"/>
    <n v="1420"/>
    <n v="85.4"/>
    <n v="1700"/>
    <n v="88"/>
    <n v="1200"/>
    <n v="0.89"/>
    <n v="44708"/>
    <n v="22354"/>
    <n v="40800"/>
    <n v="43288"/>
    <n v="3.1761653395365484E-2"/>
  </r>
  <r>
    <x v="9"/>
    <s v="St. Gallen"/>
    <s v="University of St. Gallen"/>
    <s v="Business Informatics"/>
    <s v="Bachelor"/>
    <n v="3"/>
    <n v="1440"/>
    <n v="86.2"/>
    <n v="1600"/>
    <n v="88"/>
    <n v="1200"/>
    <n v="0.89"/>
    <n v="62728"/>
    <n v="20909.333333333332"/>
    <n v="57600"/>
    <n v="61288"/>
    <n v="2.2956255579645455E-2"/>
  </r>
  <r>
    <x v="9"/>
    <s v="Lugano"/>
    <s v="USI"/>
    <s v="Artificial Intelligence"/>
    <s v="Master"/>
    <n v="2"/>
    <n v="1460"/>
    <n v="84.5"/>
    <n v="1500"/>
    <n v="88"/>
    <n v="1200"/>
    <n v="0.89"/>
    <n v="39948"/>
    <n v="19974"/>
    <n v="36000"/>
    <n v="38488"/>
    <n v="3.6547511765294881E-2"/>
  </r>
  <r>
    <x v="9"/>
    <s v="Fribourg"/>
    <s v="University of Fribourg"/>
    <s v="Computer Engineering"/>
    <s v="Bachelor"/>
    <n v="3"/>
    <n v="1380"/>
    <n v="83.8"/>
    <n v="1400"/>
    <n v="88"/>
    <n v="1200"/>
    <n v="0.89"/>
    <n v="55468"/>
    <n v="18489.333333333332"/>
    <n v="50400"/>
    <n v="54088"/>
    <n v="2.4879209634383788E-2"/>
  </r>
  <r>
    <x v="9"/>
    <s v="Neuchatel"/>
    <s v="University of Neuchatel"/>
    <s v="Information Systems"/>
    <s v="Master"/>
    <n v="2"/>
    <n v="1420"/>
    <n v="84.2"/>
    <n v="1500"/>
    <n v="88"/>
    <n v="1200"/>
    <n v="0.89"/>
    <n v="39908"/>
    <n v="19954"/>
    <n v="36000"/>
    <n v="38488"/>
    <n v="3.5581838227924226E-2"/>
  </r>
  <r>
    <x v="9"/>
    <s v="Basel"/>
    <s v="University of Basel"/>
    <s v="Computational Science"/>
    <s v="Master"/>
    <n v="2"/>
    <n v="1440"/>
    <n v="87.5"/>
    <n v="1800"/>
    <n v="88"/>
    <n v="1200"/>
    <n v="0.89"/>
    <n v="47128"/>
    <n v="23564"/>
    <n v="43200"/>
    <n v="45688"/>
    <n v="3.0555084026481074E-2"/>
  </r>
  <r>
    <x v="9"/>
    <s v="Lucerne"/>
    <s v="University of Lucerne"/>
    <s v="Digital Innovation"/>
    <s v="Bachelor"/>
    <n v="3"/>
    <n v="1380"/>
    <n v="85.8"/>
    <n v="1600"/>
    <n v="88"/>
    <n v="1200"/>
    <n v="0.89"/>
    <n v="62668"/>
    <n v="20889.333333333332"/>
    <n v="57600"/>
    <n v="61288"/>
    <n v="2.2020808067913449E-2"/>
  </r>
  <r>
    <x v="9"/>
    <s v="Winterthur"/>
    <s v="ZHAW"/>
    <s v="Data Engineering"/>
    <s v="Master"/>
    <n v="2"/>
    <n v="1460"/>
    <n v="86.4"/>
    <n v="1700"/>
    <n v="88"/>
    <n v="1200"/>
    <n v="0.89"/>
    <n v="44748"/>
    <n v="22374"/>
    <n v="40800"/>
    <n v="43288"/>
    <n v="3.2627156520961834E-2"/>
  </r>
  <r>
    <x v="11"/>
    <s v="Copenhagen"/>
    <s v="University of Copenhagen"/>
    <s v="Computer Science"/>
    <s v="Master"/>
    <n v="2"/>
    <n v="8800"/>
    <n v="83.2"/>
    <n v="1500"/>
    <n v="110"/>
    <n v="600"/>
    <n v="0.15"/>
    <n v="46110"/>
    <n v="23055"/>
    <n v="36000"/>
    <n v="37310"/>
    <n v="0.19084797224029496"/>
  </r>
  <r>
    <x v="11"/>
    <s v="Aarhus"/>
    <s v="Aarhus University"/>
    <s v="Data Science"/>
    <s v="Master"/>
    <n v="2"/>
    <n v="8600"/>
    <n v="77.400000000000006"/>
    <n v="1200"/>
    <n v="110"/>
    <n v="600"/>
    <n v="0.15"/>
    <n v="38710"/>
    <n v="19355"/>
    <n v="28800"/>
    <n v="30110"/>
    <n v="0.22216481529320589"/>
  </r>
  <r>
    <x v="11"/>
    <s v="Aalborg"/>
    <s v="Aalborg University"/>
    <s v="Software Engineering"/>
    <s v="Master"/>
    <n v="2"/>
    <n v="8400"/>
    <n v="75.099999999999994"/>
    <n v="1000"/>
    <n v="110"/>
    <n v="600"/>
    <n v="0.15"/>
    <n v="33710"/>
    <n v="16855"/>
    <n v="24000"/>
    <n v="25310"/>
    <n v="0.24918421833283891"/>
  </r>
  <r>
    <x v="12"/>
    <s v="Beijing"/>
    <s v="Tsinghua University"/>
    <s v="Computer Science"/>
    <s v="Master"/>
    <n v="3"/>
    <n v="8900"/>
    <n v="51.2"/>
    <n v="800"/>
    <n v="140"/>
    <n v="400"/>
    <n v="7.15"/>
    <n v="39040"/>
    <n v="13013.333333333334"/>
    <n v="28800"/>
    <n v="30140"/>
    <n v="0.22797131147540983"/>
  </r>
  <r>
    <x v="12"/>
    <s v="Beijing"/>
    <s v="Peking University"/>
    <s v="Data Science"/>
    <s v="Master"/>
    <n v="3"/>
    <n v="8500"/>
    <n v="51.2"/>
    <n v="750"/>
    <n v="140"/>
    <n v="400"/>
    <n v="7.15"/>
    <n v="36840"/>
    <n v="12280"/>
    <n v="27000"/>
    <n v="28340"/>
    <n v="0.23072747014115091"/>
  </r>
  <r>
    <x v="12"/>
    <s v="Shanghai"/>
    <s v="Fudan University"/>
    <s v="Software Engineering"/>
    <s v="Master"/>
    <n v="2.5"/>
    <n v="7800"/>
    <n v="48.9"/>
    <n v="700"/>
    <n v="140"/>
    <n v="400"/>
    <n v="7.15"/>
    <n v="29940"/>
    <n v="11976"/>
    <n v="21000"/>
    <n v="22140"/>
    <n v="0.26052104208416832"/>
  </r>
  <r>
    <x v="12"/>
    <s v="Shanghai"/>
    <s v="Shanghai Jiao Tong University"/>
    <s v="Artificial Intelligence"/>
    <s v="Master"/>
    <n v="2.5"/>
    <n v="8200"/>
    <n v="48.9"/>
    <n v="720"/>
    <n v="140"/>
    <n v="400"/>
    <n v="7.15"/>
    <n v="30940"/>
    <n v="12376"/>
    <n v="21600"/>
    <n v="22740"/>
    <n v="0.26502908855850033"/>
  </r>
  <r>
    <x v="12"/>
    <s v="Hangzhou"/>
    <s v="Zhejiang University"/>
    <s v="Computer Engineering"/>
    <s v="Master"/>
    <n v="3"/>
    <n v="7500"/>
    <n v="45.3"/>
    <n v="550"/>
    <n v="140"/>
    <n v="400"/>
    <n v="7.15"/>
    <n v="28640"/>
    <n v="9546.6666666666661"/>
    <n v="19800"/>
    <n v="21140"/>
    <n v="0.26187150837988826"/>
  </r>
  <r>
    <x v="12"/>
    <s v="Nanjing"/>
    <s v="Nanjing University"/>
    <s v="Information Technology"/>
    <s v="Master"/>
    <n v="3"/>
    <n v="7200"/>
    <n v="44.1"/>
    <n v="500"/>
    <n v="140"/>
    <n v="400"/>
    <n v="7.15"/>
    <n v="26540"/>
    <n v="8846.6666666666661"/>
    <n v="18000"/>
    <n v="19340"/>
    <n v="0.27128862094951017"/>
  </r>
  <r>
    <x v="12"/>
    <s v="Guangzhou"/>
    <s v="Sun Yat-sen University"/>
    <s v="Computer Science"/>
    <s v="Master"/>
    <n v="3"/>
    <n v="6900"/>
    <n v="43.8"/>
    <n v="480"/>
    <n v="140"/>
    <n v="400"/>
    <n v="7.15"/>
    <n v="25520"/>
    <n v="8506.6666666666661"/>
    <n v="17280"/>
    <n v="18620"/>
    <n v="0.27037617554858934"/>
  </r>
  <r>
    <x v="12"/>
    <s v="Wuhan"/>
    <s v="Wuhan University"/>
    <s v="Software Engineering"/>
    <s v="Master"/>
    <n v="3"/>
    <n v="6500"/>
    <n v="41.2"/>
    <n v="450"/>
    <n v="140"/>
    <n v="400"/>
    <n v="7.15"/>
    <n v="24040"/>
    <n v="8013.333333333333"/>
    <n v="16200"/>
    <n v="17540"/>
    <n v="0.2703826955074875"/>
  </r>
  <r>
    <x v="12"/>
    <s v="Xi'an"/>
    <s v="Xi'an Jiaotong University"/>
    <s v="Data Science"/>
    <s v="Master"/>
    <n v="3"/>
    <n v="6300"/>
    <n v="40.5"/>
    <n v="420"/>
    <n v="140"/>
    <n v="400"/>
    <n v="7.15"/>
    <n v="22760"/>
    <n v="7586.666666666667"/>
    <n v="15120"/>
    <n v="16460"/>
    <n v="0.27680140597539543"/>
  </r>
  <r>
    <x v="12"/>
    <s v="Chengdu"/>
    <s v="Sichuan University"/>
    <s v="Computer Engineering"/>
    <s v="Master"/>
    <n v="3"/>
    <n v="6100"/>
    <n v="39.799999999999997"/>
    <n v="400"/>
    <n v="140"/>
    <n v="400"/>
    <n v="7.15"/>
    <n v="21840"/>
    <n v="7280"/>
    <n v="14400"/>
    <n v="15740"/>
    <n v="0.27930402930402931"/>
  </r>
  <r>
    <x v="13"/>
    <s v="Seoul"/>
    <s v="Seoul National University"/>
    <s v="Computer Science"/>
    <s v="Master"/>
    <n v="2"/>
    <n v="7200"/>
    <n v="85.1"/>
    <n v="950"/>
    <n v="90"/>
    <n v="800"/>
    <n v="1300"/>
    <n v="31690"/>
    <n v="15845"/>
    <n v="22800"/>
    <n v="24490"/>
    <n v="0.22720100978226571"/>
  </r>
  <r>
    <x v="13"/>
    <s v="Seoul"/>
    <s v="Korea University"/>
    <s v="Artificial Intelligence"/>
    <s v="Master"/>
    <n v="2"/>
    <n v="7000"/>
    <n v="85.1"/>
    <n v="920"/>
    <n v="90"/>
    <n v="800"/>
    <n v="1300"/>
    <n v="30770"/>
    <n v="15385"/>
    <n v="22080"/>
    <n v="23770"/>
    <n v="0.22749431264218395"/>
  </r>
  <r>
    <x v="13"/>
    <s v="Seoul"/>
    <s v="Yonsei University"/>
    <s v="Data Science"/>
    <s v="Master"/>
    <n v="2"/>
    <n v="6900"/>
    <n v="85.1"/>
    <n v="900"/>
    <n v="90"/>
    <n v="800"/>
    <n v="1300"/>
    <n v="30190"/>
    <n v="15095"/>
    <n v="21600"/>
    <n v="23290"/>
    <n v="0.22855250082808878"/>
  </r>
  <r>
    <x v="13"/>
    <s v="Seoul"/>
    <s v="Hanyang University"/>
    <s v="Software Engineering"/>
    <s v="Master"/>
    <n v="2"/>
    <n v="6500"/>
    <n v="85.1"/>
    <n v="850"/>
    <n v="90"/>
    <n v="800"/>
    <n v="1300"/>
    <n v="28590"/>
    <n v="14295"/>
    <n v="20400"/>
    <n v="22090"/>
    <n v="0.22735222105631339"/>
  </r>
  <r>
    <x v="13"/>
    <s v="Seoul"/>
    <s v="Sungkyunkwan University"/>
    <s v="Computer Engineering"/>
    <s v="Master"/>
    <n v="2"/>
    <n v="6400"/>
    <n v="85.1"/>
    <n v="840"/>
    <n v="90"/>
    <n v="800"/>
    <n v="1300"/>
    <n v="28250"/>
    <n v="14125"/>
    <n v="20160"/>
    <n v="21850"/>
    <n v="0.22654867256637168"/>
  </r>
  <r>
    <x v="13"/>
    <s v="Daejeon"/>
    <s v="KAIST"/>
    <s v="Robotics Engineering"/>
    <s v="Master"/>
    <n v="2"/>
    <n v="6800"/>
    <n v="75.400000000000006"/>
    <n v="700"/>
    <n v="90"/>
    <n v="800"/>
    <n v="1300"/>
    <n v="25290"/>
    <n v="12645"/>
    <n v="16800"/>
    <n v="18490"/>
    <n v="0.26888098062475285"/>
  </r>
  <r>
    <x v="13"/>
    <s v="Daejeon"/>
    <s v="Chungnam National University"/>
    <s v="Information Systems"/>
    <s v="Master"/>
    <n v="2"/>
    <n v="5900"/>
    <n v="75.400000000000006"/>
    <n v="650"/>
    <n v="90"/>
    <n v="800"/>
    <n v="1300"/>
    <n v="23190"/>
    <n v="11595"/>
    <n v="15600"/>
    <n v="17290"/>
    <n v="0.25442000862440706"/>
  </r>
  <r>
    <x v="13"/>
    <s v="Busan"/>
    <s v="Pusan National University"/>
    <s v="Computer Science"/>
    <s v="Master"/>
    <n v="2"/>
    <n v="5800"/>
    <n v="73.2"/>
    <n v="600"/>
    <n v="90"/>
    <n v="800"/>
    <n v="1300"/>
    <n v="21890"/>
    <n v="10945"/>
    <n v="14400"/>
    <n v="16090"/>
    <n v="0.26496116948378257"/>
  </r>
  <r>
    <x v="13"/>
    <s v="Busan"/>
    <s v="Dong-A University"/>
    <s v="Software Engineering"/>
    <s v="Master"/>
    <n v="2"/>
    <n v="5600"/>
    <n v="73.2"/>
    <n v="580"/>
    <n v="90"/>
    <n v="800"/>
    <n v="1300"/>
    <n v="21210"/>
    <n v="10605"/>
    <n v="13920"/>
    <n v="15610"/>
    <n v="0.264026402640264"/>
  </r>
  <r>
    <x v="13"/>
    <s v="Daegu"/>
    <s v="Kyungpook National University"/>
    <s v="Data Analytics"/>
    <s v="Master"/>
    <n v="2"/>
    <n v="5500"/>
    <n v="71.8"/>
    <n v="550"/>
    <n v="90"/>
    <n v="800"/>
    <n v="1300"/>
    <n v="20390"/>
    <n v="10195"/>
    <n v="13200"/>
    <n v="14890"/>
    <n v="0.26974006866110839"/>
  </r>
  <r>
    <x v="13"/>
    <s v="Daegu"/>
    <s v="Yeungnam University"/>
    <s v="Computer Engineering"/>
    <s v="Master"/>
    <n v="2"/>
    <n v="5400"/>
    <n v="71.8"/>
    <n v="530"/>
    <n v="90"/>
    <n v="800"/>
    <n v="1300"/>
    <n v="19810"/>
    <n v="9905"/>
    <n v="12720"/>
    <n v="14410"/>
    <n v="0.27258960121150932"/>
  </r>
  <r>
    <x v="13"/>
    <s v="Gwangju"/>
    <s v="Chonnam National University"/>
    <s v="Information Technology"/>
    <s v="Master"/>
    <n v="2"/>
    <n v="5300"/>
    <n v="70.5"/>
    <n v="520"/>
    <n v="90"/>
    <n v="800"/>
    <n v="1300"/>
    <n v="19470"/>
    <n v="9735"/>
    <n v="12480"/>
    <n v="14170"/>
    <n v="0.27221366204417052"/>
  </r>
  <r>
    <x v="13"/>
    <s v="Gwangju"/>
    <s v="Chosun University"/>
    <s v="Computer Science"/>
    <s v="Master"/>
    <n v="2"/>
    <n v="5200"/>
    <n v="70.5"/>
    <n v="500"/>
    <n v="90"/>
    <n v="800"/>
    <n v="1300"/>
    <n v="18890"/>
    <n v="9445"/>
    <n v="12000"/>
    <n v="13690"/>
    <n v="0.27527792482795127"/>
  </r>
  <r>
    <x v="13"/>
    <s v="Ulsan"/>
    <s v="Ulsan National Institute of Science and Technology"/>
    <s v="AI Engineering"/>
    <s v="Master"/>
    <n v="2"/>
    <n v="6100"/>
    <n v="72.3"/>
    <n v="580"/>
    <n v="90"/>
    <n v="800"/>
    <n v="1300"/>
    <n v="21710"/>
    <n v="10855"/>
    <n v="13920"/>
    <n v="15610"/>
    <n v="0.2809765085214187"/>
  </r>
  <r>
    <x v="13"/>
    <s v="Ulsan"/>
    <s v="University of Ulsan"/>
    <s v="Software Systems"/>
    <s v="Master"/>
    <n v="2"/>
    <n v="5100"/>
    <n v="72.3"/>
    <n v="550"/>
    <n v="90"/>
    <n v="800"/>
    <n v="1300"/>
    <n v="19990"/>
    <n v="9995"/>
    <n v="13200"/>
    <n v="14890"/>
    <n v="0.25512756378189094"/>
  </r>
  <r>
    <x v="13"/>
    <s v="Pohang"/>
    <s v="POSTECH"/>
    <s v="Computer Engineering"/>
    <s v="Master"/>
    <n v="2"/>
    <n v="6300"/>
    <n v="71.2"/>
    <n v="570"/>
    <n v="90"/>
    <n v="800"/>
    <n v="1300"/>
    <n v="21670"/>
    <n v="10835"/>
    <n v="13680"/>
    <n v="15370"/>
    <n v="0.29072450392247345"/>
  </r>
  <r>
    <x v="13"/>
    <s v="Incheon"/>
    <s v="Incheon National University"/>
    <s v="Data Science"/>
    <s v="Master"/>
    <n v="2"/>
    <n v="5000"/>
    <n v="76.400000000000006"/>
    <n v="600"/>
    <n v="90"/>
    <n v="800"/>
    <n v="1300"/>
    <n v="21090"/>
    <n v="10545"/>
    <n v="14400"/>
    <n v="16090"/>
    <n v="0.23707918444760551"/>
  </r>
  <r>
    <x v="13"/>
    <s v="Suwon"/>
    <s v="Sungkyunkwan University (Suwon)"/>
    <s v="Computer Systems"/>
    <s v="Master"/>
    <n v="2"/>
    <n v="5900"/>
    <n v="77.8"/>
    <n v="650"/>
    <n v="90"/>
    <n v="800"/>
    <n v="1300"/>
    <n v="23190"/>
    <n v="11595"/>
    <n v="15600"/>
    <n v="17290"/>
    <n v="0.25442000862440706"/>
  </r>
  <r>
    <x v="13"/>
    <s v="Daejeon"/>
    <s v="Hanbat National University"/>
    <s v="Information Security"/>
    <s v="Master"/>
    <n v="2"/>
    <n v="4900"/>
    <n v="75.400000000000006"/>
    <n v="540"/>
    <n v="90"/>
    <n v="800"/>
    <n v="1300"/>
    <n v="19550"/>
    <n v="9775"/>
    <n v="12960"/>
    <n v="14650"/>
    <n v="0.2506393861892583"/>
  </r>
  <r>
    <x v="13"/>
    <s v="Cheongju"/>
    <s v="Chungbuk National University"/>
    <s v="Computer Networks"/>
    <s v="Master"/>
    <n v="2"/>
    <n v="4800"/>
    <n v="70.099999999999994"/>
    <n v="520"/>
    <n v="90"/>
    <n v="800"/>
    <n v="1300"/>
    <n v="18970"/>
    <n v="9485"/>
    <n v="12480"/>
    <n v="14170"/>
    <n v="0.25303110173958882"/>
  </r>
  <r>
    <x v="0"/>
    <s v="Stanford"/>
    <s v="Stanford University"/>
    <s v="Computer Science"/>
    <s v="Bachelor"/>
    <n v="4"/>
    <n v="57000"/>
    <n v="95.2"/>
    <n v="2400"/>
    <n v="160"/>
    <n v="1500"/>
    <n v="1"/>
    <n v="178360"/>
    <n v="44590"/>
    <n v="115200"/>
    <n v="121360"/>
    <n v="0.3195783808028706"/>
  </r>
  <r>
    <x v="0"/>
    <s v="Cambridge"/>
    <s v="MIT"/>
    <s v="Computer Science"/>
    <s v="Bachelor"/>
    <n v="4"/>
    <n v="55800"/>
    <n v="83.5"/>
    <n v="2300"/>
    <n v="160"/>
    <n v="1500"/>
    <n v="1"/>
    <n v="172360"/>
    <n v="43090"/>
    <n v="110400"/>
    <n v="116560"/>
    <n v="0.32374100719424459"/>
  </r>
  <r>
    <x v="0"/>
    <s v="New Haven"/>
    <s v="Yale University"/>
    <s v="Computer Science"/>
    <s v="Bachelor"/>
    <n v="4"/>
    <n v="54500"/>
    <n v="79.8"/>
    <n v="2100"/>
    <n v="160"/>
    <n v="1500"/>
    <n v="1"/>
    <n v="161460"/>
    <n v="40365"/>
    <n v="100800"/>
    <n v="106960"/>
    <n v="0.33754490276229404"/>
  </r>
  <r>
    <x v="0"/>
    <s v="Princeton"/>
    <s v="Princeton University"/>
    <s v="Computer Science"/>
    <s v="Bachelor"/>
    <n v="4"/>
    <n v="54000"/>
    <n v="81.2"/>
    <n v="2000"/>
    <n v="160"/>
    <n v="1500"/>
    <n v="1"/>
    <n v="156160"/>
    <n v="39040"/>
    <n v="96000"/>
    <n v="102160"/>
    <n v="0.34579918032786883"/>
  </r>
  <r>
    <x v="0"/>
    <s v="Philadelphia"/>
    <s v="University of Pennsylvania"/>
    <s v="Computer Science"/>
    <s v="Bachelor"/>
    <n v="4"/>
    <n v="53500"/>
    <n v="82.4"/>
    <n v="1900"/>
    <n v="160"/>
    <n v="1500"/>
    <n v="1"/>
    <n v="150860"/>
    <n v="37715"/>
    <n v="91200"/>
    <n v="97360"/>
    <n v="0.35463343497282246"/>
  </r>
  <r>
    <x v="0"/>
    <s v="Los Angeles"/>
    <s v="UCLA"/>
    <s v="Computer Science"/>
    <s v="Bachelor"/>
    <n v="4"/>
    <n v="43000"/>
    <n v="88.7"/>
    <n v="2200"/>
    <n v="160"/>
    <n v="1500"/>
    <n v="1"/>
    <n v="154760"/>
    <n v="38690"/>
    <n v="105600"/>
    <n v="111760"/>
    <n v="0.27784957353321271"/>
  </r>
  <r>
    <x v="0"/>
    <s v="Berkeley"/>
    <s v="UC Berkeley"/>
    <s v="Computer Science"/>
    <s v="Bachelor"/>
    <n v="4"/>
    <n v="43500"/>
    <n v="91.5"/>
    <n v="2300"/>
    <n v="160"/>
    <n v="1500"/>
    <n v="1"/>
    <n v="160060"/>
    <n v="40015"/>
    <n v="110400"/>
    <n v="116560"/>
    <n v="0.27177308509309012"/>
  </r>
  <r>
    <x v="0"/>
    <s v="Ann Arbor"/>
    <s v="University of Michigan"/>
    <s v="Computer Science"/>
    <s v="Bachelor"/>
    <n v="4"/>
    <n v="52000"/>
    <n v="75.400000000000006"/>
    <n v="1700"/>
    <n v="160"/>
    <n v="1500"/>
    <n v="1"/>
    <n v="139760"/>
    <n v="34940"/>
    <n v="81600"/>
    <n v="87760"/>
    <n v="0.3720663995420721"/>
  </r>
  <r>
    <x v="0"/>
    <s v="Austin"/>
    <s v="University of Texas Austin"/>
    <s v="Computer Science"/>
    <s v="Bachelor"/>
    <n v="4"/>
    <n v="40500"/>
    <n v="72.8"/>
    <n v="1800"/>
    <n v="160"/>
    <n v="1500"/>
    <n v="1"/>
    <n v="133060"/>
    <n v="33265"/>
    <n v="86400"/>
    <n v="92560"/>
    <n v="0.30437396663159477"/>
  </r>
  <r>
    <x v="0"/>
    <s v="Seattle"/>
    <s v="University of Washington"/>
    <s v="Computer Science"/>
    <s v="Bachelor"/>
    <n v="4"/>
    <n v="39800"/>
    <n v="85.6"/>
    <n v="2000"/>
    <n v="160"/>
    <n v="1500"/>
    <n v="1"/>
    <n v="141960"/>
    <n v="35490"/>
    <n v="96000"/>
    <n v="102160"/>
    <n v="0.28036066497604961"/>
  </r>
  <r>
    <x v="0"/>
    <s v="Madison"/>
    <s v="University of Wisconsin-Madison"/>
    <s v="Computer Science"/>
    <s v="Bachelor"/>
    <n v="4"/>
    <n v="37500"/>
    <n v="71.2"/>
    <n v="1600"/>
    <n v="160"/>
    <n v="1500"/>
    <n v="1"/>
    <n v="120460"/>
    <n v="30115"/>
    <n v="76800"/>
    <n v="82960"/>
    <n v="0.31130665781172173"/>
  </r>
  <r>
    <x v="0"/>
    <s v="Urbana"/>
    <s v="University of Illinois Urbana-Champaign"/>
    <s v="Computer Science"/>
    <s v="Bachelor"/>
    <n v="4"/>
    <n v="36800"/>
    <n v="70.5"/>
    <n v="1500"/>
    <n v="160"/>
    <n v="1500"/>
    <n v="1"/>
    <n v="114960"/>
    <n v="28740"/>
    <n v="72000"/>
    <n v="78160"/>
    <n v="0.32011134307585248"/>
  </r>
  <r>
    <x v="0"/>
    <s v="Atlanta"/>
    <s v="Georgia Tech"/>
    <s v="Computer Science"/>
    <s v="Bachelor"/>
    <n v="4"/>
    <n v="33500"/>
    <n v="76.8"/>
    <n v="1700"/>
    <n v="160"/>
    <n v="1500"/>
    <n v="1"/>
    <n v="121260"/>
    <n v="30315"/>
    <n v="81600"/>
    <n v="87760"/>
    <n v="0.27626587497938315"/>
  </r>
  <r>
    <x v="0"/>
    <s v="Columbus"/>
    <s v="Ohio State University"/>
    <s v="Computer Science"/>
    <s v="Bachelor"/>
    <n v="4"/>
    <n v="32800"/>
    <n v="71.400000000000006"/>
    <n v="1400"/>
    <n v="160"/>
    <n v="1500"/>
    <n v="1"/>
    <n v="106160"/>
    <n v="26540"/>
    <n v="67200"/>
    <n v="73360"/>
    <n v="0.30896759608138658"/>
  </r>
  <r>
    <x v="0"/>
    <s v="West Lafayette"/>
    <s v="Purdue University"/>
    <s v="Computer Science"/>
    <s v="Bachelor"/>
    <n v="4"/>
    <n v="31500"/>
    <n v="68.900000000000006"/>
    <n v="1300"/>
    <n v="160"/>
    <n v="1500"/>
    <n v="1"/>
    <n v="100060"/>
    <n v="25015"/>
    <n v="62400"/>
    <n v="68560"/>
    <n v="0.31481111333200079"/>
  </r>
  <r>
    <x v="0"/>
    <s v="Gainesville"/>
    <s v="University of Florida"/>
    <s v="Computer Science"/>
    <s v="Bachelor"/>
    <n v="4"/>
    <n v="28500"/>
    <n v="70.2"/>
    <n v="1400"/>
    <n v="160"/>
    <n v="1500"/>
    <n v="1"/>
    <n v="101860"/>
    <n v="25465"/>
    <n v="67200"/>
    <n v="73360"/>
    <n v="0.27979579815432948"/>
  </r>
  <r>
    <x v="0"/>
    <s v="Tempe"/>
    <s v="Arizona State University"/>
    <s v="Computer Science"/>
    <s v="Bachelor"/>
    <n v="4"/>
    <n v="28000"/>
    <n v="72.5"/>
    <n v="1500"/>
    <n v="160"/>
    <n v="1500"/>
    <n v="1"/>
    <n v="106160"/>
    <n v="26540"/>
    <n v="72000"/>
    <n v="78160"/>
    <n v="0.26375282592313487"/>
  </r>
  <r>
    <x v="0"/>
    <s v="Raleigh"/>
    <s v="NC State University"/>
    <s v="Computer Science"/>
    <s v="Bachelor"/>
    <n v="4"/>
    <n v="27500"/>
    <n v="71.8"/>
    <n v="1400"/>
    <n v="160"/>
    <n v="1500"/>
    <n v="1"/>
    <n v="100860"/>
    <n v="25215"/>
    <n v="67200"/>
    <n v="73360"/>
    <n v="0.27265516557604602"/>
  </r>
  <r>
    <x v="0"/>
    <s v="College Station"/>
    <s v="Texas A&amp;M University"/>
    <s v="Computer Science"/>
    <s v="Bachelor"/>
    <n v="4"/>
    <n v="27000"/>
    <n v="69.5"/>
    <n v="1300"/>
    <n v="160"/>
    <n v="1500"/>
    <n v="1"/>
    <n v="95560"/>
    <n v="23890"/>
    <n v="62400"/>
    <n v="68560"/>
    <n v="0.2825449979070741"/>
  </r>
  <r>
    <x v="0"/>
    <s v="Corvallis"/>
    <s v="Oregon State University"/>
    <s v="Computer Science"/>
    <s v="Bachelor"/>
    <n v="4"/>
    <n v="26500"/>
    <n v="70.099999999999994"/>
    <n v="1300"/>
    <n v="160"/>
    <n v="1500"/>
    <n v="1"/>
    <n v="95060"/>
    <n v="23765"/>
    <n v="62400"/>
    <n v="68560"/>
    <n v="0.27877130233536712"/>
  </r>
  <r>
    <x v="1"/>
    <s v="Cambridge"/>
    <s v="University of Cambridge"/>
    <s v="Computer Science"/>
    <s v="Bachelor"/>
    <n v="3"/>
    <n v="38500"/>
    <n v="78.5"/>
    <n v="1800"/>
    <n v="490"/>
    <n v="800"/>
    <n v="0.79"/>
    <n v="106190"/>
    <n v="35396.666666666664"/>
    <n v="64800"/>
    <n v="67690"/>
    <n v="0.36255767963085034"/>
  </r>
  <r>
    <x v="1"/>
    <s v="Oxford"/>
    <s v="University of Oxford"/>
    <s v="Computer Science"/>
    <s v="Bachelor"/>
    <n v="3"/>
    <n v="37900"/>
    <n v="77.8"/>
    <n v="1850"/>
    <n v="490"/>
    <n v="800"/>
    <n v="0.79"/>
    <n v="107390"/>
    <n v="35796.666666666664"/>
    <n v="66600"/>
    <n v="69490"/>
    <n v="0.35291926622590558"/>
  </r>
  <r>
    <x v="1"/>
    <s v="London"/>
    <s v="Imperial College London"/>
    <s v="Computer Science"/>
    <s v="Bachelor"/>
    <n v="3"/>
    <n v="37500"/>
    <n v="83.2"/>
    <n v="2200"/>
    <n v="490"/>
    <n v="800"/>
    <n v="0.79"/>
    <n v="119590"/>
    <n v="39863.333333333336"/>
    <n v="79200"/>
    <n v="82090"/>
    <n v="0.3135713688435488"/>
  </r>
  <r>
    <x v="1"/>
    <s v="London"/>
    <s v="University College London"/>
    <s v="Computer Science"/>
    <s v="Bachelor"/>
    <n v="3"/>
    <n v="36800"/>
    <n v="83.2"/>
    <n v="2100"/>
    <n v="490"/>
    <n v="800"/>
    <n v="0.79"/>
    <n v="115290"/>
    <n v="38430"/>
    <n v="75600"/>
    <n v="78490"/>
    <n v="0.31919507329343394"/>
  </r>
  <r>
    <x v="1"/>
    <s v="London"/>
    <s v="King's College London"/>
    <s v="Computer Science"/>
    <s v="Bachelor"/>
    <n v="3"/>
    <n v="35500"/>
    <n v="83.2"/>
    <n v="2000"/>
    <n v="490"/>
    <n v="800"/>
    <n v="0.79"/>
    <n v="110390"/>
    <n v="36796.666666666664"/>
    <n v="72000"/>
    <n v="74890"/>
    <n v="0.32158710028082255"/>
  </r>
  <r>
    <x v="1"/>
    <s v="Edinburgh"/>
    <s v="University of Edinburgh"/>
    <s v="Computer Science"/>
    <s v="Bachelor"/>
    <n v="4"/>
    <n v="32500"/>
    <n v="75.400000000000006"/>
    <n v="1600"/>
    <n v="490"/>
    <n v="800"/>
    <n v="0.79"/>
    <n v="112990"/>
    <n v="28247.5"/>
    <n v="76800"/>
    <n v="80490"/>
    <n v="0.28763607398884855"/>
  </r>
  <r>
    <x v="1"/>
    <s v="Manchester"/>
    <s v="University of Manchester"/>
    <s v="Computer Science"/>
    <s v="Bachelor"/>
    <n v="3"/>
    <n v="31800"/>
    <n v="72.099999999999994"/>
    <n v="1400"/>
    <n v="490"/>
    <n v="800"/>
    <n v="0.79"/>
    <n v="85090"/>
    <n v="28363.333333333332"/>
    <n v="50400"/>
    <n v="53290"/>
    <n v="0.37372194147373372"/>
  </r>
  <r>
    <x v="1"/>
    <s v="Bristol"/>
    <s v="University of Bristol"/>
    <s v="Computer Science"/>
    <s v="Bachelor"/>
    <n v="3"/>
    <n v="31500"/>
    <n v="74.8"/>
    <n v="1500"/>
    <n v="490"/>
    <n v="800"/>
    <n v="0.79"/>
    <n v="88390"/>
    <n v="29463.333333333332"/>
    <n v="54000"/>
    <n v="56890"/>
    <n v="0.3563751555605838"/>
  </r>
  <r>
    <x v="1"/>
    <s v="Warwick"/>
    <s v="University of Warwick"/>
    <s v="Computer Science"/>
    <s v="Bachelor"/>
    <n v="3"/>
    <n v="31200"/>
    <n v="71.5"/>
    <n v="1300"/>
    <n v="490"/>
    <n v="800"/>
    <n v="0.79"/>
    <n v="80890"/>
    <n v="26963.333333333332"/>
    <n v="46800"/>
    <n v="49690"/>
    <n v="0.38570898751390775"/>
  </r>
  <r>
    <x v="1"/>
    <s v="Glasgow"/>
    <s v="University of Glasgow"/>
    <s v="Computer Science"/>
    <s v="Bachelor"/>
    <n v="4"/>
    <n v="30800"/>
    <n v="73.2"/>
    <n v="1400"/>
    <n v="490"/>
    <n v="800"/>
    <n v="0.79"/>
    <n v="101690"/>
    <n v="25422.5"/>
    <n v="67200"/>
    <n v="70890"/>
    <n v="0.30288130592978663"/>
  </r>
  <r>
    <x v="1"/>
    <s v="Birmingham"/>
    <s v="University of Birmingham"/>
    <s v="Computer Science"/>
    <s v="Bachelor"/>
    <n v="3"/>
    <n v="30500"/>
    <n v="71.8"/>
    <n v="1300"/>
    <n v="490"/>
    <n v="800"/>
    <n v="0.79"/>
    <n v="80190"/>
    <n v="26730"/>
    <n v="46800"/>
    <n v="49690"/>
    <n v="0.38034667664297295"/>
  </r>
  <r>
    <x v="1"/>
    <s v="Leeds"/>
    <s v="University of Leeds"/>
    <s v="Computer Science"/>
    <s v="Bachelor"/>
    <n v="3"/>
    <n v="30200"/>
    <n v="71.2"/>
    <n v="1250"/>
    <n v="490"/>
    <n v="800"/>
    <n v="0.79"/>
    <n v="78090"/>
    <n v="26030"/>
    <n v="45000"/>
    <n v="47890"/>
    <n v="0.38673325649891149"/>
  </r>
  <r>
    <x v="1"/>
    <s v="Sheffield"/>
    <s v="University of Sheffield"/>
    <s v="Computer Science"/>
    <s v="Bachelor"/>
    <n v="3"/>
    <n v="29800"/>
    <n v="70.5"/>
    <n v="1200"/>
    <n v="490"/>
    <n v="800"/>
    <n v="0.79"/>
    <n v="75890"/>
    <n v="25296.666666666668"/>
    <n v="43200"/>
    <n v="46090"/>
    <n v="0.39267360653577549"/>
  </r>
  <r>
    <x v="1"/>
    <s v="Nottingham"/>
    <s v="University of Nottingham"/>
    <s v="Computer Science"/>
    <s v="Bachelor"/>
    <n v="3"/>
    <n v="29500"/>
    <n v="70.8"/>
    <n v="1150"/>
    <n v="490"/>
    <n v="800"/>
    <n v="0.79"/>
    <n v="73790"/>
    <n v="24596.666666666668"/>
    <n v="41400"/>
    <n v="44290"/>
    <n v="0.39978316845100964"/>
  </r>
  <r>
    <x v="1"/>
    <s v="Southampton"/>
    <s v="University of Southampton"/>
    <s v="Computer Science"/>
    <s v="Bachelor"/>
    <n v="3"/>
    <n v="29200"/>
    <n v="72.400000000000006"/>
    <n v="1300"/>
    <n v="490"/>
    <n v="800"/>
    <n v="0.79"/>
    <n v="78890"/>
    <n v="26296.666666666668"/>
    <n v="46800"/>
    <n v="49690"/>
    <n v="0.37013563189250853"/>
  </r>
  <r>
    <x v="1"/>
    <s v="Durham"/>
    <s v="Durham University"/>
    <s v="Computer Science"/>
    <s v="Bachelor"/>
    <n v="3"/>
    <n v="28900"/>
    <n v="71.599999999999994"/>
    <n v="1250"/>
    <n v="490"/>
    <n v="800"/>
    <n v="0.79"/>
    <n v="76790"/>
    <n v="25596.666666666668"/>
    <n v="45000"/>
    <n v="47890"/>
    <n v="0.3763510873811694"/>
  </r>
  <r>
    <x v="1"/>
    <s v="Liverpool"/>
    <s v="University of Liverpool"/>
    <s v="Computer Science"/>
    <s v="Bachelor"/>
    <n v="3"/>
    <n v="28600"/>
    <n v="70.2"/>
    <n v="1100"/>
    <n v="490"/>
    <n v="800"/>
    <n v="0.79"/>
    <n v="71090"/>
    <n v="23696.666666666668"/>
    <n v="39600"/>
    <n v="42490"/>
    <n v="0.40230693487128993"/>
  </r>
  <r>
    <x v="1"/>
    <s v="Cardiff"/>
    <s v="Cardiff University"/>
    <s v="Computer Science"/>
    <s v="Bachelor"/>
    <n v="3"/>
    <n v="28300"/>
    <n v="69.8"/>
    <n v="1050"/>
    <n v="490"/>
    <n v="800"/>
    <n v="0.79"/>
    <n v="68990"/>
    <n v="22996.666666666668"/>
    <n v="37800"/>
    <n v="40690"/>
    <n v="0.41020437744600668"/>
  </r>
  <r>
    <x v="1"/>
    <s v="Newcastle"/>
    <s v="Newcastle University"/>
    <s v="Computer Science"/>
    <s v="Bachelor"/>
    <n v="3"/>
    <n v="28000"/>
    <n v="70.099999999999994"/>
    <n v="1100"/>
    <n v="490"/>
    <n v="800"/>
    <n v="0.79"/>
    <n v="70490"/>
    <n v="23496.666666666668"/>
    <n v="39600"/>
    <n v="42490"/>
    <n v="0.39721946375372391"/>
  </r>
  <r>
    <x v="1"/>
    <s v="Aberdeen"/>
    <s v="University of Aberdeen"/>
    <s v="Computer Science"/>
    <s v="Bachelor"/>
    <n v="4"/>
    <n v="27700"/>
    <n v="69.5"/>
    <n v="1000"/>
    <n v="490"/>
    <n v="800"/>
    <n v="0.79"/>
    <n v="79390"/>
    <n v="19847.5"/>
    <n v="48000"/>
    <n v="51690"/>
    <n v="0.34891044212117395"/>
  </r>
  <r>
    <x v="1"/>
    <s v="Leicester"/>
    <s v="University of Leicester"/>
    <s v="Computer Science"/>
    <s v="Bachelor"/>
    <n v="3"/>
    <n v="27400"/>
    <n v="68.900000000000006"/>
    <n v="950"/>
    <n v="490"/>
    <n v="800"/>
    <n v="0.79"/>
    <n v="64490"/>
    <n v="21496.666666666668"/>
    <n v="34200"/>
    <n v="37090"/>
    <n v="0.42487207318964182"/>
  </r>
  <r>
    <x v="1"/>
    <s v="Reading"/>
    <s v="University of Reading"/>
    <s v="Computer Science"/>
    <s v="Bachelor"/>
    <n v="3"/>
    <n v="27100"/>
    <n v="71.2"/>
    <n v="1150"/>
    <n v="490"/>
    <n v="800"/>
    <n v="0.79"/>
    <n v="71390"/>
    <n v="23796.666666666668"/>
    <n v="41400"/>
    <n v="44290"/>
    <n v="0.37960498669281412"/>
  </r>
  <r>
    <x v="1"/>
    <s v="Sussex"/>
    <s v="University of Sussex"/>
    <s v="Computer Science"/>
    <s v="Bachelor"/>
    <n v="3"/>
    <n v="26800"/>
    <n v="72.5"/>
    <n v="1200"/>
    <n v="490"/>
    <n v="800"/>
    <n v="0.79"/>
    <n v="72890"/>
    <n v="24296.666666666668"/>
    <n v="43200"/>
    <n v="46090"/>
    <n v="0.36767732199204278"/>
  </r>
  <r>
    <x v="1"/>
    <s v="Essex"/>
    <s v="University of Essex"/>
    <s v="Computer Science"/>
    <s v="Bachelor"/>
    <n v="3"/>
    <n v="26500"/>
    <n v="69.8"/>
    <n v="1000"/>
    <n v="490"/>
    <n v="800"/>
    <n v="0.79"/>
    <n v="65390"/>
    <n v="21796.666666666668"/>
    <n v="36000"/>
    <n v="38890"/>
    <n v="0.40526074323291023"/>
  </r>
  <r>
    <x v="1"/>
    <s v="Bath"/>
    <s v="University of Bath"/>
    <s v="Computer Science"/>
    <s v="Bachelor"/>
    <n v="3"/>
    <n v="26200"/>
    <n v="73.400000000000006"/>
    <n v="1250"/>
    <n v="490"/>
    <n v="800"/>
    <n v="0.79"/>
    <n v="74090"/>
    <n v="24696.666666666668"/>
    <n v="45000"/>
    <n v="47890"/>
    <n v="0.35362397084626807"/>
  </r>
  <r>
    <x v="1"/>
    <s v="Surrey"/>
    <s v="University of Surrey"/>
    <s v="Computer Science"/>
    <s v="Bachelor"/>
    <n v="3"/>
    <n v="25900"/>
    <n v="71.8"/>
    <n v="1150"/>
    <n v="490"/>
    <n v="800"/>
    <n v="0.79"/>
    <n v="70190"/>
    <n v="23396.666666666668"/>
    <n v="41400"/>
    <n v="44290"/>
    <n v="0.36899843282518879"/>
  </r>
  <r>
    <x v="1"/>
    <s v="Exeter"/>
    <s v="University of Exeter"/>
    <s v="Computer Science"/>
    <s v="Bachelor"/>
    <n v="3"/>
    <n v="25600"/>
    <n v="72.099999999999994"/>
    <n v="1200"/>
    <n v="490"/>
    <n v="800"/>
    <n v="0.79"/>
    <n v="71690"/>
    <n v="23896.666666666668"/>
    <n v="43200"/>
    <n v="46090"/>
    <n v="0.35709303947551962"/>
  </r>
  <r>
    <x v="1"/>
    <s v="Kent"/>
    <s v="University of Kent"/>
    <s v="Computer Science"/>
    <s v="Bachelor"/>
    <n v="3"/>
    <n v="25300"/>
    <n v="70.5"/>
    <n v="1100"/>
    <n v="490"/>
    <n v="800"/>
    <n v="0.79"/>
    <n v="67790"/>
    <n v="22596.666666666668"/>
    <n v="39600"/>
    <n v="42490"/>
    <n v="0.37321138811034077"/>
  </r>
  <r>
    <x v="1"/>
    <s v="Dundee"/>
    <s v="University of Dundee"/>
    <s v="Computer Science"/>
    <s v="Bachelor"/>
    <n v="4"/>
    <n v="25000"/>
    <n v="68.900000000000006"/>
    <n v="950"/>
    <n v="490"/>
    <n v="800"/>
    <n v="0.79"/>
    <n v="74290"/>
    <n v="18572.5"/>
    <n v="45600"/>
    <n v="49290"/>
    <n v="0.33651904697805896"/>
  </r>
  <r>
    <x v="1"/>
    <s v="Strathclyde"/>
    <s v="University of Strathclyde"/>
    <s v="Computer Science"/>
    <s v="Bachelor"/>
    <n v="4"/>
    <n v="24700"/>
    <n v="69.2"/>
    <n v="1000"/>
    <n v="490"/>
    <n v="800"/>
    <n v="0.79"/>
    <n v="76390"/>
    <n v="19097.5"/>
    <n v="48000"/>
    <n v="51690"/>
    <n v="0.32334075140725227"/>
  </r>
  <r>
    <x v="1"/>
    <s v="Heriot-Watt"/>
    <s v="Heriot-Watt University"/>
    <s v="Computer Science"/>
    <s v="Bachelor"/>
    <n v="4"/>
    <n v="24400"/>
    <n v="69.5"/>
    <n v="1050"/>
    <n v="490"/>
    <n v="800"/>
    <n v="0.79"/>
    <n v="78490"/>
    <n v="19622.5"/>
    <n v="50400"/>
    <n v="54090"/>
    <n v="0.31086762644922922"/>
  </r>
  <r>
    <x v="1"/>
    <s v="Loughborough"/>
    <s v="Loughborough University"/>
    <s v="Computer Science"/>
    <s v="Bachelor"/>
    <n v="3"/>
    <n v="24100"/>
    <n v="68.5"/>
    <n v="900"/>
    <n v="490"/>
    <n v="800"/>
    <n v="0.79"/>
    <n v="59390"/>
    <n v="19796.666666666668"/>
    <n v="32400"/>
    <n v="35290"/>
    <n v="0.40579222091261152"/>
  </r>
  <r>
    <x v="1"/>
    <s v="Brunel"/>
    <s v="Brunel University London"/>
    <s v="Computer Science"/>
    <s v="Bachelor"/>
    <n v="3"/>
    <n v="23800"/>
    <n v="83.2"/>
    <n v="1800"/>
    <n v="490"/>
    <n v="800"/>
    <n v="0.79"/>
    <n v="91490"/>
    <n v="30496.666666666668"/>
    <n v="64800"/>
    <n v="67690"/>
    <n v="0.26013771996939555"/>
  </r>
  <r>
    <x v="1"/>
    <s v="Queen Mary"/>
    <s v="Queen Mary University of London"/>
    <s v="Computer Science"/>
    <s v="Bachelor"/>
    <n v="3"/>
    <n v="23500"/>
    <n v="83.2"/>
    <n v="1900"/>
    <n v="490"/>
    <n v="800"/>
    <n v="0.79"/>
    <n v="94790"/>
    <n v="31596.666666666668"/>
    <n v="68400"/>
    <n v="71290"/>
    <n v="0.24791644688258255"/>
  </r>
  <r>
    <x v="1"/>
    <s v="Royal Holloway"/>
    <s v="Royal Holloway University"/>
    <s v="Computer Science"/>
    <s v="Bachelor"/>
    <n v="3"/>
    <n v="23200"/>
    <n v="75.5"/>
    <n v="1400"/>
    <n v="490"/>
    <n v="800"/>
    <n v="0.79"/>
    <n v="76490"/>
    <n v="25496.666666666668"/>
    <n v="50400"/>
    <n v="53290"/>
    <n v="0.30330762191136096"/>
  </r>
  <r>
    <x v="1"/>
    <s v="Lancaster"/>
    <s v="Lancaster University"/>
    <s v="Computer Science"/>
    <s v="Bachelor"/>
    <n v="3"/>
    <n v="22900"/>
    <n v="69.8"/>
    <n v="1000"/>
    <n v="490"/>
    <n v="800"/>
    <n v="0.79"/>
    <n v="61790"/>
    <n v="20596.666666666668"/>
    <n v="36000"/>
    <n v="38890"/>
    <n v="0.37061013108917301"/>
  </r>
  <r>
    <x v="1"/>
    <s v="Swansea"/>
    <s v="Swansea University"/>
    <s v="Computer Science"/>
    <s v="Bachelor"/>
    <n v="3"/>
    <n v="22600"/>
    <n v="68.5"/>
    <n v="950"/>
    <n v="490"/>
    <n v="800"/>
    <n v="0.79"/>
    <n v="59690"/>
    <n v="19896.666666666668"/>
    <n v="34200"/>
    <n v="37090"/>
    <n v="0.37862288490534429"/>
  </r>
  <r>
    <x v="1"/>
    <s v="Aston"/>
    <s v="Aston University"/>
    <s v="Computer Science"/>
    <s v="Bachelor"/>
    <n v="3"/>
    <n v="22300"/>
    <n v="71.8"/>
    <n v="1200"/>
    <n v="490"/>
    <n v="800"/>
    <n v="0.79"/>
    <n v="68390"/>
    <n v="22796.666666666668"/>
    <n v="43200"/>
    <n v="46090"/>
    <n v="0.32607106302090949"/>
  </r>
  <r>
    <x v="1"/>
    <s v="Hull"/>
    <s v="University of Hull"/>
    <s v="Computer Science"/>
    <s v="Bachelor"/>
    <n v="3"/>
    <n v="22000"/>
    <n v="67.900000000000006"/>
    <n v="850"/>
    <n v="490"/>
    <n v="800"/>
    <n v="0.79"/>
    <n v="55490"/>
    <n v="18496.666666666668"/>
    <n v="30600"/>
    <n v="33490"/>
    <n v="0.39646783204180935"/>
  </r>
  <r>
    <x v="1"/>
    <s v="Keele"/>
    <s v="Keele University"/>
    <s v="Computer Science"/>
    <s v="Bachelor"/>
    <n v="3"/>
    <n v="21700"/>
    <n v="67.5"/>
    <n v="800"/>
    <n v="490"/>
    <n v="800"/>
    <n v="0.79"/>
    <n v="53390"/>
    <n v="17796.666666666668"/>
    <n v="28800"/>
    <n v="31690"/>
    <n v="0.40644315414871701"/>
  </r>
  <r>
    <x v="1"/>
    <s v="Plymouth"/>
    <s v="University of Plymouth"/>
    <s v="Computer Science"/>
    <s v="Bachelor"/>
    <n v="3"/>
    <n v="21400"/>
    <n v="69.2"/>
    <n v="950"/>
    <n v="490"/>
    <n v="800"/>
    <n v="0.79"/>
    <n v="58490"/>
    <n v="19496.666666666668"/>
    <n v="34200"/>
    <n v="37090"/>
    <n v="0.36587450846298514"/>
  </r>
  <r>
    <x v="1"/>
    <s v="Portsmouth"/>
    <s v="University of Portsmouth"/>
    <s v="Computer Science"/>
    <s v="Bachelor"/>
    <n v="3"/>
    <n v="21100"/>
    <n v="70.5"/>
    <n v="1000"/>
    <n v="490"/>
    <n v="800"/>
    <n v="0.79"/>
    <n v="59990"/>
    <n v="19996.666666666668"/>
    <n v="36000"/>
    <n v="38890"/>
    <n v="0.35172528754792465"/>
  </r>
  <r>
    <x v="1"/>
    <s v="Ulster"/>
    <s v="Ulster University"/>
    <s v="Computer Science"/>
    <s v="Bachelor"/>
    <n v="3"/>
    <n v="20800"/>
    <n v="67.2"/>
    <n v="800"/>
    <n v="490"/>
    <n v="800"/>
    <n v="0.79"/>
    <n v="52490"/>
    <n v="17496.666666666668"/>
    <n v="28800"/>
    <n v="31690"/>
    <n v="0.39626595542008003"/>
  </r>
  <r>
    <x v="1"/>
    <s v="Northumbria"/>
    <s v="Northumbria University"/>
    <s v="Computer Science"/>
    <s v="Bachelor"/>
    <n v="3"/>
    <n v="20500"/>
    <n v="68.5"/>
    <n v="900"/>
    <n v="490"/>
    <n v="800"/>
    <n v="0.79"/>
    <n v="55790"/>
    <n v="18596.666666666668"/>
    <n v="32400"/>
    <n v="35290"/>
    <n v="0.36744936368524828"/>
  </r>
  <r>
    <x v="1"/>
    <s v="Coventry"/>
    <s v="Coventry University"/>
    <s v="Computer Science"/>
    <s v="Bachelor"/>
    <n v="3"/>
    <n v="20200"/>
    <n v="69.8"/>
    <n v="950"/>
    <n v="490"/>
    <n v="800"/>
    <n v="0.79"/>
    <n v="57290"/>
    <n v="19096.666666666668"/>
    <n v="34200"/>
    <n v="37090"/>
    <n v="0.35259207540582999"/>
  </r>
  <r>
    <x v="1"/>
    <s v="Oxford Brookes"/>
    <s v="Oxford Brookes University"/>
    <s v="Computer Science"/>
    <s v="Bachelor"/>
    <n v="3"/>
    <n v="19900"/>
    <n v="77.8"/>
    <n v="1500"/>
    <n v="490"/>
    <n v="800"/>
    <n v="0.79"/>
    <n v="76790"/>
    <n v="25596.666666666668"/>
    <n v="54000"/>
    <n v="56890"/>
    <n v="0.25914832660502668"/>
  </r>
  <r>
    <x v="1"/>
    <s v="De Montfort"/>
    <s v="De Montfort University"/>
    <s v="Computer Science"/>
    <s v="Bachelor"/>
    <n v="3"/>
    <n v="19600"/>
    <n v="68.900000000000006"/>
    <n v="900"/>
    <n v="490"/>
    <n v="800"/>
    <n v="0.79"/>
    <n v="54890"/>
    <n v="18296.666666666668"/>
    <n v="32400"/>
    <n v="35290"/>
    <n v="0.35707779194753142"/>
  </r>
  <r>
    <x v="1"/>
    <s v="Westminster"/>
    <s v="University of Westminster"/>
    <s v="Computer Science"/>
    <s v="Bachelor"/>
    <n v="3"/>
    <n v="19300"/>
    <n v="83.2"/>
    <n v="1800"/>
    <n v="490"/>
    <n v="800"/>
    <n v="0.79"/>
    <n v="86990"/>
    <n v="28996.666666666668"/>
    <n v="64800"/>
    <n v="67690"/>
    <n v="0.22186458213587767"/>
  </r>
  <r>
    <x v="1"/>
    <s v="Greenwich"/>
    <s v="University of Greenwich"/>
    <s v="Computer Science"/>
    <s v="Bachelor"/>
    <n v="3"/>
    <n v="19000"/>
    <n v="83.2"/>
    <n v="1700"/>
    <n v="490"/>
    <n v="800"/>
    <n v="0.79"/>
    <n v="83090"/>
    <n v="27696.666666666668"/>
    <n v="61200"/>
    <n v="64090"/>
    <n v="0.22866770971236008"/>
  </r>
  <r>
    <x v="1"/>
    <s v="Kingston"/>
    <s v="Kingston University"/>
    <s v="Computer Science"/>
    <s v="Bachelor"/>
    <n v="3"/>
    <n v="18700"/>
    <n v="83.2"/>
    <n v="1600"/>
    <n v="490"/>
    <n v="800"/>
    <n v="0.79"/>
    <n v="79190"/>
    <n v="26396.666666666668"/>
    <n v="57600"/>
    <n v="60490"/>
    <n v="0.23614092688470767"/>
  </r>
  <r>
    <x v="2"/>
    <s v="Toronto"/>
    <s v="University of Toronto"/>
    <s v="Computer Science"/>
    <s v="Bachelor"/>
    <n v="4"/>
    <n v="45200"/>
    <n v="73.5"/>
    <n v="1800"/>
    <n v="235"/>
    <n v="600"/>
    <n v="1.35"/>
    <n v="134235"/>
    <n v="33558.75"/>
    <n v="86400"/>
    <n v="89035"/>
    <n v="0.33672291131225091"/>
  </r>
  <r>
    <x v="2"/>
    <s v="Toronto"/>
    <s v="University of Toronto"/>
    <s v="Computer Science"/>
    <s v="Master"/>
    <n v="2"/>
    <n v="28500"/>
    <n v="73.5"/>
    <n v="1800"/>
    <n v="235"/>
    <n v="600"/>
    <n v="1.35"/>
    <n v="73135"/>
    <n v="36567.5"/>
    <n v="43200"/>
    <n v="44635"/>
    <n v="0.38969029876256239"/>
  </r>
  <r>
    <x v="2"/>
    <s v="Vancouver"/>
    <s v="University of British Columbia"/>
    <s v="Computer Science"/>
    <s v="Bachelor"/>
    <n v="4"/>
    <n v="43800"/>
    <n v="71.2"/>
    <n v="1900"/>
    <n v="235"/>
    <n v="600"/>
    <n v="1.35"/>
    <n v="137635"/>
    <n v="34408.75"/>
    <n v="91200"/>
    <n v="93835"/>
    <n v="0.31823300759254552"/>
  </r>
  <r>
    <x v="2"/>
    <s v="Vancouver"/>
    <s v="University of British Columbia"/>
    <s v="Computer Science"/>
    <s v="Master"/>
    <n v="2"/>
    <n v="27900"/>
    <n v="71.2"/>
    <n v="1900"/>
    <n v="235"/>
    <n v="600"/>
    <n v="1.35"/>
    <n v="74935"/>
    <n v="37467.5"/>
    <n v="45600"/>
    <n v="47035"/>
    <n v="0.37232267965570159"/>
  </r>
  <r>
    <x v="2"/>
    <s v="Montreal"/>
    <s v="McGill University"/>
    <s v="Computer Science"/>
    <s v="Bachelor"/>
    <n v="4"/>
    <n v="41500"/>
    <n v="65.8"/>
    <n v="1500"/>
    <n v="235"/>
    <n v="600"/>
    <n v="1.35"/>
    <n v="116135"/>
    <n v="29033.75"/>
    <n v="72000"/>
    <n v="74635"/>
    <n v="0.35734274766435614"/>
  </r>
  <r>
    <x v="2"/>
    <s v="Montreal"/>
    <s v="McGill University"/>
    <s v="Computer Science"/>
    <s v="Master"/>
    <n v="2"/>
    <n v="26800"/>
    <n v="65.8"/>
    <n v="1500"/>
    <n v="235"/>
    <n v="600"/>
    <n v="1.35"/>
    <n v="64235"/>
    <n v="32117.5"/>
    <n v="36000"/>
    <n v="37435"/>
    <n v="0.4172180275550712"/>
  </r>
  <r>
    <x v="2"/>
    <s v="Waterloo"/>
    <s v="University of Waterloo"/>
    <s v="Computer Science"/>
    <s v="Bachelor"/>
    <n v="4"/>
    <n v="40900"/>
    <n v="62.4"/>
    <n v="1300"/>
    <n v="235"/>
    <n v="600"/>
    <n v="1.35"/>
    <n v="105935"/>
    <n v="26483.75"/>
    <n v="62400"/>
    <n v="65035"/>
    <n v="0.38608580733468634"/>
  </r>
  <r>
    <x v="2"/>
    <s v="Waterloo"/>
    <s v="University of Waterloo"/>
    <s v="Computer Science"/>
    <s v="Master"/>
    <n v="2"/>
    <n v="26200"/>
    <n v="62.4"/>
    <n v="1300"/>
    <n v="235"/>
    <n v="600"/>
    <n v="1.35"/>
    <n v="58835"/>
    <n v="29417.5"/>
    <n v="31200"/>
    <n v="32635"/>
    <n v="0.44531316393303305"/>
  </r>
  <r>
    <x v="2"/>
    <s v="Montreal"/>
    <s v="University of Montreal"/>
    <s v="Computer Science"/>
    <s v="Bachelor"/>
    <n v="4"/>
    <n v="39500"/>
    <n v="65.8"/>
    <n v="1400"/>
    <n v="235"/>
    <n v="600"/>
    <n v="1.35"/>
    <n v="109335"/>
    <n v="27333.75"/>
    <n v="67200"/>
    <n v="69835"/>
    <n v="0.36127498056432067"/>
  </r>
  <r>
    <x v="2"/>
    <s v="Montreal"/>
    <s v="University of Montreal"/>
    <s v="Computer Science"/>
    <s v="Master"/>
    <n v="2"/>
    <n v="25800"/>
    <n v="65.8"/>
    <n v="1400"/>
    <n v="235"/>
    <n v="600"/>
    <n v="1.35"/>
    <n v="60835"/>
    <n v="30417.5"/>
    <n v="33600"/>
    <n v="35035"/>
    <n v="0.42409796991863236"/>
  </r>
  <r>
    <x v="2"/>
    <s v="Edmonton"/>
    <s v="University of Alberta"/>
    <s v="Computer Science"/>
    <s v="Bachelor"/>
    <n v="4"/>
    <n v="38200"/>
    <n v="61.9"/>
    <n v="1200"/>
    <n v="235"/>
    <n v="600"/>
    <n v="1.35"/>
    <n v="98435"/>
    <n v="24608.75"/>
    <n v="57600"/>
    <n v="60235"/>
    <n v="0.38807334789454973"/>
  </r>
  <r>
    <x v="2"/>
    <s v="Edmonton"/>
    <s v="University of Alberta"/>
    <s v="Computer Science"/>
    <s v="Master"/>
    <n v="2"/>
    <n v="24900"/>
    <n v="61.9"/>
    <n v="1200"/>
    <n v="235"/>
    <n v="600"/>
    <n v="1.35"/>
    <n v="55135"/>
    <n v="27567.5"/>
    <n v="28800"/>
    <n v="30235"/>
    <n v="0.45161875396753426"/>
  </r>
  <r>
    <x v="2"/>
    <s v="Ottawa"/>
    <s v="University of Ottawa"/>
    <s v="Computer Science"/>
    <s v="Bachelor"/>
    <n v="4"/>
    <n v="37800"/>
    <n v="63.5"/>
    <n v="1400"/>
    <n v="235"/>
    <n v="600"/>
    <n v="1.35"/>
    <n v="107635"/>
    <n v="26908.75"/>
    <n v="67200"/>
    <n v="69835"/>
    <n v="0.35118688159056072"/>
  </r>
  <r>
    <x v="2"/>
    <s v="Ottawa"/>
    <s v="University of Ottawa"/>
    <s v="Computer Science"/>
    <s v="Master"/>
    <n v="2"/>
    <n v="24500"/>
    <n v="63.5"/>
    <n v="1400"/>
    <n v="235"/>
    <n v="600"/>
    <n v="1.35"/>
    <n v="59535"/>
    <n v="29767.5"/>
    <n v="33600"/>
    <n v="35035"/>
    <n v="0.41152263374485598"/>
  </r>
  <r>
    <x v="2"/>
    <s v="Calgary"/>
    <s v="University of Calgary"/>
    <s v="Computer Science"/>
    <s v="Bachelor"/>
    <n v="4"/>
    <n v="37200"/>
    <n v="62.8"/>
    <n v="1300"/>
    <n v="235"/>
    <n v="600"/>
    <n v="1.35"/>
    <n v="102235"/>
    <n v="25558.75"/>
    <n v="62400"/>
    <n v="65035"/>
    <n v="0.36386756003325671"/>
  </r>
  <r>
    <x v="2"/>
    <s v="Calgary"/>
    <s v="University of Calgary"/>
    <s v="Computer Science"/>
    <s v="Master"/>
    <n v="2"/>
    <n v="24100"/>
    <n v="62.8"/>
    <n v="1300"/>
    <n v="235"/>
    <n v="600"/>
    <n v="1.35"/>
    <n v="56735"/>
    <n v="28367.5"/>
    <n v="31200"/>
    <n v="32635"/>
    <n v="0.42478188067330575"/>
  </r>
  <r>
    <x v="2"/>
    <s v="Hamilton"/>
    <s v="McMaster University"/>
    <s v="Computer Science"/>
    <s v="Bachelor"/>
    <n v="4"/>
    <n v="36500"/>
    <n v="64.2"/>
    <n v="1250"/>
    <n v="235"/>
    <n v="600"/>
    <n v="1.35"/>
    <n v="99135"/>
    <n v="24783.75"/>
    <n v="60000"/>
    <n v="62635"/>
    <n v="0.3681847985070863"/>
  </r>
  <r>
    <x v="2"/>
    <s v="Hamilton"/>
    <s v="McMaster University"/>
    <s v="Computer Science"/>
    <s v="Master"/>
    <n v="2"/>
    <n v="23800"/>
    <n v="64.2"/>
    <n v="1250"/>
    <n v="235"/>
    <n v="600"/>
    <n v="1.35"/>
    <n v="55235"/>
    <n v="27617.5"/>
    <n v="30000"/>
    <n v="31435"/>
    <n v="0.43088621345161582"/>
  </r>
  <r>
    <x v="2"/>
    <s v="London"/>
    <s v="Western University"/>
    <s v="Computer Science"/>
    <s v="Bachelor"/>
    <n v="4"/>
    <n v="35900"/>
    <n v="61.5"/>
    <n v="1200"/>
    <n v="235"/>
    <n v="600"/>
    <n v="1.35"/>
    <n v="96135"/>
    <n v="24033.75"/>
    <n v="57600"/>
    <n v="60235"/>
    <n v="0.37343319290580956"/>
  </r>
  <r>
    <x v="2"/>
    <s v="London"/>
    <s v="Western University"/>
    <s v="Computer Science"/>
    <s v="Master"/>
    <n v="2"/>
    <n v="23500"/>
    <n v="61.5"/>
    <n v="1200"/>
    <n v="235"/>
    <n v="600"/>
    <n v="1.35"/>
    <n v="53735"/>
    <n v="26867.5"/>
    <n v="28800"/>
    <n v="30235"/>
    <n v="0.43733134828324183"/>
  </r>
  <r>
    <x v="2"/>
    <s v="Kingston"/>
    <s v="Queen's University"/>
    <s v="Computer Science"/>
    <s v="Bachelor"/>
    <n v="4"/>
    <n v="35400"/>
    <n v="62.1"/>
    <n v="1300"/>
    <n v="235"/>
    <n v="600"/>
    <n v="1.35"/>
    <n v="100435"/>
    <n v="25108.75"/>
    <n v="62400"/>
    <n v="65035"/>
    <n v="0.35246676955244688"/>
  </r>
  <r>
    <x v="2"/>
    <s v="Kingston"/>
    <s v="Queen's University"/>
    <s v="Computer Science"/>
    <s v="Master"/>
    <n v="2"/>
    <n v="23200"/>
    <n v="62.1"/>
    <n v="1300"/>
    <n v="235"/>
    <n v="600"/>
    <n v="1.35"/>
    <n v="55835"/>
    <n v="27917.5"/>
    <n v="31200"/>
    <n v="32635"/>
    <n v="0.41550998477657386"/>
  </r>
  <r>
    <x v="2"/>
    <s v="Victoria"/>
    <s v="University of Victoria"/>
    <s v="Computer Science"/>
    <s v="Bachelor"/>
    <n v="4"/>
    <n v="34800"/>
    <n v="64.8"/>
    <n v="1400"/>
    <n v="235"/>
    <n v="600"/>
    <n v="1.35"/>
    <n v="104635"/>
    <n v="26158.75"/>
    <n v="67200"/>
    <n v="69835"/>
    <n v="0.33258469919243083"/>
  </r>
  <r>
    <x v="2"/>
    <s v="Victoria"/>
    <s v="University of Victoria"/>
    <s v="Computer Science"/>
    <s v="Master"/>
    <n v="2"/>
    <n v="22900"/>
    <n v="64.8"/>
    <n v="1400"/>
    <n v="235"/>
    <n v="600"/>
    <n v="1.35"/>
    <n v="57935"/>
    <n v="28967.5"/>
    <n v="33600"/>
    <n v="35035"/>
    <n v="0.39527056183654097"/>
  </r>
  <r>
    <x v="2"/>
    <s v="Halifax"/>
    <s v="Dalhousie University"/>
    <s v="Computer Science"/>
    <s v="Bachelor"/>
    <n v="4"/>
    <n v="34200"/>
    <n v="61.2"/>
    <n v="1200"/>
    <n v="235"/>
    <n v="600"/>
    <n v="1.35"/>
    <n v="94435"/>
    <n v="23608.75"/>
    <n v="57600"/>
    <n v="60235"/>
    <n v="0.36215386244506803"/>
  </r>
  <r>
    <x v="2"/>
    <s v="Halifax"/>
    <s v="Dalhousie University"/>
    <s v="Computer Science"/>
    <s v="Master"/>
    <n v="2"/>
    <n v="22600"/>
    <n v="61.2"/>
    <n v="1200"/>
    <n v="235"/>
    <n v="600"/>
    <n v="1.35"/>
    <n v="52835"/>
    <n v="26417.5"/>
    <n v="28800"/>
    <n v="30235"/>
    <n v="0.42774675877732565"/>
  </r>
  <r>
    <x v="2"/>
    <s v="Winnipeg"/>
    <s v="University of Manitoba"/>
    <s v="Computer Science"/>
    <s v="Bachelor"/>
    <n v="4"/>
    <n v="33600"/>
    <n v="59.8"/>
    <n v="1100"/>
    <n v="235"/>
    <n v="600"/>
    <n v="1.35"/>
    <n v="89035"/>
    <n v="22258.75"/>
    <n v="52800"/>
    <n v="55435"/>
    <n v="0.37737968214747009"/>
  </r>
  <r>
    <x v="2"/>
    <s v="Winnipeg"/>
    <s v="University of Manitoba"/>
    <s v="Computer Science"/>
    <s v="Master"/>
    <n v="2"/>
    <n v="22300"/>
    <n v="59.8"/>
    <n v="1100"/>
    <n v="235"/>
    <n v="600"/>
    <n v="1.35"/>
    <n v="50135"/>
    <n v="25067.5"/>
    <n v="26400"/>
    <n v="27835"/>
    <n v="0.44479904258502045"/>
  </r>
  <r>
    <x v="2"/>
    <s v="Quebec City"/>
    <s v="Laval University"/>
    <s v="Computer Science"/>
    <s v="Bachelor"/>
    <n v="4"/>
    <n v="33000"/>
    <n v="58.5"/>
    <n v="1000"/>
    <n v="235"/>
    <n v="600"/>
    <n v="1.35"/>
    <n v="83635"/>
    <n v="20908.75"/>
    <n v="48000"/>
    <n v="50635"/>
    <n v="0.39457165062473842"/>
  </r>
  <r>
    <x v="2"/>
    <s v="Quebec City"/>
    <s v="Laval University"/>
    <s v="Computer Science"/>
    <s v="Master"/>
    <n v="2"/>
    <n v="22000"/>
    <n v="58.5"/>
    <n v="1000"/>
    <n v="235"/>
    <n v="600"/>
    <n v="1.35"/>
    <n v="47435"/>
    <n v="23717.5"/>
    <n v="24000"/>
    <n v="25435"/>
    <n v="0.4637925582375883"/>
  </r>
  <r>
    <x v="2"/>
    <s v="Saskatoon"/>
    <s v="University of Saskatchewan"/>
    <s v="Computer Science"/>
    <s v="Bachelor"/>
    <n v="4"/>
    <n v="32400"/>
    <n v="58.2"/>
    <n v="950"/>
    <n v="235"/>
    <n v="600"/>
    <n v="1.35"/>
    <n v="80635"/>
    <n v="20158.75"/>
    <n v="45600"/>
    <n v="48235"/>
    <n v="0.40181062813914553"/>
  </r>
  <r>
    <x v="2"/>
    <s v="Saskatoon"/>
    <s v="University of Saskatchewan"/>
    <s v="Computer Science"/>
    <s v="Master"/>
    <n v="2"/>
    <n v="21700"/>
    <n v="58.2"/>
    <n v="950"/>
    <n v="235"/>
    <n v="600"/>
    <n v="1.35"/>
    <n v="45935"/>
    <n v="22967.5"/>
    <n v="22800"/>
    <n v="24235"/>
    <n v="0.47240666158702516"/>
  </r>
  <r>
    <x v="2"/>
    <s v="St. John's"/>
    <s v="Memorial University"/>
    <s v="Computer Science"/>
    <s v="Bachelor"/>
    <n v="4"/>
    <n v="31800"/>
    <n v="57.9"/>
    <n v="900"/>
    <n v="235"/>
    <n v="600"/>
    <n v="1.35"/>
    <n v="77635"/>
    <n v="19408.75"/>
    <n v="43200"/>
    <n v="45835"/>
    <n v="0.40960906807496616"/>
  </r>
  <r>
    <x v="2"/>
    <s v="St. John's"/>
    <s v="Memorial University"/>
    <s v="Computer Science"/>
    <s v="Master"/>
    <n v="2"/>
    <n v="21400"/>
    <n v="57.9"/>
    <n v="900"/>
    <n v="235"/>
    <n v="600"/>
    <n v="1.35"/>
    <n v="44435"/>
    <n v="22217.5"/>
    <n v="21600"/>
    <n v="23035"/>
    <n v="0.48160234049735567"/>
  </r>
  <r>
    <x v="2"/>
    <s v="Regina"/>
    <s v="University of Regina"/>
    <s v="Computer Science"/>
    <s v="Bachelor"/>
    <n v="4"/>
    <n v="31200"/>
    <n v="57.5"/>
    <n v="900"/>
    <n v="235"/>
    <n v="600"/>
    <n v="1.35"/>
    <n v="77035"/>
    <n v="19258.75"/>
    <n v="43200"/>
    <n v="45835"/>
    <n v="0.4050107094177971"/>
  </r>
  <r>
    <x v="2"/>
    <s v="Regina"/>
    <s v="University of Regina"/>
    <s v="Computer Science"/>
    <s v="Master"/>
    <n v="2"/>
    <n v="21100"/>
    <n v="57.5"/>
    <n v="900"/>
    <n v="235"/>
    <n v="600"/>
    <n v="1.35"/>
    <n v="44135"/>
    <n v="22067.5"/>
    <n v="21600"/>
    <n v="23035"/>
    <n v="0.47807862240851934"/>
  </r>
  <r>
    <x v="2"/>
    <s v="Sherbrooke"/>
    <s v="University of Sherbrooke"/>
    <s v="Computer Science"/>
    <s v="Bachelor"/>
    <n v="4"/>
    <n v="30600"/>
    <n v="56.8"/>
    <n v="850"/>
    <n v="235"/>
    <n v="600"/>
    <n v="1.35"/>
    <n v="74035"/>
    <n v="18508.75"/>
    <n v="40800"/>
    <n v="43435"/>
    <n v="0.41331802525832378"/>
  </r>
  <r>
    <x v="2"/>
    <s v="Sherbrooke"/>
    <s v="University of Sherbrooke"/>
    <s v="Computer Science"/>
    <s v="Master"/>
    <n v="2"/>
    <n v="20800"/>
    <n v="56.8"/>
    <n v="850"/>
    <n v="235"/>
    <n v="600"/>
    <n v="1.35"/>
    <n v="42635"/>
    <n v="21317.5"/>
    <n v="20400"/>
    <n v="21835"/>
    <n v="0.48786208514131579"/>
  </r>
  <r>
    <x v="2"/>
    <s v="Windsor"/>
    <s v="University of Windsor"/>
    <s v="Computer Science"/>
    <s v="Bachelor"/>
    <n v="4"/>
    <n v="30000"/>
    <n v="58.9"/>
    <n v="950"/>
    <n v="235"/>
    <n v="600"/>
    <n v="1.35"/>
    <n v="78235"/>
    <n v="19558.75"/>
    <n v="45600"/>
    <n v="48235"/>
    <n v="0.38346008819582028"/>
  </r>
  <r>
    <x v="2"/>
    <s v="Windsor"/>
    <s v="University of Windsor"/>
    <s v="Computer Science"/>
    <s v="Master"/>
    <n v="2"/>
    <n v="20500"/>
    <n v="58.9"/>
    <n v="950"/>
    <n v="235"/>
    <n v="600"/>
    <n v="1.35"/>
    <n v="44735"/>
    <n v="22367.5"/>
    <n v="22800"/>
    <n v="24235"/>
    <n v="0.45825416340672853"/>
  </r>
  <r>
    <x v="2"/>
    <s v="Moncton"/>
    <s v="University of New Brunswick"/>
    <s v="Computer Science"/>
    <s v="Bachelor"/>
    <n v="4"/>
    <n v="29400"/>
    <n v="57.2"/>
    <n v="900"/>
    <n v="235"/>
    <n v="600"/>
    <n v="1.35"/>
    <n v="75235"/>
    <n v="18808.75"/>
    <n v="43200"/>
    <n v="45835"/>
    <n v="0.3907755698810394"/>
  </r>
  <r>
    <x v="2"/>
    <s v="Moncton"/>
    <s v="University of New Brunswick"/>
    <s v="Computer Science"/>
    <s v="Master"/>
    <n v="2"/>
    <n v="20200"/>
    <n v="57.2"/>
    <n v="900"/>
    <n v="235"/>
    <n v="600"/>
    <n v="1.35"/>
    <n v="43235"/>
    <n v="21617.5"/>
    <n v="21600"/>
    <n v="23035"/>
    <n v="0.46721406268069848"/>
  </r>
  <r>
    <x v="2"/>
    <s v="Trois-Rivieres"/>
    <s v="UQTR"/>
    <s v="Computer Science"/>
    <s v="Bachelor"/>
    <n v="4"/>
    <n v="28800"/>
    <n v="56.5"/>
    <n v="850"/>
    <n v="235"/>
    <n v="600"/>
    <n v="1.35"/>
    <n v="72235"/>
    <n v="18058.75"/>
    <n v="40800"/>
    <n v="43435"/>
    <n v="0.39869869176991762"/>
  </r>
  <r>
    <x v="2"/>
    <s v="Trois-Rivieres"/>
    <s v="UQTR"/>
    <s v="Computer Science"/>
    <s v="Master"/>
    <n v="2"/>
    <n v="19900"/>
    <n v="56.5"/>
    <n v="850"/>
    <n v="235"/>
    <n v="600"/>
    <n v="1.35"/>
    <n v="41735"/>
    <n v="20867.5"/>
    <n v="20400"/>
    <n v="21835"/>
    <n v="0.47681801844974242"/>
  </r>
  <r>
    <x v="2"/>
    <s v="Thunder Bay"/>
    <s v="Lakehead University"/>
    <s v="Computer Science"/>
    <s v="Bachelor"/>
    <n v="4"/>
    <n v="28200"/>
    <n v="56.2"/>
    <n v="800"/>
    <n v="235"/>
    <n v="600"/>
    <n v="1.35"/>
    <n v="69235"/>
    <n v="17308.75"/>
    <n v="38400"/>
    <n v="41035"/>
    <n v="0.4073084422618618"/>
  </r>
  <r>
    <x v="2"/>
    <s v="Thunder Bay"/>
    <s v="Lakehead University"/>
    <s v="Computer Science"/>
    <s v="Master"/>
    <n v="2"/>
    <n v="19600"/>
    <n v="56.2"/>
    <n v="800"/>
    <n v="235"/>
    <n v="600"/>
    <n v="1.35"/>
    <n v="40235"/>
    <n v="20117.5"/>
    <n v="19200"/>
    <n v="20635"/>
    <n v="0.4871380638747359"/>
  </r>
  <r>
    <x v="2"/>
    <s v="Sudbury"/>
    <s v="Laurentian University"/>
    <s v="Computer Science"/>
    <s v="Bachelor"/>
    <n v="4"/>
    <n v="27600"/>
    <n v="55.8"/>
    <n v="800"/>
    <n v="235"/>
    <n v="600"/>
    <n v="1.35"/>
    <n v="68635"/>
    <n v="17158.75"/>
    <n v="38400"/>
    <n v="41035"/>
    <n v="0.40212719458002477"/>
  </r>
  <r>
    <x v="2"/>
    <s v="Sudbury"/>
    <s v="Laurentian University"/>
    <s v="Computer Science"/>
    <s v="Master"/>
    <n v="2"/>
    <n v="19300"/>
    <n v="55.8"/>
    <n v="800"/>
    <n v="235"/>
    <n v="600"/>
    <n v="1.35"/>
    <n v="39935"/>
    <n v="19967.5"/>
    <n v="19200"/>
    <n v="20635"/>
    <n v="0.48328533867534745"/>
  </r>
  <r>
    <x v="2"/>
    <s v="Prince George"/>
    <s v="UNBC"/>
    <s v="Computer Science"/>
    <s v="Bachelor"/>
    <n v="4"/>
    <n v="27000"/>
    <n v="55.5"/>
    <n v="750"/>
    <n v="235"/>
    <n v="600"/>
    <n v="1.35"/>
    <n v="65635"/>
    <n v="16408.75"/>
    <n v="36000"/>
    <n v="38635"/>
    <n v="0.41136588710291766"/>
  </r>
  <r>
    <x v="2"/>
    <s v="Prince George"/>
    <s v="UNBC"/>
    <s v="Computer Science"/>
    <s v="Master"/>
    <n v="2"/>
    <n v="19000"/>
    <n v="55.5"/>
    <n v="750"/>
    <n v="235"/>
    <n v="600"/>
    <n v="1.35"/>
    <n v="38435"/>
    <n v="19217.5"/>
    <n v="18000"/>
    <n v="19435"/>
    <n v="0.49434109535579551"/>
  </r>
  <r>
    <x v="3"/>
    <s v="Melbourne"/>
    <s v="University of Melbourne"/>
    <s v="Computer Science"/>
    <s v="Bachelor"/>
    <n v="3"/>
    <n v="42500"/>
    <n v="72.8"/>
    <n v="1800"/>
    <n v="450"/>
    <n v="650"/>
    <n v="1.52"/>
    <n v="109700"/>
    <n v="36566.666666666664"/>
    <n v="64800"/>
    <n v="67200"/>
    <n v="0.38742023701002737"/>
  </r>
  <r>
    <x v="3"/>
    <s v="Melbourne"/>
    <s v="University of Melbourne"/>
    <s v="Computer Science"/>
    <s v="Master"/>
    <n v="2"/>
    <n v="45800"/>
    <n v="72.8"/>
    <n v="1800"/>
    <n v="450"/>
    <n v="650"/>
    <n v="1.52"/>
    <n v="90750"/>
    <n v="45375"/>
    <n v="43200"/>
    <n v="44950"/>
    <n v="0.50468319559228647"/>
  </r>
  <r>
    <x v="3"/>
    <s v="Melbourne"/>
    <s v="University of Melbourne"/>
    <s v="Computer Science"/>
    <s v="PhD"/>
    <n v="4"/>
    <n v="35000"/>
    <n v="72.8"/>
    <n v="1800"/>
    <n v="450"/>
    <n v="650"/>
    <n v="1.52"/>
    <n v="124450"/>
    <n v="31112.5"/>
    <n v="86400"/>
    <n v="89450"/>
    <n v="0.28123744475693052"/>
  </r>
  <r>
    <x v="3"/>
    <s v="Sydney"/>
    <s v="University of Sydney"/>
    <s v="Computer Science"/>
    <s v="Bachelor"/>
    <n v="3"/>
    <n v="41800"/>
    <n v="74.5"/>
    <n v="2000"/>
    <n v="450"/>
    <n v="650"/>
    <n v="1.52"/>
    <n v="116200"/>
    <n v="38733.333333333336"/>
    <n v="72000"/>
    <n v="74400"/>
    <n v="0.35972461273666095"/>
  </r>
  <r>
    <x v="3"/>
    <s v="Sydney"/>
    <s v="University of Sydney"/>
    <s v="Computer Science"/>
    <s v="Master"/>
    <n v="2"/>
    <n v="44900"/>
    <n v="74.5"/>
    <n v="2000"/>
    <n v="450"/>
    <n v="650"/>
    <n v="1.52"/>
    <n v="94650"/>
    <n v="47325"/>
    <n v="48000"/>
    <n v="49750"/>
    <n v="0.47437929212889596"/>
  </r>
  <r>
    <x v="3"/>
    <s v="Sydney"/>
    <s v="University of Sydney"/>
    <s v="Computer Science"/>
    <s v="PhD"/>
    <n v="4"/>
    <n v="34500"/>
    <n v="74.5"/>
    <n v="2000"/>
    <n v="450"/>
    <n v="650"/>
    <n v="1.52"/>
    <n v="133550"/>
    <n v="33387.5"/>
    <n v="96000"/>
    <n v="99050"/>
    <n v="0.25833021340321977"/>
  </r>
  <r>
    <x v="3"/>
    <s v="Canberra"/>
    <s v="Australian National University"/>
    <s v="Computer Science"/>
    <s v="Bachelor"/>
    <n v="3"/>
    <n v="41200"/>
    <n v="68.900000000000006"/>
    <n v="1600"/>
    <n v="450"/>
    <n v="650"/>
    <n v="1.52"/>
    <n v="101200"/>
    <n v="33733.333333333336"/>
    <n v="57600"/>
    <n v="60000"/>
    <n v="0.40711462450592883"/>
  </r>
  <r>
    <x v="3"/>
    <s v="Canberra"/>
    <s v="Australian National University"/>
    <s v="Computer Science"/>
    <s v="Master"/>
    <n v="2"/>
    <n v="44200"/>
    <n v="68.900000000000006"/>
    <n v="1600"/>
    <n v="450"/>
    <n v="650"/>
    <n v="1.52"/>
    <n v="84350"/>
    <n v="42175"/>
    <n v="38400"/>
    <n v="40150"/>
    <n v="0.5240071132187315"/>
  </r>
  <r>
    <x v="3"/>
    <s v="Canberra"/>
    <s v="Australian National University"/>
    <s v="Computer Science"/>
    <s v="PhD"/>
    <n v="4"/>
    <n v="34000"/>
    <n v="68.900000000000006"/>
    <n v="1600"/>
    <n v="450"/>
    <n v="650"/>
    <n v="1.52"/>
    <n v="113850"/>
    <n v="28462.5"/>
    <n v="76800"/>
    <n v="79850"/>
    <n v="0.29863855950812473"/>
  </r>
  <r>
    <x v="3"/>
    <s v="Brisbane"/>
    <s v="University of Queensland"/>
    <s v="Computer Science"/>
    <s v="Bachelor"/>
    <n v="3"/>
    <n v="40500"/>
    <n v="69.2"/>
    <n v="1500"/>
    <n v="450"/>
    <n v="650"/>
    <n v="1.52"/>
    <n v="96900"/>
    <n v="32300"/>
    <n v="54000"/>
    <n v="56400"/>
    <n v="0.41795665634674922"/>
  </r>
  <r>
    <x v="3"/>
    <s v="Brisbane"/>
    <s v="University of Queensland"/>
    <s v="Computer Science"/>
    <s v="Master"/>
    <n v="2"/>
    <n v="43500"/>
    <n v="69.2"/>
    <n v="1500"/>
    <n v="450"/>
    <n v="650"/>
    <n v="1.52"/>
    <n v="81250"/>
    <n v="40625"/>
    <n v="36000"/>
    <n v="37750"/>
    <n v="0.53538461538461535"/>
  </r>
  <r>
    <x v="3"/>
    <s v="Brisbane"/>
    <s v="University of Queensland"/>
    <s v="Computer Science"/>
    <s v="PhD"/>
    <n v="4"/>
    <n v="33500"/>
    <n v="69.2"/>
    <n v="1500"/>
    <n v="450"/>
    <n v="650"/>
    <n v="1.52"/>
    <n v="108550"/>
    <n v="27137.5"/>
    <n v="72000"/>
    <n v="75050"/>
    <n v="0.30861354214647629"/>
  </r>
  <r>
    <x v="3"/>
    <s v="Sydney"/>
    <s v="University of New South Wales"/>
    <s v="Computer Science"/>
    <s v="Bachelor"/>
    <n v="3"/>
    <n v="40200"/>
    <n v="74.5"/>
    <n v="1900"/>
    <n v="450"/>
    <n v="650"/>
    <n v="1.52"/>
    <n v="111000"/>
    <n v="37000"/>
    <n v="68400"/>
    <n v="70800"/>
    <n v="0.36216216216216218"/>
  </r>
  <r>
    <x v="3"/>
    <s v="Sydney"/>
    <s v="University of New South Wales"/>
    <s v="Computer Science"/>
    <s v="Master"/>
    <n v="2"/>
    <n v="43200"/>
    <n v="74.5"/>
    <n v="1900"/>
    <n v="450"/>
    <n v="650"/>
    <n v="1.52"/>
    <n v="90550"/>
    <n v="45275"/>
    <n v="45600"/>
    <n v="47350"/>
    <n v="0.47708448371065709"/>
  </r>
  <r>
    <x v="3"/>
    <s v="Sydney"/>
    <s v="University of New South Wales"/>
    <s v="Computer Science"/>
    <s v="PhD"/>
    <n v="4"/>
    <n v="33200"/>
    <n v="74.5"/>
    <n v="1900"/>
    <n v="450"/>
    <n v="650"/>
    <n v="1.52"/>
    <n v="127450"/>
    <n v="31862.5"/>
    <n v="91200"/>
    <n v="94250"/>
    <n v="0.26049431149470381"/>
  </r>
  <r>
    <x v="3"/>
    <s v="Melbourne"/>
    <s v="Monash University"/>
    <s v="Computer Science"/>
    <s v="Bachelor"/>
    <n v="3"/>
    <n v="39800"/>
    <n v="72.8"/>
    <n v="1700"/>
    <n v="450"/>
    <n v="650"/>
    <n v="1.52"/>
    <n v="103400"/>
    <n v="34466.666666666664"/>
    <n v="61200"/>
    <n v="63600"/>
    <n v="0.38491295938104447"/>
  </r>
  <r>
    <x v="3"/>
    <s v="Melbourne"/>
    <s v="Monash University"/>
    <s v="Computer Science"/>
    <s v="Master"/>
    <n v="2"/>
    <n v="42800"/>
    <n v="72.8"/>
    <n v="1700"/>
    <n v="450"/>
    <n v="650"/>
    <n v="1.52"/>
    <n v="85350"/>
    <n v="42675"/>
    <n v="40800"/>
    <n v="42550"/>
    <n v="0.50146455770357357"/>
  </r>
  <r>
    <x v="3"/>
    <s v="Melbourne"/>
    <s v="Monash University"/>
    <s v="Computer Science"/>
    <s v="PhD"/>
    <n v="4"/>
    <n v="32800"/>
    <n v="72.8"/>
    <n v="1700"/>
    <n v="450"/>
    <n v="650"/>
    <n v="1.52"/>
    <n v="117450"/>
    <n v="29362.5"/>
    <n v="81600"/>
    <n v="84650"/>
    <n v="0.27926777352064708"/>
  </r>
  <r>
    <x v="3"/>
    <s v="Adelaide"/>
    <s v="University of Adelaide"/>
    <s v="Computer Science"/>
    <s v="Bachelor"/>
    <n v="3"/>
    <n v="39200"/>
    <n v="67.5"/>
    <n v="1400"/>
    <n v="450"/>
    <n v="650"/>
    <n v="1.52"/>
    <n v="92000"/>
    <n v="30666.666666666668"/>
    <n v="50400"/>
    <n v="52800"/>
    <n v="0.42608695652173911"/>
  </r>
  <r>
    <x v="3"/>
    <s v="Adelaide"/>
    <s v="University of Adelaide"/>
    <s v="Computer Science"/>
    <s v="Master"/>
    <n v="2"/>
    <n v="42200"/>
    <n v="67.5"/>
    <n v="1400"/>
    <n v="450"/>
    <n v="650"/>
    <n v="1.52"/>
    <n v="77550"/>
    <n v="38775"/>
    <n v="33600"/>
    <n v="35350"/>
    <n v="0.54416505480335264"/>
  </r>
  <r>
    <x v="3"/>
    <s v="Adelaide"/>
    <s v="University of Adelaide"/>
    <s v="Computer Science"/>
    <s v="PhD"/>
    <n v="4"/>
    <n v="32200"/>
    <n v="67.5"/>
    <n v="1400"/>
    <n v="450"/>
    <n v="650"/>
    <n v="1.52"/>
    <n v="102450"/>
    <n v="25612.5"/>
    <n v="67200"/>
    <n v="70250"/>
    <n v="0.31429965836993656"/>
  </r>
  <r>
    <x v="3"/>
    <s v="Perth"/>
    <s v="University of Western Australia"/>
    <s v="Computer Science"/>
    <s v="Bachelor"/>
    <n v="3"/>
    <n v="38800"/>
    <n v="68.2"/>
    <n v="1500"/>
    <n v="450"/>
    <n v="650"/>
    <n v="1.52"/>
    <n v="95200"/>
    <n v="31733.333333333332"/>
    <n v="54000"/>
    <n v="56400"/>
    <n v="0.40756302521008403"/>
  </r>
  <r>
    <x v="3"/>
    <s v="Perth"/>
    <s v="University of Western Australia"/>
    <s v="Computer Science"/>
    <s v="Master"/>
    <n v="2"/>
    <n v="41800"/>
    <n v="68.2"/>
    <n v="1500"/>
    <n v="450"/>
    <n v="650"/>
    <n v="1.52"/>
    <n v="79550"/>
    <n v="39775"/>
    <n v="36000"/>
    <n v="37750"/>
    <n v="0.52545568824638589"/>
  </r>
  <r>
    <x v="3"/>
    <s v="Perth"/>
    <s v="University of Western Australia"/>
    <s v="Computer Science"/>
    <s v="PhD"/>
    <n v="4"/>
    <n v="31800"/>
    <n v="68.2"/>
    <n v="1500"/>
    <n v="450"/>
    <n v="650"/>
    <n v="1.52"/>
    <n v="106850"/>
    <n v="26712.5"/>
    <n v="72000"/>
    <n v="75050"/>
    <n v="0.29761347683668693"/>
  </r>
  <r>
    <x v="3"/>
    <s v="Brisbane"/>
    <s v="Queensland University of Technology"/>
    <s v="Computer Science"/>
    <s v="Bachelor"/>
    <n v="3"/>
    <n v="38200"/>
    <n v="69.2"/>
    <n v="1400"/>
    <n v="450"/>
    <n v="650"/>
    <n v="1.52"/>
    <n v="91000"/>
    <n v="30333.333333333332"/>
    <n v="50400"/>
    <n v="52800"/>
    <n v="0.41978021978021979"/>
  </r>
  <r>
    <x v="3"/>
    <s v="Brisbane"/>
    <s v="Queensland University of Technology"/>
    <s v="Computer Science"/>
    <s v="Master"/>
    <n v="2"/>
    <n v="41200"/>
    <n v="69.2"/>
    <n v="1400"/>
    <n v="450"/>
    <n v="650"/>
    <n v="1.52"/>
    <n v="76550"/>
    <n v="38275"/>
    <n v="33600"/>
    <n v="35350"/>
    <n v="0.53821032005225344"/>
  </r>
  <r>
    <x v="3"/>
    <s v="Brisbane"/>
    <s v="Queensland University of Technology"/>
    <s v="Computer Science"/>
    <s v="PhD"/>
    <n v="4"/>
    <n v="31200"/>
    <n v="69.2"/>
    <n v="1400"/>
    <n v="450"/>
    <n v="650"/>
    <n v="1.52"/>
    <n v="101450"/>
    <n v="25362.5"/>
    <n v="67200"/>
    <n v="70250"/>
    <n v="0.30754066042385414"/>
  </r>
  <r>
    <x v="3"/>
    <s v="Sydney"/>
    <s v="University of Technology Sydney"/>
    <s v="Computer Science"/>
    <s v="Bachelor"/>
    <n v="3"/>
    <n v="37800"/>
    <n v="74.5"/>
    <n v="1800"/>
    <n v="450"/>
    <n v="650"/>
    <n v="1.52"/>
    <n v="105000"/>
    <n v="35000"/>
    <n v="64800"/>
    <n v="67200"/>
    <n v="0.36"/>
  </r>
  <r>
    <x v="3"/>
    <s v="Sydney"/>
    <s v="University of Technology Sydney"/>
    <s v="Computer Science"/>
    <s v="Master"/>
    <n v="2"/>
    <n v="40800"/>
    <n v="74.5"/>
    <n v="1800"/>
    <n v="450"/>
    <n v="650"/>
    <n v="1.52"/>
    <n v="85750"/>
    <n v="42875"/>
    <n v="43200"/>
    <n v="44950"/>
    <n v="0.47580174927113705"/>
  </r>
  <r>
    <x v="3"/>
    <s v="Sydney"/>
    <s v="University of Technology Sydney"/>
    <s v="Computer Science"/>
    <s v="PhD"/>
    <n v="4"/>
    <n v="30800"/>
    <n v="74.5"/>
    <n v="1800"/>
    <n v="450"/>
    <n v="650"/>
    <n v="1.52"/>
    <n v="120250"/>
    <n v="30062.5"/>
    <n v="86400"/>
    <n v="89450"/>
    <n v="0.25613305613305615"/>
  </r>
  <r>
    <x v="3"/>
    <s v="Melbourne"/>
    <s v="RMIT University"/>
    <s v="Computer Science"/>
    <s v="Bachelor"/>
    <n v="3"/>
    <n v="37200"/>
    <n v="72.8"/>
    <n v="1600"/>
    <n v="450"/>
    <n v="650"/>
    <n v="1.52"/>
    <n v="97200"/>
    <n v="32400"/>
    <n v="57600"/>
    <n v="60000"/>
    <n v="0.38271604938271603"/>
  </r>
  <r>
    <x v="3"/>
    <s v="Melbourne"/>
    <s v="RMIT University"/>
    <s v="Computer Science"/>
    <s v="Master"/>
    <n v="2"/>
    <n v="40200"/>
    <n v="72.8"/>
    <n v="1600"/>
    <n v="450"/>
    <n v="650"/>
    <n v="1.52"/>
    <n v="80350"/>
    <n v="40175"/>
    <n v="38400"/>
    <n v="40150"/>
    <n v="0.50031113876789046"/>
  </r>
  <r>
    <x v="3"/>
    <s v="Melbourne"/>
    <s v="RMIT University"/>
    <s v="Computer Science"/>
    <s v="PhD"/>
    <n v="4"/>
    <n v="30200"/>
    <n v="72.8"/>
    <n v="1600"/>
    <n v="450"/>
    <n v="650"/>
    <n v="1.52"/>
    <n v="110050"/>
    <n v="27512.5"/>
    <n v="76800"/>
    <n v="79850"/>
    <n v="0.27442071785552019"/>
  </r>
  <r>
    <x v="3"/>
    <s v="Wollongong"/>
    <s v="University of Wollongong"/>
    <s v="Computer Science"/>
    <s v="Bachelor"/>
    <n v="3"/>
    <n v="36800"/>
    <n v="65.8"/>
    <n v="1300"/>
    <n v="450"/>
    <n v="650"/>
    <n v="1.52"/>
    <n v="86000"/>
    <n v="28666.666666666668"/>
    <n v="46800"/>
    <n v="49200"/>
    <n v="0.42790697674418604"/>
  </r>
  <r>
    <x v="3"/>
    <s v="Wollongong"/>
    <s v="University of Wollongong"/>
    <s v="Computer Science"/>
    <s v="Master"/>
    <n v="2"/>
    <n v="39800"/>
    <n v="65.8"/>
    <n v="1300"/>
    <n v="450"/>
    <n v="650"/>
    <n v="1.52"/>
    <n v="72750"/>
    <n v="36375"/>
    <n v="31200"/>
    <n v="32950"/>
    <n v="0.54707903780068734"/>
  </r>
  <r>
    <x v="3"/>
    <s v="Wollongong"/>
    <s v="University of Wollongong"/>
    <s v="Computer Science"/>
    <s v="PhD"/>
    <n v="4"/>
    <n v="29800"/>
    <n v="65.8"/>
    <n v="1300"/>
    <n v="450"/>
    <n v="650"/>
    <n v="1.52"/>
    <n v="95250"/>
    <n v="23812.5"/>
    <n v="62400"/>
    <n v="65450"/>
    <n v="0.31286089238845144"/>
  </r>
  <r>
    <x v="3"/>
    <s v="Newcastle"/>
    <s v="University of Newcastle"/>
    <s v="Computer Science"/>
    <s v="Bachelor"/>
    <n v="3"/>
    <n v="36200"/>
    <n v="66.2"/>
    <n v="1300"/>
    <n v="450"/>
    <n v="650"/>
    <n v="1.52"/>
    <n v="85400"/>
    <n v="28466.666666666668"/>
    <n v="46800"/>
    <n v="49200"/>
    <n v="0.42388758782201408"/>
  </r>
  <r>
    <x v="3"/>
    <s v="Newcastle"/>
    <s v="University of Newcastle"/>
    <s v="Computer Science"/>
    <s v="Master"/>
    <n v="2"/>
    <n v="39200"/>
    <n v="66.2"/>
    <n v="1300"/>
    <n v="450"/>
    <n v="650"/>
    <n v="1.52"/>
    <n v="72150"/>
    <n v="36075"/>
    <n v="31200"/>
    <n v="32950"/>
    <n v="0.54331254331254331"/>
  </r>
  <r>
    <x v="3"/>
    <s v="Newcastle"/>
    <s v="University of Newcastle"/>
    <s v="Computer Science"/>
    <s v="PhD"/>
    <n v="4"/>
    <n v="29200"/>
    <n v="66.2"/>
    <n v="1300"/>
    <n v="450"/>
    <n v="650"/>
    <n v="1.52"/>
    <n v="94650"/>
    <n v="23662.5"/>
    <n v="62400"/>
    <n v="65450"/>
    <n v="0.30850501848917061"/>
  </r>
  <r>
    <x v="3"/>
    <s v="Hobart"/>
    <s v="University of Tasmania"/>
    <s v="Computer Science"/>
    <s v="Bachelor"/>
    <n v="3"/>
    <n v="35800"/>
    <n v="64.5"/>
    <n v="1200"/>
    <n v="450"/>
    <n v="650"/>
    <n v="1.52"/>
    <n v="81400"/>
    <n v="27133.333333333332"/>
    <n v="43200"/>
    <n v="45600"/>
    <n v="0.43980343980343978"/>
  </r>
  <r>
    <x v="3"/>
    <s v="Hobart"/>
    <s v="University of Tasmania"/>
    <s v="Computer Science"/>
    <s v="Master"/>
    <n v="2"/>
    <n v="38800"/>
    <n v="64.5"/>
    <n v="1200"/>
    <n v="450"/>
    <n v="650"/>
    <n v="1.52"/>
    <n v="69350"/>
    <n v="34675"/>
    <n v="28800"/>
    <n v="30550"/>
    <n v="0.55948089401586154"/>
  </r>
  <r>
    <x v="3"/>
    <s v="Hobart"/>
    <s v="University of Tasmania"/>
    <s v="Computer Science"/>
    <s v="PhD"/>
    <n v="4"/>
    <n v="28800"/>
    <n v="64.5"/>
    <n v="1200"/>
    <n v="450"/>
    <n v="650"/>
    <n v="1.52"/>
    <n v="89450"/>
    <n v="22362.5"/>
    <n v="57600"/>
    <n v="60650"/>
    <n v="0.3219675796534377"/>
  </r>
  <r>
    <x v="3"/>
    <s v="Gold Coast"/>
    <s v="Griffith University"/>
    <s v="Computer Science"/>
    <s v="Bachelor"/>
    <n v="3"/>
    <n v="35200"/>
    <n v="68.5"/>
    <n v="1400"/>
    <n v="450"/>
    <n v="650"/>
    <n v="1.52"/>
    <n v="88000"/>
    <n v="29333.333333333332"/>
    <n v="50400"/>
    <n v="52800"/>
    <n v="0.4"/>
  </r>
  <r>
    <x v="3"/>
    <s v="Gold Coast"/>
    <s v="Griffith University"/>
    <s v="Computer Science"/>
    <s v="Master"/>
    <n v="2"/>
    <n v="38200"/>
    <n v="68.5"/>
    <n v="1400"/>
    <n v="450"/>
    <n v="650"/>
    <n v="1.52"/>
    <n v="73550"/>
    <n v="36775"/>
    <n v="33600"/>
    <n v="35350"/>
    <n v="0.51937457511896667"/>
  </r>
  <r>
    <x v="3"/>
    <s v="Gold Coast"/>
    <s v="Griffith University"/>
    <s v="Computer Science"/>
    <s v="PhD"/>
    <n v="4"/>
    <n v="28200"/>
    <n v="68.5"/>
    <n v="1400"/>
    <n v="450"/>
    <n v="650"/>
    <n v="1.52"/>
    <n v="98450"/>
    <n v="24612.5"/>
    <n v="67200"/>
    <n v="70250"/>
    <n v="0.28643981716607414"/>
  </r>
  <r>
    <x v="3"/>
    <s v="Canberra"/>
    <s v="University of Canberra"/>
    <s v="Computer Science"/>
    <s v="Bachelor"/>
    <n v="3"/>
    <n v="34800"/>
    <n v="68.900000000000006"/>
    <n v="1500"/>
    <n v="450"/>
    <n v="650"/>
    <n v="1.52"/>
    <n v="91200"/>
    <n v="30400"/>
    <n v="54000"/>
    <n v="56400"/>
    <n v="0.38157894736842107"/>
  </r>
  <r>
    <x v="3"/>
    <s v="Canberra"/>
    <s v="University of Canberra"/>
    <s v="Computer Science"/>
    <s v="Master"/>
    <n v="2"/>
    <n v="37800"/>
    <n v="68.900000000000006"/>
    <n v="1500"/>
    <n v="450"/>
    <n v="650"/>
    <n v="1.52"/>
    <n v="75550"/>
    <n v="37775"/>
    <n v="36000"/>
    <n v="37750"/>
    <n v="0.50033090668431501"/>
  </r>
  <r>
    <x v="3"/>
    <s v="Canberra"/>
    <s v="University of Canberra"/>
    <s v="Computer Science"/>
    <s v="PhD"/>
    <n v="4"/>
    <n v="27800"/>
    <n v="68.900000000000006"/>
    <n v="1500"/>
    <n v="450"/>
    <n v="650"/>
    <n v="1.52"/>
    <n v="102850"/>
    <n v="25712.5"/>
    <n v="72000"/>
    <n v="75050"/>
    <n v="0.2702965483714147"/>
  </r>
  <r>
    <x v="3"/>
    <s v="Townsville"/>
    <s v="James Cook University"/>
    <s v="Computer Science"/>
    <s v="Bachelor"/>
    <n v="3"/>
    <n v="34200"/>
    <n v="65.2"/>
    <n v="1200"/>
    <n v="450"/>
    <n v="650"/>
    <n v="1.52"/>
    <n v="79800"/>
    <n v="26600"/>
    <n v="43200"/>
    <n v="45600"/>
    <n v="0.42857142857142855"/>
  </r>
  <r>
    <x v="3"/>
    <s v="Townsville"/>
    <s v="James Cook University"/>
    <s v="Computer Science"/>
    <s v="Master"/>
    <n v="2"/>
    <n v="37200"/>
    <n v="65.2"/>
    <n v="1200"/>
    <n v="450"/>
    <n v="650"/>
    <n v="1.52"/>
    <n v="67750"/>
    <n v="33875"/>
    <n v="28800"/>
    <n v="30550"/>
    <n v="0.54907749077490775"/>
  </r>
  <r>
    <x v="3"/>
    <s v="Townsville"/>
    <s v="James Cook University"/>
    <s v="Computer Science"/>
    <s v="PhD"/>
    <n v="4"/>
    <n v="27200"/>
    <n v="65.2"/>
    <n v="1200"/>
    <n v="450"/>
    <n v="650"/>
    <n v="1.52"/>
    <n v="87850"/>
    <n v="21962.5"/>
    <n v="57600"/>
    <n v="60650"/>
    <n v="0.30961866818440525"/>
  </r>
  <r>
    <x v="3"/>
    <s v="Armidale"/>
    <s v="University of New England"/>
    <s v="Computer Science"/>
    <s v="Bachelor"/>
    <n v="3"/>
    <n v="33800"/>
    <n v="63.8"/>
    <n v="1100"/>
    <n v="450"/>
    <n v="650"/>
    <n v="1.52"/>
    <n v="75800"/>
    <n v="25266.666666666668"/>
    <n v="39600"/>
    <n v="42000"/>
    <n v="0.44591029023746703"/>
  </r>
  <r>
    <x v="3"/>
    <s v="Armidale"/>
    <s v="University of New England"/>
    <s v="Computer Science"/>
    <s v="Master"/>
    <n v="2"/>
    <n v="36800"/>
    <n v="63.8"/>
    <n v="1100"/>
    <n v="450"/>
    <n v="650"/>
    <n v="1.52"/>
    <n v="64950"/>
    <n v="32475"/>
    <n v="26400"/>
    <n v="28150"/>
    <n v="0.56658968437259427"/>
  </r>
  <r>
    <x v="3"/>
    <s v="Armidale"/>
    <s v="University of New England"/>
    <s v="Computer Science"/>
    <s v="PhD"/>
    <n v="4"/>
    <n v="26800"/>
    <n v="63.8"/>
    <n v="1100"/>
    <n v="450"/>
    <n v="650"/>
    <n v="1.52"/>
    <n v="82650"/>
    <n v="20662.5"/>
    <n v="52800"/>
    <n v="55850"/>
    <n v="0.32425892316999394"/>
  </r>
  <r>
    <x v="3"/>
    <s v="Toowoomba"/>
    <s v="University of Southern Queensland"/>
    <s v="Computer Science"/>
    <s v="Bachelor"/>
    <n v="3"/>
    <n v="33200"/>
    <n v="64.2"/>
    <n v="1100"/>
    <n v="450"/>
    <n v="650"/>
    <n v="1.52"/>
    <n v="75200"/>
    <n v="25066.666666666668"/>
    <n v="39600"/>
    <n v="42000"/>
    <n v="0.44148936170212766"/>
  </r>
  <r>
    <x v="3"/>
    <s v="Toowoomba"/>
    <s v="University of Southern Queensland"/>
    <s v="Computer Science"/>
    <s v="Master"/>
    <n v="2"/>
    <n v="36200"/>
    <n v="64.2"/>
    <n v="1100"/>
    <n v="450"/>
    <n v="650"/>
    <n v="1.52"/>
    <n v="64350"/>
    <n v="32175"/>
    <n v="26400"/>
    <n v="28150"/>
    <n v="0.56254856254856256"/>
  </r>
  <r>
    <x v="3"/>
    <s v="Toowoomba"/>
    <s v="University of Southern Queensland"/>
    <s v="Computer Science"/>
    <s v="PhD"/>
    <n v="4"/>
    <n v="26200"/>
    <n v="64.2"/>
    <n v="1100"/>
    <n v="450"/>
    <n v="650"/>
    <n v="1.52"/>
    <n v="82050"/>
    <n v="20512.5"/>
    <n v="52800"/>
    <n v="55850"/>
    <n v="0.31931748933577087"/>
  </r>
  <r>
    <x v="3"/>
    <s v="Ballarat"/>
    <s v="Federation University"/>
    <s v="Computer Science"/>
    <s v="Bachelor"/>
    <n v="3"/>
    <n v="32800"/>
    <n v="63.5"/>
    <n v="1000"/>
    <n v="450"/>
    <n v="650"/>
    <n v="1.52"/>
    <n v="71200"/>
    <n v="23733.333333333332"/>
    <n v="36000"/>
    <n v="38400"/>
    <n v="0.4606741573033708"/>
  </r>
  <r>
    <x v="3"/>
    <s v="Ballarat"/>
    <s v="Federation University"/>
    <s v="Computer Science"/>
    <s v="Master"/>
    <n v="2"/>
    <n v="35800"/>
    <n v="63.5"/>
    <n v="1000"/>
    <n v="450"/>
    <n v="650"/>
    <n v="1.52"/>
    <n v="61550"/>
    <n v="30775"/>
    <n v="24000"/>
    <n v="25750"/>
    <n v="0.58164094232331442"/>
  </r>
  <r>
    <x v="3"/>
    <s v="Ballarat"/>
    <s v="Federation University"/>
    <s v="Computer Science"/>
    <s v="PhD"/>
    <n v="4"/>
    <n v="25800"/>
    <n v="63.5"/>
    <n v="1000"/>
    <n v="450"/>
    <n v="650"/>
    <n v="1.52"/>
    <n v="76850"/>
    <n v="19212.5"/>
    <n v="48000"/>
    <n v="51050"/>
    <n v="0.33571893298633704"/>
  </r>
  <r>
    <x v="3"/>
    <s v="Lismore"/>
    <s v="Southern Cross University"/>
    <s v="Computer Science"/>
    <s v="Bachelor"/>
    <n v="3"/>
    <n v="32200"/>
    <n v="63.2"/>
    <n v="1000"/>
    <n v="450"/>
    <n v="650"/>
    <n v="1.52"/>
    <n v="70600"/>
    <n v="23533.333333333332"/>
    <n v="36000"/>
    <n v="38400"/>
    <n v="0.45609065155807366"/>
  </r>
  <r>
    <x v="3"/>
    <s v="Lismore"/>
    <s v="Southern Cross University"/>
    <s v="Computer Science"/>
    <s v="Master"/>
    <n v="2"/>
    <n v="35200"/>
    <n v="63.2"/>
    <n v="1000"/>
    <n v="450"/>
    <n v="650"/>
    <n v="1.52"/>
    <n v="60950"/>
    <n v="30475"/>
    <n v="24000"/>
    <n v="25750"/>
    <n v="0.57752255947497955"/>
  </r>
  <r>
    <x v="3"/>
    <s v="Lismore"/>
    <s v="Southern Cross University"/>
    <s v="Computer Science"/>
    <s v="PhD"/>
    <n v="4"/>
    <n v="25200"/>
    <n v="63.2"/>
    <n v="1000"/>
    <n v="450"/>
    <n v="650"/>
    <n v="1.52"/>
    <n v="76250"/>
    <n v="19062.5"/>
    <n v="48000"/>
    <n v="51050"/>
    <n v="0.33049180327868855"/>
  </r>
  <r>
    <x v="0"/>
    <s v="Boston"/>
    <s v="MIT"/>
    <s v="Computer Science"/>
    <s v="Master"/>
    <n v="2"/>
    <n v="58000"/>
    <n v="82.1"/>
    <n v="2100"/>
    <n v="160"/>
    <n v="1500"/>
    <n v="1"/>
    <n v="111560"/>
    <n v="55780"/>
    <n v="50400"/>
    <n v="53560"/>
    <n v="0.51989960559340265"/>
  </r>
  <r>
    <x v="1"/>
    <s v="London"/>
    <s v="Imperial College London"/>
    <s v="Data Science"/>
    <s v="Master"/>
    <n v="1"/>
    <n v="42000"/>
    <n v="75.3"/>
    <n v="1800"/>
    <n v="485"/>
    <n v="800"/>
    <n v="0.79"/>
    <n v="64885"/>
    <n v="64885"/>
    <n v="21600"/>
    <n v="22885"/>
    <n v="0.647299067581105"/>
  </r>
  <r>
    <x v="4"/>
    <s v="Munich"/>
    <s v="TU Munich"/>
    <s v="Mechanical Engineering"/>
    <s v="Master"/>
    <n v="2"/>
    <n v="0"/>
    <n v="71.5"/>
    <n v="1200"/>
    <n v="110"/>
    <n v="900"/>
    <n v="0.92"/>
    <n v="30710"/>
    <n v="15355"/>
    <n v="28800"/>
    <n v="30710"/>
    <n v="0"/>
  </r>
  <r>
    <x v="2"/>
    <s v="Toronto"/>
    <s v="University of Toronto"/>
    <s v="Business Analytics"/>
    <s v="Master"/>
    <n v="2"/>
    <n v="45000"/>
    <n v="73.8"/>
    <n v="1700"/>
    <n v="235"/>
    <n v="750"/>
    <n v="1.35"/>
    <n v="87535"/>
    <n v="43767.5"/>
    <n v="40800"/>
    <n v="42535"/>
    <n v="0.51408008225281321"/>
  </r>
  <r>
    <x v="3"/>
    <s v="Melbourne"/>
    <s v="University of Melbourne"/>
    <s v="Artificial Intelligence"/>
    <s v="PhD"/>
    <n v="4"/>
    <n v="29000"/>
    <n v="72.400000000000006"/>
    <n v="1500"/>
    <n v="450"/>
    <n v="650"/>
    <n v="1.52"/>
    <n v="104050"/>
    <n v="26012.5"/>
    <n v="72000"/>
    <n v="75050"/>
    <n v="0.27871215761653051"/>
  </r>
  <r>
    <x v="0"/>
    <s v="Stanford"/>
    <s v="Stanford University"/>
    <s v="Physics"/>
    <s v="PhD"/>
    <n v="5"/>
    <n v="52000"/>
    <n v="84.3"/>
    <n v="2300"/>
    <n v="160"/>
    <n v="1500"/>
    <n v="1"/>
    <n v="197660"/>
    <n v="39532"/>
    <n v="138000"/>
    <n v="145660"/>
    <n v="0.26307801274916526"/>
  </r>
  <r>
    <x v="1"/>
    <s v="Edinburgh"/>
    <s v="University of Edinburgh"/>
    <s v="Chemistry"/>
    <s v="Master"/>
    <n v="2"/>
    <n v="38000"/>
    <n v="67.8"/>
    <n v="1100"/>
    <n v="485"/>
    <n v="800"/>
    <n v="0.79"/>
    <n v="66485"/>
    <n v="33242.5"/>
    <n v="26400"/>
    <n v="28485"/>
    <n v="0.57155749417161761"/>
  </r>
  <r>
    <x v="4"/>
    <s v="Berlin"/>
    <s v="Humboldt University"/>
    <s v="Computer Science"/>
    <s v="Bachelor"/>
    <n v="3"/>
    <n v="0"/>
    <n v="68.900000000000006"/>
    <n v="950"/>
    <n v="110"/>
    <n v="900"/>
    <n v="0.92"/>
    <n v="37010"/>
    <n v="12336.666666666666"/>
    <n v="34200"/>
    <n v="37010"/>
    <n v="0"/>
  </r>
  <r>
    <x v="2"/>
    <s v="Vancouver"/>
    <s v="University of British Columbia"/>
    <s v="Environmental Science"/>
    <s v="Master"/>
    <n v="2"/>
    <n v="42000"/>
    <n v="71.2"/>
    <n v="1600"/>
    <n v="235"/>
    <n v="750"/>
    <n v="1.35"/>
    <n v="82135"/>
    <n v="41067.5"/>
    <n v="38400"/>
    <n v="40135"/>
    <n v="0.51135325987703173"/>
  </r>
  <r>
    <x v="3"/>
    <s v="Sydney"/>
    <s v="University of Sydney"/>
    <s v="Biotechnology"/>
    <s v="PhD"/>
    <n v="4"/>
    <n v="31000"/>
    <n v="75.599999999999994"/>
    <n v="1700"/>
    <n v="450"/>
    <n v="650"/>
    <n v="1.52"/>
    <n v="115650"/>
    <n v="28912.5"/>
    <n v="81600"/>
    <n v="84650"/>
    <n v="0.2680501513186338"/>
  </r>
  <r>
    <x v="0"/>
    <s v="Berkeley"/>
    <s v="UC Berkeley"/>
    <s v="Mathematics"/>
    <s v="Master"/>
    <n v="2"/>
    <n v="54000"/>
    <n v="83.2"/>
    <n v="2000"/>
    <n v="160"/>
    <n v="1500"/>
    <n v="1"/>
    <n v="105160"/>
    <n v="52580"/>
    <n v="48000"/>
    <n v="51160"/>
    <n v="0.5135032331685051"/>
  </r>
  <r>
    <x v="1"/>
    <s v="Manchester"/>
    <s v="University of Manchester"/>
    <s v="Engineering"/>
    <s v="Bachelor"/>
    <n v="3"/>
    <n v="35000"/>
    <n v="65.400000000000006"/>
    <n v="900"/>
    <n v="485"/>
    <n v="800"/>
    <n v="0.79"/>
    <n v="70285"/>
    <n v="23428.333333333332"/>
    <n v="32400"/>
    <n v="35285"/>
    <n v="0.49797254037134525"/>
  </r>
  <r>
    <x v="4"/>
    <s v="Hamburg"/>
    <s v="University of Hamburg"/>
    <s v="Physics"/>
    <s v="Master"/>
    <n v="2"/>
    <n v="0"/>
    <n v="69.8"/>
    <n v="1100"/>
    <n v="110"/>
    <n v="900"/>
    <n v="0.92"/>
    <n v="28310"/>
    <n v="14155"/>
    <n v="26400"/>
    <n v="28310"/>
    <n v="0"/>
  </r>
  <r>
    <x v="2"/>
    <s v="Montreal"/>
    <s v="McGill University"/>
    <s v="Computer Science"/>
    <s v="PhD"/>
    <n v="4"/>
    <n v="38000"/>
    <n v="68.900000000000006"/>
    <n v="1400"/>
    <n v="235"/>
    <n v="750"/>
    <n v="1.35"/>
    <n v="108435"/>
    <n v="27108.75"/>
    <n v="67200"/>
    <n v="70435"/>
    <n v="0.35044035597362477"/>
  </r>
  <r>
    <x v="3"/>
    <s v="Brisbane"/>
    <s v="University of Queensland"/>
    <s v="Data Science"/>
    <s v="Master"/>
    <n v="2"/>
    <n v="32000"/>
    <n v="68.7"/>
    <n v="1200"/>
    <n v="450"/>
    <n v="650"/>
    <n v="1.52"/>
    <n v="62550"/>
    <n v="31275"/>
    <n v="28800"/>
    <n v="30550"/>
    <n v="0.51159072741806555"/>
  </r>
  <r>
    <x v="0"/>
    <s v="New York"/>
    <s v="Columbia University"/>
    <s v="Economics"/>
    <s v="Master"/>
    <n v="2"/>
    <n v="62000"/>
    <n v="100"/>
    <n v="2500"/>
    <n v="160"/>
    <n v="1500"/>
    <n v="1"/>
    <n v="125160"/>
    <n v="62580"/>
    <n v="60000"/>
    <n v="63160"/>
    <n v="0.49536593160754233"/>
  </r>
  <r>
    <x v="1"/>
    <s v="Oxford"/>
    <s v="University of Oxford"/>
    <s v="Computer Science"/>
    <s v="PhD"/>
    <n v="4"/>
    <n v="40000"/>
    <n v="71.5"/>
    <n v="1400"/>
    <n v="485"/>
    <n v="800"/>
    <n v="0.79"/>
    <n v="110885"/>
    <n v="27721.25"/>
    <n v="67200"/>
    <n v="70885"/>
    <n v="0.36073409388104793"/>
  </r>
  <r>
    <x v="4"/>
    <s v="Dresden"/>
    <s v="TU Dresden"/>
    <s v="Mechanical Engineering"/>
    <s v="Bachelor"/>
    <n v="3"/>
    <n v="0"/>
    <n v="65.400000000000006"/>
    <n v="800"/>
    <n v="110"/>
    <n v="900"/>
    <n v="0.92"/>
    <n v="31610"/>
    <n v="10536.666666666666"/>
    <n v="28800"/>
    <n v="31610"/>
    <n v="0"/>
  </r>
  <r>
    <x v="2"/>
    <s v="Ottawa"/>
    <s v="University of Ottawa"/>
    <s v="Artificial Intelligence"/>
    <s v="Master"/>
    <n v="2"/>
    <n v="40000"/>
    <n v="67.8"/>
    <n v="1300"/>
    <n v="235"/>
    <n v="750"/>
    <n v="1.35"/>
    <n v="72935"/>
    <n v="36467.5"/>
    <n v="31200"/>
    <n v="32935"/>
    <n v="0.54843353671076989"/>
  </r>
  <r>
    <x v="3"/>
    <s v="Perth"/>
    <s v="University of Western Australia"/>
    <s v="Physics"/>
    <s v="Master"/>
    <n v="2"/>
    <n v="30000"/>
    <n v="67.2"/>
    <n v="1100"/>
    <n v="450"/>
    <n v="650"/>
    <n v="1.52"/>
    <n v="58150"/>
    <n v="29075"/>
    <n v="26400"/>
    <n v="28150"/>
    <n v="0.51590713671539123"/>
  </r>
  <r>
    <x v="0"/>
    <s v="Atlanta"/>
    <s v="Georgia Tech"/>
    <s v="Engineering"/>
    <s v="PhD"/>
    <n v="5"/>
    <n v="48000"/>
    <n v="71.2"/>
    <n v="1700"/>
    <n v="160"/>
    <n v="1500"/>
    <n v="1"/>
    <n v="157660"/>
    <n v="31532"/>
    <n v="102000"/>
    <n v="109660"/>
    <n v="0.30445261956108083"/>
  </r>
  <r>
    <x v="1"/>
    <s v="Bristol"/>
    <s v="University of Bristol"/>
    <s v="Data Science"/>
    <s v="Master"/>
    <n v="2"/>
    <n v="36000"/>
    <n v="68.900000000000006"/>
    <n v="1200"/>
    <n v="485"/>
    <n v="800"/>
    <n v="0.79"/>
    <n v="66885"/>
    <n v="33442.5"/>
    <n v="28800"/>
    <n v="30885"/>
    <n v="0.53823727293115053"/>
  </r>
  <r>
    <x v="4"/>
    <s v="Frankfurt"/>
    <s v="Goethe University"/>
    <s v="Computer Science"/>
    <s v="Master"/>
    <n v="2"/>
    <n v="0"/>
    <n v="72.3"/>
    <n v="1300"/>
    <n v="110"/>
    <n v="900"/>
    <n v="0.92"/>
    <n v="33110"/>
    <n v="16555"/>
    <n v="31200"/>
    <n v="33110"/>
    <n v="0"/>
  </r>
  <r>
    <x v="2"/>
    <s v="Calgary"/>
    <s v="University of Calgary"/>
    <s v="Mathematics"/>
    <s v="Bachelor"/>
    <n v="4"/>
    <n v="35000"/>
    <n v="65.400000000000006"/>
    <n v="1200"/>
    <n v="235"/>
    <n v="750"/>
    <n v="1.35"/>
    <n v="95835"/>
    <n v="23958.75"/>
    <n v="57600"/>
    <n v="60835"/>
    <n v="0.36521103980800335"/>
  </r>
  <r>
    <x v="3"/>
    <s v="Adelaide"/>
    <s v="University of Adelaide"/>
    <s v="Chemistry"/>
    <s v="PhD"/>
    <n v="4"/>
    <n v="28000"/>
    <n v="64.5"/>
    <n v="1000"/>
    <n v="450"/>
    <n v="650"/>
    <n v="1.52"/>
    <n v="79050"/>
    <n v="19762.5"/>
    <n v="48000"/>
    <n v="51050"/>
    <n v="0.35420619860847563"/>
  </r>
  <r>
    <x v="0"/>
    <s v="Los Angeles"/>
    <s v="UCLA"/>
    <s v="Computer Science"/>
    <s v="Master"/>
    <n v="2"/>
    <n v="52000"/>
    <n v="79.8"/>
    <n v="2200"/>
    <n v="160"/>
    <n v="1500"/>
    <n v="1"/>
    <n v="107960"/>
    <n v="53980"/>
    <n v="52800"/>
    <n v="55960"/>
    <n v="0.48165987402741756"/>
  </r>
  <r>
    <x v="1"/>
    <s v="Glasgow"/>
    <s v="University of Glasgow"/>
    <s v="Physics"/>
    <s v="Bachelor"/>
    <n v="3"/>
    <n v="34000"/>
    <n v="64.5"/>
    <n v="950"/>
    <n v="485"/>
    <n v="800"/>
    <n v="0.79"/>
    <n v="71085"/>
    <n v="23695"/>
    <n v="34200"/>
    <n v="37085"/>
    <n v="0.47830062601111345"/>
  </r>
  <r>
    <x v="4"/>
    <s v="Stuttgart"/>
    <s v="University of Stuttgart"/>
    <s v="Engineering"/>
    <s v="Master"/>
    <n v="2"/>
    <n v="0"/>
    <n v="68.7"/>
    <n v="1100"/>
    <n v="110"/>
    <n v="900"/>
    <n v="0.92"/>
    <n v="28310"/>
    <n v="14155"/>
    <n v="26400"/>
    <n v="28310"/>
    <n v="0"/>
  </r>
  <r>
    <x v="2"/>
    <s v="Edmonton"/>
    <s v="University of Alberta"/>
    <s v="Data Science"/>
    <s v="Master"/>
    <n v="2"/>
    <n v="37000"/>
    <n v="64.3"/>
    <n v="1100"/>
    <n v="235"/>
    <n v="750"/>
    <n v="1.35"/>
    <n v="65135"/>
    <n v="32567.5"/>
    <n v="26400"/>
    <n v="28135"/>
    <n v="0.56805097106010594"/>
  </r>
  <r>
    <x v="3"/>
    <s v="Canberra"/>
    <s v="Australian National University"/>
    <s v="Computer Science"/>
    <s v="PhD"/>
    <n v="4"/>
    <n v="33000"/>
    <n v="69.8"/>
    <n v="1300"/>
    <n v="450"/>
    <n v="650"/>
    <n v="1.52"/>
    <n v="98450"/>
    <n v="24612.5"/>
    <n v="62400"/>
    <n v="65450"/>
    <n v="0.33519553072625696"/>
  </r>
  <r>
    <x v="0"/>
    <s v="Austin"/>
    <s v="UT Austin"/>
    <s v="Mathematics"/>
    <s v="Master"/>
    <n v="2"/>
    <n v="45000"/>
    <n v="68.900000000000006"/>
    <n v="1600"/>
    <n v="160"/>
    <n v="1500"/>
    <n v="1"/>
    <n v="86560"/>
    <n v="43280"/>
    <n v="38400"/>
    <n v="41560"/>
    <n v="0.51987060998151569"/>
  </r>
  <r>
    <x v="1"/>
    <s v="Leeds"/>
    <s v="University of Leeds"/>
    <s v="Chemistry"/>
    <s v="PhD"/>
    <n v="4"/>
    <n v="35000"/>
    <n v="63.2"/>
    <n v="900"/>
    <n v="485"/>
    <n v="800"/>
    <n v="0.79"/>
    <n v="81885"/>
    <n v="20471.25"/>
    <n v="43200"/>
    <n v="46885"/>
    <n v="0.42742871099713015"/>
  </r>
  <r>
    <x v="4"/>
    <s v="Heidelberg"/>
    <s v="Heidelberg University"/>
    <s v="Physics"/>
    <s v="Bachelor"/>
    <n v="3"/>
    <n v="0"/>
    <n v="67.8"/>
    <n v="1000"/>
    <n v="110"/>
    <n v="900"/>
    <n v="0.92"/>
    <n v="38810"/>
    <n v="12936.666666666666"/>
    <n v="36000"/>
    <n v="38810"/>
    <n v="0"/>
  </r>
  <r>
    <x v="2"/>
    <s v="Halifax"/>
    <s v="Dalhousie University"/>
    <s v="Engineering"/>
    <s v="Master"/>
    <n v="2"/>
    <n v="36000"/>
    <n v="63.4"/>
    <n v="1000"/>
    <n v="235"/>
    <n v="750"/>
    <n v="1.35"/>
    <n v="61735"/>
    <n v="30867.5"/>
    <n v="24000"/>
    <n v="25735"/>
    <n v="0.58313760427634243"/>
  </r>
  <r>
    <x v="3"/>
    <s v="Gold Coast"/>
    <s v="Griffith University"/>
    <s v="Data Science"/>
    <s v="Master"/>
    <n v="2"/>
    <n v="29000"/>
    <n v="65.400000000000006"/>
    <n v="1100"/>
    <n v="450"/>
    <n v="650"/>
    <n v="1.52"/>
    <n v="57150"/>
    <n v="28575"/>
    <n v="26400"/>
    <n v="28150"/>
    <n v="0.50743657042869639"/>
  </r>
  <r>
    <x v="0"/>
    <s v="Seattle"/>
    <s v="University of Washington"/>
    <s v="Computer Science"/>
    <s v="PhD"/>
    <n v="5"/>
    <n v="50000"/>
    <n v="77.8"/>
    <n v="2000"/>
    <n v="160"/>
    <n v="1500"/>
    <n v="1"/>
    <n v="177660"/>
    <n v="35532"/>
    <n v="120000"/>
    <n v="127660"/>
    <n v="0.2814364516492176"/>
  </r>
  <r>
    <x v="1"/>
    <s v="Sheffield"/>
    <s v="University of Sheffield"/>
    <s v="Engineering"/>
    <s v="Master"/>
    <n v="2"/>
    <n v="33000"/>
    <n v="62.3"/>
    <n v="850"/>
    <n v="485"/>
    <n v="800"/>
    <n v="0.79"/>
    <n v="55485"/>
    <n v="27742.5"/>
    <n v="20400"/>
    <n v="22485"/>
    <n v="0.59475533928088675"/>
  </r>
  <r>
    <x v="4"/>
    <s v="Cologne"/>
    <s v="University of Cologne"/>
    <s v="Mathematics"/>
    <s v="Master"/>
    <n v="2"/>
    <n v="0"/>
    <n v="69.8"/>
    <n v="1200"/>
    <n v="110"/>
    <n v="900"/>
    <n v="0.92"/>
    <n v="30710"/>
    <n v="15355"/>
    <n v="28800"/>
    <n v="30710"/>
    <n v="0"/>
  </r>
  <r>
    <x v="2"/>
    <s v="Quebec City"/>
    <s v="Laval University"/>
    <s v="Physics"/>
    <s v="Bachelor"/>
    <n v="3"/>
    <n v="34000"/>
    <n v="62.1"/>
    <n v="900"/>
    <n v="235"/>
    <n v="750"/>
    <n v="1.35"/>
    <n v="68885"/>
    <n v="22961.666666666668"/>
    <n v="32400"/>
    <n v="34885"/>
    <n v="0.49357625027219276"/>
  </r>
  <r>
    <x v="3"/>
    <s v="Newcastle"/>
    <s v="University of Newcastle"/>
    <s v="Chemistry"/>
    <s v="Master"/>
    <n v="2"/>
    <n v="27000"/>
    <n v="63.2"/>
    <n v="950"/>
    <n v="450"/>
    <n v="650"/>
    <n v="1.52"/>
    <n v="51550"/>
    <n v="25775"/>
    <n v="22800"/>
    <n v="24550"/>
    <n v="0.52376333656644036"/>
  </r>
  <r>
    <x v="0"/>
    <s v="Pittsburgh"/>
    <s v="Carnegie Mellon"/>
    <s v="Data Science"/>
    <s v="Master"/>
    <n v="2"/>
    <n v="56000"/>
    <n v="65.400000000000006"/>
    <n v="1500"/>
    <n v="160"/>
    <n v="1500"/>
    <n v="1"/>
    <n v="95160"/>
    <n v="47580"/>
    <n v="36000"/>
    <n v="39160"/>
    <n v="0.58848255569567043"/>
  </r>
  <r>
    <x v="1"/>
    <s v="Nottingham"/>
    <s v="University of Nottingham"/>
    <s v="Computer Science"/>
    <s v="PhD"/>
    <n v="4"/>
    <n v="34000"/>
    <n v="61.2"/>
    <n v="800"/>
    <n v="485"/>
    <n v="800"/>
    <n v="0.79"/>
    <n v="76085"/>
    <n v="19021.25"/>
    <n v="38400"/>
    <n v="42085"/>
    <n v="0.44686863376486824"/>
  </r>
  <r>
    <x v="4"/>
    <s v="Bonn"/>
    <s v="University of Bonn"/>
    <s v="Engineering"/>
    <s v="Master"/>
    <n v="2"/>
    <n v="0"/>
    <n v="67.8"/>
    <n v="1100"/>
    <n v="110"/>
    <n v="900"/>
    <n v="0.92"/>
    <n v="28310"/>
    <n v="14155"/>
    <n v="26400"/>
    <n v="28310"/>
    <n v="0"/>
  </r>
  <r>
    <x v="2"/>
    <s v="Victoria"/>
    <s v="University of Victoria"/>
    <s v="Mathematics"/>
    <s v="Master"/>
    <n v="2"/>
    <n v="35000"/>
    <n v="64.5"/>
    <n v="1100"/>
    <n v="235"/>
    <n v="750"/>
    <n v="1.35"/>
    <n v="63135"/>
    <n v="31567.5"/>
    <n v="26400"/>
    <n v="28135"/>
    <n v="0.55436762493070402"/>
  </r>
  <r>
    <x v="3"/>
    <s v="Hobart"/>
    <s v="University of Tasmania"/>
    <s v="Physics"/>
    <s v="Bachelor"/>
    <n v="3"/>
    <n v="26000"/>
    <n v="62.1"/>
    <n v="900"/>
    <n v="450"/>
    <n v="650"/>
    <n v="1.52"/>
    <n v="60800"/>
    <n v="20266.666666666668"/>
    <n v="32400"/>
    <n v="34800"/>
    <n v="0.42763157894736842"/>
  </r>
  <r>
    <x v="0"/>
    <s v="San Diego"/>
    <s v="UC San Diego"/>
    <s v="Chemistry"/>
    <s v="PhD"/>
    <n v="5"/>
    <n v="49000"/>
    <n v="75.599999999999994"/>
    <n v="1900"/>
    <n v="160"/>
    <n v="1500"/>
    <n v="1"/>
    <n v="170660"/>
    <n v="34132"/>
    <n v="114000"/>
    <n v="121660"/>
    <n v="0.28712059064807222"/>
  </r>
  <r>
    <x v="1"/>
    <s v="Durham"/>
    <s v="Durham University"/>
    <s v="Engineering"/>
    <s v="Master"/>
    <n v="2"/>
    <n v="35000"/>
    <n v="63.4"/>
    <n v="900"/>
    <n v="485"/>
    <n v="800"/>
    <n v="0.79"/>
    <n v="58685"/>
    <n v="29342.5"/>
    <n v="21600"/>
    <n v="23685"/>
    <n v="0.59640453267444837"/>
  </r>
  <r>
    <x v="4"/>
    <s v="Aachen"/>
    <s v="RWTH Aachen"/>
    <s v="Computer Science"/>
    <s v="Bachelor"/>
    <n v="3"/>
    <n v="0"/>
    <n v="68.900000000000006"/>
    <n v="1000"/>
    <n v="110"/>
    <n v="900"/>
    <n v="0.92"/>
    <n v="38810"/>
    <n v="12936.666666666666"/>
    <n v="36000"/>
    <n v="38810"/>
    <n v="0"/>
  </r>
  <r>
    <x v="2"/>
    <s v="Winnipeg"/>
    <s v="University of Manitoba"/>
    <s v="Data Science"/>
    <s v="Master"/>
    <n v="2"/>
    <n v="33000"/>
    <n v="61.2"/>
    <n v="900"/>
    <n v="235"/>
    <n v="750"/>
    <n v="1.35"/>
    <n v="56335"/>
    <n v="28167.5"/>
    <n v="21600"/>
    <n v="23335"/>
    <n v="0.58578148575485933"/>
  </r>
  <r>
    <x v="3"/>
    <s v="Wollongong"/>
    <s v="University of Wollongong"/>
    <s v="Mathematics"/>
    <s v="PhD"/>
    <n v="4"/>
    <n v="28000"/>
    <n v="63.4"/>
    <n v="950"/>
    <n v="450"/>
    <n v="650"/>
    <n v="1.52"/>
    <n v="76650"/>
    <n v="19162.5"/>
    <n v="45600"/>
    <n v="48650"/>
    <n v="0.36529680365296802"/>
  </r>
  <r>
    <x v="0"/>
    <s v="San Francisco"/>
    <s v="UC Berkeley Extension"/>
    <s v="Data Science"/>
    <s v="Master"/>
    <n v="2"/>
    <n v="52000"/>
    <n v="95.2"/>
    <n v="2400"/>
    <n v="160"/>
    <n v="1500"/>
    <n v="1"/>
    <n v="112760"/>
    <n v="56380"/>
    <n v="57600"/>
    <n v="60760"/>
    <n v="0.46115643845335225"/>
  </r>
  <r>
    <x v="1"/>
    <s v="London"/>
    <s v="King's College London"/>
    <s v="Computer Science"/>
    <s v="Master"/>
    <n v="1"/>
    <n v="39000"/>
    <n v="75.3"/>
    <n v="1900"/>
    <n v="485"/>
    <n v="800"/>
    <n v="0.79"/>
    <n v="63085"/>
    <n v="63085"/>
    <n v="22800"/>
    <n v="24085"/>
    <n v="0.61821352143932784"/>
  </r>
  <r>
    <x v="9"/>
    <s v="Zurich"/>
    <s v="ETH Zurich"/>
    <s v="Computer Science"/>
    <s v="Master"/>
    <n v="2"/>
    <n v="1500"/>
    <n v="122.4"/>
    <n v="2000"/>
    <n v="140"/>
    <n v="1200"/>
    <n v="0.89"/>
    <n v="52040"/>
    <n v="26020"/>
    <n v="48000"/>
    <n v="50540"/>
    <n v="2.8823981552651805E-2"/>
  </r>
  <r>
    <x v="8"/>
    <s v="Paris"/>
    <s v="Sorbonne University"/>
    <s v="Data Analytics"/>
    <s v="Master"/>
    <n v="2"/>
    <n v="4500"/>
    <n v="84.3"/>
    <n v="1800"/>
    <n v="99"/>
    <n v="850"/>
    <n v="0.92"/>
    <n v="49499"/>
    <n v="24749.5"/>
    <n v="43200"/>
    <n v="44999"/>
    <n v="9.0910927493484714E-2"/>
  </r>
  <r>
    <x v="14"/>
    <s v="Dublin"/>
    <s v="Trinity College Dublin"/>
    <s v="Computer Science"/>
    <s v="PhD"/>
    <n v="4"/>
    <n v="18900"/>
    <n v="83.6"/>
    <n v="1700"/>
    <n v="150"/>
    <n v="750"/>
    <n v="0.92"/>
    <n v="103650"/>
    <n v="25912.5"/>
    <n v="81600"/>
    <n v="84750"/>
    <n v="0.18234442836468887"/>
  </r>
  <r>
    <x v="0"/>
    <s v="Chicago"/>
    <s v="University of Chicago"/>
    <s v="Data Science"/>
    <s v="Master"/>
    <n v="2"/>
    <n v="58000"/>
    <n v="84.1"/>
    <n v="1900"/>
    <n v="160"/>
    <n v="1500"/>
    <n v="1"/>
    <n v="106760"/>
    <n v="53380"/>
    <n v="45600"/>
    <n v="48760"/>
    <n v="0.54327463469464221"/>
  </r>
  <r>
    <x v="1"/>
    <s v="Cambridge"/>
    <s v="Anglia Ruskin University"/>
    <s v="Data Analytics"/>
    <s v="Bachelor"/>
    <n v="3"/>
    <n v="35000"/>
    <n v="71.2"/>
    <n v="1500"/>
    <n v="485"/>
    <n v="800"/>
    <n v="0.79"/>
    <n v="91885"/>
    <n v="30628.333333333332"/>
    <n v="54000"/>
    <n v="56885"/>
    <n v="0.38091092126027098"/>
  </r>
  <r>
    <x v="9"/>
    <s v="Lausanne"/>
    <s v="EPFL"/>
    <s v="Computer Science"/>
    <s v="PhD"/>
    <n v="4"/>
    <n v="1500"/>
    <n v="119.8"/>
    <n v="1900"/>
    <n v="140"/>
    <n v="1200"/>
    <n v="0.89"/>
    <n v="97640"/>
    <n v="24410"/>
    <n v="91200"/>
    <n v="96140"/>
    <n v="1.5362556329373207E-2"/>
  </r>
  <r>
    <x v="8"/>
    <s v="Lyon"/>
    <s v="University of Lyon"/>
    <s v="Data Science"/>
    <s v="Master"/>
    <n v="2"/>
    <n v="4200"/>
    <n v="75.599999999999994"/>
    <n v="1200"/>
    <n v="99"/>
    <n v="850"/>
    <n v="0.92"/>
    <n v="34799"/>
    <n v="17399.5"/>
    <n v="28800"/>
    <n v="30599"/>
    <n v="0.12069312336561396"/>
  </r>
  <r>
    <x v="14"/>
    <s v="Cork"/>
    <s v="University College Cork"/>
    <s v="Computer Science"/>
    <s v="Master"/>
    <n v="2"/>
    <n v="16800"/>
    <n v="75.400000000000006"/>
    <n v="1300"/>
    <n v="150"/>
    <n v="750"/>
    <n v="0.92"/>
    <n v="49650"/>
    <n v="24825"/>
    <n v="31200"/>
    <n v="32850"/>
    <n v="0.33836858006042297"/>
  </r>
  <r>
    <x v="0"/>
    <s v="Boston"/>
    <s v="Northeastern University"/>
    <s v="Data Analytics"/>
    <s v="Master"/>
    <n v="2"/>
    <n v="54000"/>
    <n v="82.1"/>
    <n v="2200"/>
    <n v="160"/>
    <n v="1500"/>
    <n v="1"/>
    <n v="109960"/>
    <n v="54980"/>
    <n v="52800"/>
    <n v="55960"/>
    <n v="0.49108766824299743"/>
  </r>
  <r>
    <x v="1"/>
    <s v="Edinburgh"/>
    <s v="Heriot-Watt University"/>
    <s v="Computer Science"/>
    <s v="Master"/>
    <n v="1"/>
    <n v="37000"/>
    <n v="67.8"/>
    <n v="1200"/>
    <n v="485"/>
    <n v="800"/>
    <n v="0.79"/>
    <n v="52685"/>
    <n v="52685"/>
    <n v="14400"/>
    <n v="15685"/>
    <n v="0.70228717851380851"/>
  </r>
  <r>
    <x v="9"/>
    <s v="Geneva"/>
    <s v="University of Geneva"/>
    <s v="Data Science"/>
    <s v="Master"/>
    <n v="2"/>
    <n v="1500"/>
    <n v="116.5"/>
    <n v="1800"/>
    <n v="140"/>
    <n v="1200"/>
    <n v="0.89"/>
    <n v="47240"/>
    <n v="23620"/>
    <n v="43200"/>
    <n v="45740"/>
    <n v="3.1752751905165112E-2"/>
  </r>
  <r>
    <x v="8"/>
    <s v="Toulouse"/>
    <s v="University of Toulouse"/>
    <s v="Computer Science"/>
    <s v="Bachelor"/>
    <n v="3"/>
    <n v="4000"/>
    <n v="71.2"/>
    <n v="900"/>
    <n v="99"/>
    <n v="850"/>
    <n v="0.92"/>
    <n v="39049"/>
    <n v="13016.333333333334"/>
    <n v="32400"/>
    <n v="35049"/>
    <n v="0.10243540167481882"/>
  </r>
  <r>
    <x v="14"/>
    <s v="Galway"/>
    <s v="NUI Galway"/>
    <s v="Data Analytics"/>
    <s v="Master"/>
    <n v="2"/>
    <n v="15900"/>
    <n v="72.3"/>
    <n v="1100"/>
    <n v="150"/>
    <n v="750"/>
    <n v="0.92"/>
    <n v="43950"/>
    <n v="21975"/>
    <n v="26400"/>
    <n v="28050"/>
    <n v="0.36177474402730375"/>
  </r>
  <r>
    <x v="0"/>
    <s v="Seattle"/>
    <s v="University of Washington"/>
    <s v="Data Science"/>
    <s v="PhD"/>
    <n v="4"/>
    <n v="51000"/>
    <n v="77.8"/>
    <n v="2100"/>
    <n v="160"/>
    <n v="1500"/>
    <n v="1"/>
    <n v="157960"/>
    <n v="39490"/>
    <n v="100800"/>
    <n v="106960"/>
    <n v="0.32286654849328944"/>
  </r>
  <r>
    <x v="1"/>
    <s v="Birmingham"/>
    <s v="University of Birmingham"/>
    <s v="Computer Science"/>
    <s v="Master"/>
    <n v="1"/>
    <n v="36000"/>
    <n v="65.400000000000006"/>
    <n v="1100"/>
    <n v="485"/>
    <n v="800"/>
    <n v="0.79"/>
    <n v="50485"/>
    <n v="50485"/>
    <n v="13200"/>
    <n v="14485"/>
    <n v="0.71308309398831338"/>
  </r>
  <r>
    <x v="9"/>
    <s v="Basel"/>
    <s v="University of Basel"/>
    <s v="Data Science"/>
    <s v="Master"/>
    <n v="2"/>
    <n v="1500"/>
    <n v="114.3"/>
    <n v="1700"/>
    <n v="140"/>
    <n v="1200"/>
    <n v="0.89"/>
    <n v="44840"/>
    <n v="22420"/>
    <n v="40800"/>
    <n v="43340"/>
    <n v="3.345227475468332E-2"/>
  </r>
  <r>
    <x v="8"/>
    <s v="Bordeaux"/>
    <s v="University of Bordeaux"/>
    <s v="Data Analytics"/>
    <s v="Master"/>
    <n v="2"/>
    <n v="4300"/>
    <n v="72.099999999999994"/>
    <n v="1000"/>
    <n v="99"/>
    <n v="850"/>
    <n v="0.92"/>
    <n v="30099"/>
    <n v="15049.5"/>
    <n v="24000"/>
    <n v="25799"/>
    <n v="0.14286188909930561"/>
  </r>
  <r>
    <x v="14"/>
    <s v="Limerick"/>
    <s v="University of Limerick"/>
    <s v="Computer Science"/>
    <s v="Bachelor"/>
    <n v="4"/>
    <n v="15400"/>
    <n v="71.2"/>
    <n v="1000"/>
    <n v="150"/>
    <n v="750"/>
    <n v="0.92"/>
    <n v="66550"/>
    <n v="16637.5"/>
    <n v="48000"/>
    <n v="51150"/>
    <n v="0.23140495867768596"/>
  </r>
  <r>
    <x v="0"/>
    <s v="Austin"/>
    <s v="UT Austin"/>
    <s v="Computer Science"/>
    <s v="Master"/>
    <n v="2"/>
    <n v="49000"/>
    <n v="68.900000000000006"/>
    <n v="1800"/>
    <n v="160"/>
    <n v="1500"/>
    <n v="1"/>
    <n v="95360"/>
    <n v="47680"/>
    <n v="43200"/>
    <n v="46360"/>
    <n v="0.51384228187919467"/>
  </r>
  <r>
    <x v="1"/>
    <s v="Manchester"/>
    <s v="University of Salford"/>
    <s v="Data Science"/>
    <s v="Master"/>
    <n v="1"/>
    <n v="35000"/>
    <n v="65.400000000000006"/>
    <n v="1000"/>
    <n v="485"/>
    <n v="800"/>
    <n v="0.79"/>
    <n v="48285"/>
    <n v="48285"/>
    <n v="12000"/>
    <n v="13285"/>
    <n v="0.72486279382831109"/>
  </r>
  <r>
    <x v="9"/>
    <s v="St. Gallen"/>
    <s v="University of St. Gallen"/>
    <s v="Data Analytics"/>
    <s v="Master"/>
    <n v="2"/>
    <n v="1500"/>
    <n v="112.1"/>
    <n v="1600"/>
    <n v="140"/>
    <n v="1200"/>
    <n v="0.89"/>
    <n v="42440"/>
    <n v="21220"/>
    <n v="38400"/>
    <n v="40940"/>
    <n v="3.5344015080113103E-2"/>
  </r>
  <r>
    <x v="8"/>
    <s v="Nice"/>
    <s v="University of Nice"/>
    <s v="Computer Science"/>
    <s v="Master"/>
    <n v="2"/>
    <n v="4100"/>
    <n v="76.5"/>
    <n v="1300"/>
    <n v="99"/>
    <n v="850"/>
    <n v="0.92"/>
    <n v="37099"/>
    <n v="18549.5"/>
    <n v="31200"/>
    <n v="32999"/>
    <n v="0.11051510822394135"/>
  </r>
  <r>
    <x v="14"/>
    <s v="Maynooth"/>
    <s v="Maynooth University"/>
    <s v="Data Science"/>
    <s v="PhD"/>
    <n v="4"/>
    <n v="14900"/>
    <n v="70.099999999999994"/>
    <n v="950"/>
    <n v="150"/>
    <n v="750"/>
    <n v="0.92"/>
    <n v="63650"/>
    <n v="15912.5"/>
    <n v="45600"/>
    <n v="48750"/>
    <n v="0.23409269442262373"/>
  </r>
  <r>
    <x v="0"/>
    <s v="Denver"/>
    <s v="University of Denver"/>
    <s v="Data Analytics"/>
    <s v="Master"/>
    <n v="2"/>
    <n v="47000"/>
    <n v="69.8"/>
    <n v="1700"/>
    <n v="160"/>
    <n v="1500"/>
    <n v="1"/>
    <n v="90960"/>
    <n v="45480"/>
    <n v="40800"/>
    <n v="43960"/>
    <n v="0.51671064204045736"/>
  </r>
  <r>
    <x v="1"/>
    <s v="Leeds"/>
    <s v="Leeds Beckett University"/>
    <s v="Computer Science"/>
    <s v="Bachelor"/>
    <n v="3"/>
    <n v="34000"/>
    <n v="63.2"/>
    <n v="900"/>
    <n v="485"/>
    <n v="800"/>
    <n v="0.79"/>
    <n v="69285"/>
    <n v="23095"/>
    <n v="32400"/>
    <n v="35285"/>
    <n v="0.49072670852276828"/>
  </r>
  <r>
    <x v="9"/>
    <s v="Bern"/>
    <s v="University of Bern"/>
    <s v="Data Science"/>
    <s v="Master"/>
    <n v="2"/>
    <n v="1500"/>
    <n v="110.4"/>
    <n v="1500"/>
    <n v="140"/>
    <n v="1200"/>
    <n v="0.89"/>
    <n v="40040"/>
    <n v="20020"/>
    <n v="36000"/>
    <n v="38540"/>
    <n v="3.7462537462537464E-2"/>
  </r>
  <r>
    <x v="8"/>
    <s v="Lille"/>
    <s v="University of Lille"/>
    <s v="Data Analytics"/>
    <s v="PhD"/>
    <n v="4"/>
    <n v="4200"/>
    <n v="69.8"/>
    <n v="950"/>
    <n v="99"/>
    <n v="850"/>
    <n v="0.92"/>
    <n v="53299"/>
    <n v="13324.75"/>
    <n v="45600"/>
    <n v="49099"/>
    <n v="7.8800727968629802E-2"/>
  </r>
  <r>
    <x v="14"/>
    <s v="Waterford"/>
    <s v="Waterford IT"/>
    <s v="Computer Science"/>
    <s v="Master"/>
    <n v="2"/>
    <n v="14500"/>
    <n v="68.900000000000006"/>
    <n v="900"/>
    <n v="150"/>
    <n v="750"/>
    <n v="0.92"/>
    <n v="37750"/>
    <n v="18875"/>
    <n v="21600"/>
    <n v="23250"/>
    <n v="0.38410596026490068"/>
  </r>
  <r>
    <x v="0"/>
    <s v="Portland"/>
    <s v="Portland State University"/>
    <s v="Data Science"/>
    <s v="Master"/>
    <n v="2"/>
    <n v="45000"/>
    <n v="71.2"/>
    <n v="1600"/>
    <n v="160"/>
    <n v="1500"/>
    <n v="1"/>
    <n v="86560"/>
    <n v="43280"/>
    <n v="38400"/>
    <n v="41560"/>
    <n v="0.51987060998151569"/>
  </r>
  <r>
    <x v="1"/>
    <s v="Bristol"/>
    <s v="UWE Bristol"/>
    <s v="Computer Science"/>
    <s v="Master"/>
    <n v="1"/>
    <n v="33000"/>
    <n v="68.900000000000006"/>
    <n v="1100"/>
    <n v="485"/>
    <n v="800"/>
    <n v="0.79"/>
    <n v="47485"/>
    <n v="47485"/>
    <n v="13200"/>
    <n v="14485"/>
    <n v="0.69495630199010217"/>
  </r>
  <r>
    <x v="9"/>
    <s v="Lugano"/>
    <s v="USI Lugano"/>
    <s v="Data Analytics"/>
    <s v="Master"/>
    <n v="2"/>
    <n v="1500"/>
    <n v="108.9"/>
    <n v="1400"/>
    <n v="140"/>
    <n v="1200"/>
    <n v="0.89"/>
    <n v="37640"/>
    <n v="18820"/>
    <n v="33600"/>
    <n v="36140"/>
    <n v="3.9851222104144525E-2"/>
  </r>
  <r>
    <x v="8"/>
    <s v="Strasbourg"/>
    <s v="University of Strasbourg"/>
    <s v="Computer Science"/>
    <s v="Master"/>
    <n v="2"/>
    <n v="4000"/>
    <n v="70.2"/>
    <n v="1000"/>
    <n v="99"/>
    <n v="850"/>
    <n v="0.92"/>
    <n v="29799"/>
    <n v="14899.5"/>
    <n v="24000"/>
    <n v="25799"/>
    <n v="0.13423269237222726"/>
  </r>
  <r>
    <x v="14"/>
    <s v="Sligo"/>
    <s v="IT Sligo"/>
    <s v="Data Science"/>
    <s v="Bachelor"/>
    <n v="4"/>
    <n v="14000"/>
    <n v="67.5"/>
    <n v="850"/>
    <n v="150"/>
    <n v="750"/>
    <n v="0.92"/>
    <n v="57950"/>
    <n v="14487.5"/>
    <n v="40800"/>
    <n v="43950"/>
    <n v="0.24158757549611734"/>
  </r>
  <r>
    <x v="0"/>
    <s v="Minneapolis"/>
    <s v="University of Minnesota"/>
    <s v="Computer Science"/>
    <s v="PhD"/>
    <n v="4"/>
    <n v="48000"/>
    <n v="72.3"/>
    <n v="1700"/>
    <n v="160"/>
    <n v="1500"/>
    <n v="1"/>
    <n v="135760"/>
    <n v="33940"/>
    <n v="81600"/>
    <n v="87760"/>
    <n v="0.35356511490866233"/>
  </r>
  <r>
    <x v="1"/>
    <s v="Cardiff"/>
    <s v="Cardiff University"/>
    <s v="Data Analytics"/>
    <s v="Master"/>
    <n v="1"/>
    <n v="34000"/>
    <n v="64.5"/>
    <n v="950"/>
    <n v="485"/>
    <n v="800"/>
    <n v="0.79"/>
    <n v="46685"/>
    <n v="46685"/>
    <n v="11400"/>
    <n v="12685"/>
    <n v="0.72828531648281036"/>
  </r>
  <r>
    <x v="9"/>
    <s v="Fribourg"/>
    <s v="University of Fribourg"/>
    <s v="Computer Science"/>
    <s v="Master"/>
    <n v="2"/>
    <n v="1500"/>
    <n v="107.8"/>
    <n v="1300"/>
    <n v="140"/>
    <n v="1200"/>
    <n v="0.89"/>
    <n v="35240"/>
    <n v="17620"/>
    <n v="31200"/>
    <n v="33740"/>
    <n v="4.2565266742338251E-2"/>
  </r>
  <r>
    <x v="8"/>
    <s v="Grenoble"/>
    <s v="Grenoble INP"/>
    <s v="Data Science"/>
    <s v="Master"/>
    <n v="2"/>
    <n v="4100"/>
    <n v="71.5"/>
    <n v="1100"/>
    <n v="99"/>
    <n v="850"/>
    <n v="0.92"/>
    <n v="32299"/>
    <n v="16149.5"/>
    <n v="26400"/>
    <n v="28199"/>
    <n v="0.12693891451747732"/>
  </r>
  <r>
    <x v="14"/>
    <s v="Athlone"/>
    <s v="Athlone IT"/>
    <s v="Data Analytics"/>
    <s v="Master"/>
    <n v="2"/>
    <n v="13800"/>
    <n v="66.7"/>
    <n v="800"/>
    <n v="150"/>
    <n v="750"/>
    <n v="0.92"/>
    <n v="34650"/>
    <n v="17325"/>
    <n v="19200"/>
    <n v="20850"/>
    <n v="0.39826839826839827"/>
  </r>
  <r>
    <x v="29"/>
    <s v="Oslo"/>
    <s v="University of Oslo"/>
    <s v="Computer Science"/>
    <s v="Master"/>
    <n v="2"/>
    <n v="0"/>
    <n v="83.2"/>
    <n v="1400"/>
    <n v="275"/>
    <n v="700"/>
    <n v="10.45"/>
    <n v="35275"/>
    <n v="17637.5"/>
    <n v="33600"/>
    <n v="35275"/>
    <n v="0"/>
  </r>
  <r>
    <x v="28"/>
    <s v="Helsinki"/>
    <s v="University of Helsinki"/>
    <s v="Data Science"/>
    <s v="Master"/>
    <n v="2"/>
    <n v="0"/>
    <n v="79.400000000000006"/>
    <n v="1200"/>
    <n v="350"/>
    <n v="650"/>
    <n v="0.92"/>
    <n v="30450"/>
    <n v="15225"/>
    <n v="28800"/>
    <n v="30450"/>
    <n v="0"/>
  </r>
  <r>
    <x v="4"/>
    <s v="Berlin"/>
    <s v="Technical University Berlin"/>
    <s v="Mechanical Engineering"/>
    <s v="Master"/>
    <n v="2"/>
    <n v="0"/>
    <n v="68.900000000000006"/>
    <n v="1100"/>
    <n v="110"/>
    <n v="900"/>
    <n v="0.92"/>
    <n v="28310"/>
    <n v="14155"/>
    <n v="26400"/>
    <n v="28310"/>
    <n v="0"/>
  </r>
  <r>
    <x v="11"/>
    <s v="Copenhagen"/>
    <s v="University of Copenhagen"/>
    <s v="Physics"/>
    <s v="PhD"/>
    <n v="4"/>
    <n v="0"/>
    <n v="82.1"/>
    <n v="1500"/>
    <n v="450"/>
    <n v="800"/>
    <n v="7.45"/>
    <n v="75650"/>
    <n v="18912.5"/>
    <n v="72000"/>
    <n v="75650"/>
    <n v="0"/>
  </r>
  <r>
    <x v="29"/>
    <s v="Trondheim"/>
    <s v="NTNU"/>
    <s v="Robotics"/>
    <s v="Master"/>
    <n v="2"/>
    <n v="0"/>
    <n v="75.599999999999994"/>
    <n v="1100"/>
    <n v="275"/>
    <n v="700"/>
    <n v="10.45"/>
    <n v="28075"/>
    <n v="14037.5"/>
    <n v="26400"/>
    <n v="28075"/>
    <n v="0"/>
  </r>
  <r>
    <x v="28"/>
    <s v="Espoo"/>
    <s v="Aalto University"/>
    <s v="Computer Engineering"/>
    <s v="Bachelor"/>
    <n v="3"/>
    <n v="0"/>
    <n v="77.8"/>
    <n v="1000"/>
    <n v="350"/>
    <n v="650"/>
    <n v="0.92"/>
    <n v="38300"/>
    <n v="12766.666666666666"/>
    <n v="36000"/>
    <n v="38300"/>
    <n v="0"/>
  </r>
  <r>
    <x v="4"/>
    <s v="Munich"/>
    <s v="LMU Munich"/>
    <s v="Mathematics"/>
    <s v="PhD"/>
    <n v="4"/>
    <n v="0"/>
    <n v="71.5"/>
    <n v="1300"/>
    <n v="110"/>
    <n v="900"/>
    <n v="0.92"/>
    <n v="66110"/>
    <n v="16527.5"/>
    <n v="62400"/>
    <n v="66110"/>
    <n v="0"/>
  </r>
  <r>
    <x v="11"/>
    <s v="Aarhus"/>
    <s v="Aarhus University"/>
    <s v="Data Analytics"/>
    <s v="Master"/>
    <n v="2"/>
    <n v="0"/>
    <n v="76.5"/>
    <n v="1200"/>
    <n v="450"/>
    <n v="800"/>
    <n v="7.45"/>
    <n v="30850"/>
    <n v="15425"/>
    <n v="28800"/>
    <n v="30850"/>
    <n v="0"/>
  </r>
  <r>
    <x v="29"/>
    <s v="Bergen"/>
    <s v="University of Bergen"/>
    <s v="Artificial Intelligence"/>
    <s v="Master"/>
    <n v="2"/>
    <n v="0"/>
    <n v="74.3"/>
    <n v="1200"/>
    <n v="275"/>
    <n v="700"/>
    <n v="10.45"/>
    <n v="30475"/>
    <n v="15237.5"/>
    <n v="28800"/>
    <n v="30475"/>
    <n v="0"/>
  </r>
  <r>
    <x v="28"/>
    <s v="Tampere"/>
    <s v="Tampere University"/>
    <s v="Software Engineering"/>
    <s v="Master"/>
    <n v="2"/>
    <n v="0"/>
    <n v="72.099999999999994"/>
    <n v="900"/>
    <n v="350"/>
    <n v="650"/>
    <n v="0.92"/>
    <n v="23250"/>
    <n v="11625"/>
    <n v="21600"/>
    <n v="23250"/>
    <n v="0"/>
  </r>
  <r>
    <x v="4"/>
    <s v="Dresden"/>
    <s v="TU Dresden"/>
    <s v="Computer Science"/>
    <s v="Bachelor"/>
    <n v="3"/>
    <n v="0"/>
    <n v="65.400000000000006"/>
    <n v="900"/>
    <n v="110"/>
    <n v="900"/>
    <n v="0.92"/>
    <n v="35210"/>
    <n v="11736.666666666666"/>
    <n v="32400"/>
    <n v="35210"/>
    <n v="0"/>
  </r>
  <r>
    <x v="11"/>
    <s v="Odense"/>
    <s v="University of Southern Denmark"/>
    <s v="Biotechnology"/>
    <s v="Master"/>
    <n v="2"/>
    <n v="0"/>
    <n v="73.2"/>
    <n v="1100"/>
    <n v="450"/>
    <n v="800"/>
    <n v="7.45"/>
    <n v="28450"/>
    <n v="14225"/>
    <n v="26400"/>
    <n v="28450"/>
    <n v="0"/>
  </r>
  <r>
    <x v="29"/>
    <s v="TromsÃ¸"/>
    <s v="UiT Arctic University"/>
    <s v="Marine Technology"/>
    <s v="PhD"/>
    <n v="4"/>
    <n v="0"/>
    <n v="71.2"/>
    <n v="1000"/>
    <n v="275"/>
    <n v="700"/>
    <n v="10.45"/>
    <n v="51075"/>
    <n v="12768.75"/>
    <n v="48000"/>
    <n v="51075"/>
    <n v="0"/>
  </r>
  <r>
    <x v="28"/>
    <s v="Turku"/>
    <s v="University of Turku"/>
    <s v="Bioinformatics"/>
    <s v="Master"/>
    <n v="2"/>
    <n v="0"/>
    <n v="71.8"/>
    <n v="850"/>
    <n v="350"/>
    <n v="650"/>
    <n v="0.92"/>
    <n v="22050"/>
    <n v="11025"/>
    <n v="20400"/>
    <n v="22050"/>
    <n v="0"/>
  </r>
  <r>
    <x v="4"/>
    <s v="Hamburg"/>
    <s v="TU Hamburg"/>
    <s v="Electrical Engineering"/>
    <s v="Master"/>
    <n v="2"/>
    <n v="0"/>
    <n v="69.8"/>
    <n v="1200"/>
    <n v="110"/>
    <n v="900"/>
    <n v="0.92"/>
    <n v="30710"/>
    <n v="15355"/>
    <n v="28800"/>
    <n v="30710"/>
    <n v="0"/>
  </r>
  <r>
    <x v="11"/>
    <s v="Aalborg"/>
    <s v="Aalborg University"/>
    <s v="Energy Engineering"/>
    <s v="Bachelor"/>
    <n v="3"/>
    <n v="0"/>
    <n v="71.5"/>
    <n v="1000"/>
    <n v="450"/>
    <n v="800"/>
    <n v="7.45"/>
    <n v="38850"/>
    <n v="12950"/>
    <n v="36000"/>
    <n v="38850"/>
    <n v="0"/>
  </r>
  <r>
    <x v="29"/>
    <s v="Stavanger"/>
    <s v="University of Stavanger"/>
    <s v="Petroleum Engineering"/>
    <s v="Master"/>
    <n v="2"/>
    <n v="0"/>
    <n v="72.400000000000006"/>
    <n v="1100"/>
    <n v="275"/>
    <n v="700"/>
    <n v="10.45"/>
    <n v="28075"/>
    <n v="14037.5"/>
    <n v="26400"/>
    <n v="28075"/>
    <n v="0"/>
  </r>
  <r>
    <x v="28"/>
    <s v="Oulu"/>
    <s v="University of Oulu"/>
    <s v="Computer Science"/>
    <s v="PhD"/>
    <n v="4"/>
    <n v="0"/>
    <n v="70.2"/>
    <n v="800"/>
    <n v="350"/>
    <n v="650"/>
    <n v="0.92"/>
    <n v="41350"/>
    <n v="10337.5"/>
    <n v="38400"/>
    <n v="41350"/>
    <n v="0"/>
  </r>
  <r>
    <x v="4"/>
    <s v="Stuttgart"/>
    <s v="University of Stuttgart"/>
    <s v="Aerospace Engineering"/>
    <s v="Master"/>
    <n v="2"/>
    <n v="0"/>
    <n v="68.7"/>
    <n v="1100"/>
    <n v="110"/>
    <n v="900"/>
    <n v="0.92"/>
    <n v="28310"/>
    <n v="14155"/>
    <n v="26400"/>
    <n v="28310"/>
    <n v="0"/>
  </r>
  <r>
    <x v="11"/>
    <s v="Roskilde"/>
    <s v="Roskilde University"/>
    <s v="Environmental Science"/>
    <s v="Master"/>
    <n v="2"/>
    <n v="0"/>
    <n v="70.8"/>
    <n v="1000"/>
    <n v="450"/>
    <n v="800"/>
    <n v="7.45"/>
    <n v="26050"/>
    <n v="13025"/>
    <n v="24000"/>
    <n v="26050"/>
    <n v="0"/>
  </r>
  <r>
    <x v="29"/>
    <s v="Ã…s"/>
    <s v="Norwegian University of Life Sciences"/>
    <s v="Biotechnology"/>
    <s v="Master"/>
    <n v="2"/>
    <n v="0"/>
    <n v="70.5"/>
    <n v="900"/>
    <n v="275"/>
    <n v="700"/>
    <n v="10.45"/>
    <n v="23275"/>
    <n v="11637.5"/>
    <n v="21600"/>
    <n v="23275"/>
    <n v="0"/>
  </r>
  <r>
    <x v="28"/>
    <s v="Vaasa"/>
    <s v="University of Vaasa"/>
    <s v="Industrial Management"/>
    <s v="Master"/>
    <n v="2"/>
    <n v="0"/>
    <n v="69.8"/>
    <n v="800"/>
    <n v="350"/>
    <n v="650"/>
    <n v="0.92"/>
    <n v="20850"/>
    <n v="10425"/>
    <n v="19200"/>
    <n v="20850"/>
    <n v="0"/>
  </r>
  <r>
    <x v="4"/>
    <s v="Karlsruhe"/>
    <s v="KIT"/>
    <s v="Mechatronics"/>
    <s v="PhD"/>
    <n v="4"/>
    <n v="0"/>
    <n v="67.900000000000006"/>
    <n v="1000"/>
    <n v="110"/>
    <n v="900"/>
    <n v="0.92"/>
    <n v="51710"/>
    <n v="12927.5"/>
    <n v="48000"/>
    <n v="51710"/>
    <n v="0"/>
  </r>
  <r>
    <x v="11"/>
    <s v="Lyngby"/>
    <s v="Technical University of Denmark"/>
    <s v="Quantum Engineering"/>
    <s v="Master"/>
    <n v="2"/>
    <n v="0"/>
    <n v="81.2"/>
    <n v="1400"/>
    <n v="450"/>
    <n v="800"/>
    <n v="7.45"/>
    <n v="35650"/>
    <n v="17825"/>
    <n v="33600"/>
    <n v="35650"/>
    <n v="0"/>
  </r>
  <r>
    <x v="29"/>
    <s v="BodÃ¸"/>
    <s v="Nord University"/>
    <s v="Marine Biology"/>
    <s v="Bachelor"/>
    <n v="3"/>
    <n v="0"/>
    <n v="69.400000000000006"/>
    <n v="850"/>
    <n v="275"/>
    <n v="700"/>
    <n v="10.45"/>
    <n v="32975"/>
    <n v="10991.666666666666"/>
    <n v="30600"/>
    <n v="32975"/>
    <n v="0"/>
  </r>
  <r>
    <x v="28"/>
    <s v="JyvÃ¤skylÃ¤"/>
    <s v="University of JyvÃ¤skylÃ¤"/>
    <s v="Data Science"/>
    <s v="Master"/>
    <n v="2"/>
    <n v="0"/>
    <n v="68.7"/>
    <n v="750"/>
    <n v="350"/>
    <n v="650"/>
    <n v="0.92"/>
    <n v="19650"/>
    <n v="9825"/>
    <n v="18000"/>
    <n v="19650"/>
    <n v="0"/>
  </r>
  <r>
    <x v="4"/>
    <s v="Darmstadt"/>
    <s v="TU Darmstadt"/>
    <s v="Computer Engineering"/>
    <s v="Master"/>
    <n v="2"/>
    <n v="0"/>
    <n v="66.8"/>
    <n v="950"/>
    <n v="110"/>
    <n v="900"/>
    <n v="0.92"/>
    <n v="24710"/>
    <n v="12355"/>
    <n v="22800"/>
    <n v="24710"/>
    <n v="0"/>
  </r>
  <r>
    <x v="11"/>
    <s v="Kolding"/>
    <s v="University of Southern Denmark"/>
    <s v="Software Engineering"/>
    <s v="PhD"/>
    <n v="4"/>
    <n v="0"/>
    <n v="69.5"/>
    <n v="900"/>
    <n v="450"/>
    <n v="800"/>
    <n v="7.45"/>
    <n v="46850"/>
    <n v="11712.5"/>
    <n v="43200"/>
    <n v="46850"/>
    <n v="0"/>
  </r>
  <r>
    <x v="29"/>
    <s v="GjÃ¸vik"/>
    <s v="NTNU GjÃ¸vik"/>
    <s v="Information Security"/>
    <s v="Master"/>
    <n v="2"/>
    <n v="0"/>
    <n v="68.900000000000006"/>
    <n v="800"/>
    <n v="275"/>
    <n v="700"/>
    <n v="10.45"/>
    <n v="20875"/>
    <n v="10437.5"/>
    <n v="19200"/>
    <n v="20875"/>
    <n v="0"/>
  </r>
  <r>
    <x v="28"/>
    <s v="Lappeenranta"/>
    <s v="LUT University"/>
    <s v="Industrial Engineering"/>
    <s v="Master"/>
    <n v="2"/>
    <n v="0"/>
    <n v="67.5"/>
    <n v="700"/>
    <n v="350"/>
    <n v="650"/>
    <n v="0.92"/>
    <n v="18450"/>
    <n v="9225"/>
    <n v="16800"/>
    <n v="18450"/>
    <n v="0"/>
  </r>
  <r>
    <x v="4"/>
    <s v="Bremen"/>
    <s v="University of Bremen"/>
    <s v="Robotics"/>
    <s v="Master"/>
    <n v="2"/>
    <n v="0"/>
    <n v="66.5"/>
    <n v="900"/>
    <n v="110"/>
    <n v="900"/>
    <n v="0.92"/>
    <n v="23510"/>
    <n v="11755"/>
    <n v="21600"/>
    <n v="23510"/>
    <n v="0"/>
  </r>
  <r>
    <x v="11"/>
    <s v="Esbjerg"/>
    <s v="University of Southern Denmark"/>
    <s v="Environmental Engineering"/>
    <s v="Master"/>
    <n v="2"/>
    <n v="0"/>
    <n v="68.400000000000006"/>
    <n v="850"/>
    <n v="450"/>
    <n v="800"/>
    <n v="7.45"/>
    <n v="22450"/>
    <n v="11225"/>
    <n v="20400"/>
    <n v="22450"/>
    <n v="0"/>
  </r>
  <r>
    <x v="29"/>
    <s v="Kristiansand"/>
    <s v="University of Agder"/>
    <s v="Renewable Energy"/>
    <s v="PhD"/>
    <n v="4"/>
    <n v="0"/>
    <n v="67.8"/>
    <n v="850"/>
    <n v="275"/>
    <n v="700"/>
    <n v="10.45"/>
    <n v="43875"/>
    <n v="10968.75"/>
    <n v="40800"/>
    <n v="43875"/>
    <n v="0"/>
  </r>
  <r>
    <x v="28"/>
    <s v="Kuopio"/>
    <s v="University of Eastern Finland"/>
    <s v="Environmental Science"/>
    <s v="Bachelor"/>
    <n v="3"/>
    <n v="0"/>
    <n v="66.900000000000006"/>
    <n v="700"/>
    <n v="350"/>
    <n v="650"/>
    <n v="0.92"/>
    <n v="27500"/>
    <n v="9166.6666666666661"/>
    <n v="25200"/>
    <n v="27500"/>
    <n v="0"/>
  </r>
  <r>
    <x v="4"/>
    <s v="Aachen"/>
    <s v="RWTH Aachen"/>
    <s v="Materials Science"/>
    <s v="Master"/>
    <n v="2"/>
    <n v="0"/>
    <n v="68.900000000000006"/>
    <n v="1000"/>
    <n v="110"/>
    <n v="900"/>
    <n v="0.92"/>
    <n v="25910"/>
    <n v="12955"/>
    <n v="24000"/>
    <n v="25910"/>
    <n v="0"/>
  </r>
  <r>
    <x v="11"/>
    <s v="Slagelse"/>
    <s v="University of Copenhagen"/>
    <s v="Bioinformatics"/>
    <s v="Master"/>
    <n v="2"/>
    <n v="0"/>
    <n v="67.5"/>
    <n v="900"/>
    <n v="450"/>
    <n v="800"/>
    <n v="7.45"/>
    <n v="23650"/>
    <n v="11825"/>
    <n v="21600"/>
    <n v="23650"/>
    <n v="0"/>
  </r>
  <r>
    <x v="29"/>
    <s v="Horten"/>
    <s v="University of South-Eastern Norway"/>
    <s v="Systems Engineering"/>
    <s v="Master"/>
    <n v="2"/>
    <n v="0"/>
    <n v="66.7"/>
    <n v="800"/>
    <n v="275"/>
    <n v="700"/>
    <n v="10.45"/>
    <n v="20875"/>
    <n v="10437.5"/>
    <n v="19200"/>
    <n v="20875"/>
    <n v="0"/>
  </r>
  <r>
    <x v="28"/>
    <s v="Joensuu"/>
    <s v="University of Eastern Finland"/>
    <s v="Forestry Sciences"/>
    <s v="PhD"/>
    <n v="4"/>
    <n v="0"/>
    <n v="65.8"/>
    <n v="650"/>
    <n v="350"/>
    <n v="650"/>
    <n v="0.92"/>
    <n v="34150"/>
    <n v="8537.5"/>
    <n v="31200"/>
    <n v="34150"/>
    <n v="0"/>
  </r>
  <r>
    <x v="4"/>
    <s v="Jena"/>
    <s v="University of Jena"/>
    <s v="Photonics"/>
    <s v="Master"/>
    <n v="2"/>
    <n v="0"/>
    <n v="65.400000000000006"/>
    <n v="850"/>
    <n v="110"/>
    <n v="900"/>
    <n v="0.92"/>
    <n v="22310"/>
    <n v="11155"/>
    <n v="20400"/>
    <n v="22310"/>
    <n v="0"/>
  </r>
  <r>
    <x v="11"/>
    <s v="Herning"/>
    <s v="Aarhus University"/>
    <s v="Engineering Management"/>
    <s v="Master"/>
    <n v="2"/>
    <n v="0"/>
    <n v="66.2"/>
    <n v="800"/>
    <n v="450"/>
    <n v="800"/>
    <n v="7.45"/>
    <n v="21250"/>
    <n v="10625"/>
    <n v="19200"/>
    <n v="21250"/>
    <n v="0"/>
  </r>
  <r>
    <x v="15"/>
    <s v="Auckland"/>
    <s v="University of Auckland"/>
    <s v="Computer Science"/>
    <s v="Master"/>
    <n v="2"/>
    <n v="32000"/>
    <n v="79.5"/>
    <n v="1200"/>
    <n v="330"/>
    <n v="600"/>
    <n v="1.65"/>
    <n v="62330"/>
    <n v="31165"/>
    <n v="28800"/>
    <n v="30330"/>
    <n v="0.51339643831220916"/>
  </r>
  <r>
    <x v="0"/>
    <s v="Boston"/>
    <s v="Northeastern University"/>
    <s v="Data Science"/>
    <s v="Master"/>
    <n v="2"/>
    <n v="54000"/>
    <n v="82.1"/>
    <n v="2000"/>
    <n v="160"/>
    <n v="1500"/>
    <n v="1"/>
    <n v="105160"/>
    <n v="52580"/>
    <n v="48000"/>
    <n v="51160"/>
    <n v="0.5135032331685051"/>
  </r>
  <r>
    <x v="10"/>
    <s v="Stockholm"/>
    <s v="KTH Royal Institute"/>
    <s v="Engineering Physics"/>
    <s v="Master"/>
    <n v="2"/>
    <n v="0"/>
    <n v="78.400000000000006"/>
    <n v="1100"/>
    <n v="120"/>
    <n v="750"/>
    <n v="10.45"/>
    <n v="28020"/>
    <n v="14010"/>
    <n v="26400"/>
    <n v="28020"/>
    <n v="0"/>
  </r>
  <r>
    <x v="6"/>
    <s v="Amsterdam"/>
    <s v="University of Amsterdam"/>
    <s v="Artificial Intelligence"/>
    <s v="PhD"/>
    <n v="4"/>
    <n v="15000"/>
    <n v="81.2"/>
    <n v="1300"/>
    <n v="171"/>
    <n v="720"/>
    <n v="0.92"/>
    <n v="80451"/>
    <n v="20112.75"/>
    <n v="62400"/>
    <n v="65451"/>
    <n v="0.18644889435805645"/>
  </r>
  <r>
    <x v="19"/>
    <s v="Lisbon"/>
    <s v="University of Lisbon"/>
    <s v="Computer Engineering"/>
    <s v="Master"/>
    <n v="2"/>
    <n v="7000"/>
    <n v="65.8"/>
    <n v="800"/>
    <n v="75"/>
    <n v="400"/>
    <n v="0.92"/>
    <n v="27075"/>
    <n v="13537.5"/>
    <n v="19200"/>
    <n v="20075"/>
    <n v="0.25854108956602029"/>
  </r>
  <r>
    <x v="15"/>
    <s v="Wellington"/>
    <s v="Victoria University"/>
    <s v="Data Analytics"/>
    <s v="Master"/>
    <n v="2"/>
    <n v="30000"/>
    <n v="75.599999999999994"/>
    <n v="1100"/>
    <n v="330"/>
    <n v="600"/>
    <n v="1.65"/>
    <n v="57930"/>
    <n v="28965"/>
    <n v="26400"/>
    <n v="27930"/>
    <n v="0.51786639047125838"/>
  </r>
  <r>
    <x v="0"/>
    <s v="Austin"/>
    <s v="UT Austin"/>
    <s v="Robotics"/>
    <s v="PhD"/>
    <n v="5"/>
    <n v="48000"/>
    <n v="68.900000000000006"/>
    <n v="1600"/>
    <n v="160"/>
    <n v="1500"/>
    <n v="1"/>
    <n v="151660"/>
    <n v="30332"/>
    <n v="96000"/>
    <n v="103660"/>
    <n v="0.31649742845839379"/>
  </r>
  <r>
    <x v="10"/>
    <s v="Uppsala"/>
    <s v="Uppsala University"/>
    <s v="Mathematics"/>
    <s v="Bachelor"/>
    <n v="3"/>
    <n v="0"/>
    <n v="72.3"/>
    <n v="900"/>
    <n v="120"/>
    <n v="750"/>
    <n v="10.45"/>
    <n v="34770"/>
    <n v="11590"/>
    <n v="32400"/>
    <n v="34770"/>
    <n v="0"/>
  </r>
  <r>
    <x v="6"/>
    <s v="Rotterdam"/>
    <s v="Erasmus University"/>
    <s v="Business Analytics"/>
    <s v="Master"/>
    <n v="2"/>
    <n v="14500"/>
    <n v="77.8"/>
    <n v="1200"/>
    <n v="171"/>
    <n v="720"/>
    <n v="0.92"/>
    <n v="44911"/>
    <n v="22455.5"/>
    <n v="28800"/>
    <n v="30411"/>
    <n v="0.3228607690766182"/>
  </r>
  <r>
    <x v="19"/>
    <s v="Porto"/>
    <s v="University of Porto"/>
    <s v="Software Engineering"/>
    <s v="Master"/>
    <n v="2"/>
    <n v="6500"/>
    <n v="62.4"/>
    <n v="700"/>
    <n v="75"/>
    <n v="400"/>
    <n v="0.92"/>
    <n v="24175"/>
    <n v="12087.5"/>
    <n v="16800"/>
    <n v="17675"/>
    <n v="0.26887280248190282"/>
  </r>
  <r>
    <x v="15"/>
    <s v="Christchurch"/>
    <s v="University of Canterbury"/>
    <s v="Mechanical Engineering"/>
    <s v="PhD"/>
    <n v="4"/>
    <n v="31000"/>
    <n v="72.400000000000006"/>
    <n v="950"/>
    <n v="330"/>
    <n v="600"/>
    <n v="1.65"/>
    <n v="79330"/>
    <n v="19832.5"/>
    <n v="45600"/>
    <n v="48330"/>
    <n v="0.39077272154292197"/>
  </r>
  <r>
    <x v="0"/>
    <s v="San Diego"/>
    <s v="UC San Diego"/>
    <s v="Biotechnology"/>
    <s v="Master"/>
    <n v="2"/>
    <n v="49000"/>
    <n v="75.599999999999994"/>
    <n v="1900"/>
    <n v="160"/>
    <n v="1500"/>
    <n v="1"/>
    <n v="97760"/>
    <n v="48880"/>
    <n v="45600"/>
    <n v="48760"/>
    <n v="0.50122749590834692"/>
  </r>
  <r>
    <x v="10"/>
    <s v="Gothenburg"/>
    <s v="Chalmers University"/>
    <s v="Sustainable Energy"/>
    <s v="Master"/>
    <n v="2"/>
    <n v="0"/>
    <n v="71.2"/>
    <n v="950"/>
    <n v="120"/>
    <n v="750"/>
    <n v="10.45"/>
    <n v="24420"/>
    <n v="12210"/>
    <n v="22800"/>
    <n v="24420"/>
    <n v="0"/>
  </r>
  <r>
    <x v="6"/>
    <s v="Delft"/>
    <s v="TU Delft"/>
    <s v="Computer Science"/>
    <s v="Master"/>
    <n v="2"/>
    <n v="15500"/>
    <n v="76.5"/>
    <n v="1100"/>
    <n v="171"/>
    <n v="720"/>
    <n v="0.92"/>
    <n v="43511"/>
    <n v="21755.5"/>
    <n v="26400"/>
    <n v="28011"/>
    <n v="0.35623175748661257"/>
  </r>
  <r>
    <x v="19"/>
    <s v="Coimbra"/>
    <s v="University of Coimbra"/>
    <s v="Data Science"/>
    <s v="Bachelor"/>
    <n v="3"/>
    <n v="6000"/>
    <n v="58.9"/>
    <n v="600"/>
    <n v="75"/>
    <n v="400"/>
    <n v="0.92"/>
    <n v="28875"/>
    <n v="9625"/>
    <n v="21600"/>
    <n v="22875"/>
    <n v="0.20779220779220781"/>
  </r>
  <r>
    <x v="15"/>
    <s v="Dunedin"/>
    <s v="University of Otago"/>
    <s v="Information Systems"/>
    <s v="Master"/>
    <n v="2"/>
    <n v="29000"/>
    <n v="70.2"/>
    <n v="900"/>
    <n v="330"/>
    <n v="600"/>
    <n v="1.65"/>
    <n v="52130"/>
    <n v="26065"/>
    <n v="21600"/>
    <n v="23130"/>
    <n v="0.55630155380778823"/>
  </r>
  <r>
    <x v="0"/>
    <s v="Seattle"/>
    <s v="University of Washington"/>
    <s v="Computer Engineering"/>
    <s v="Master"/>
    <n v="2"/>
    <n v="51000"/>
    <n v="77.8"/>
    <n v="2100"/>
    <n v="160"/>
    <n v="1500"/>
    <n v="1"/>
    <n v="104560"/>
    <n v="52280"/>
    <n v="50400"/>
    <n v="53560"/>
    <n v="0.48775822494261667"/>
  </r>
  <r>
    <x v="10"/>
    <s v="Lund"/>
    <s v="Lund University"/>
    <s v="Physics"/>
    <s v="PhD"/>
    <n v="4"/>
    <n v="0"/>
    <n v="73.400000000000006"/>
    <n v="1000"/>
    <n v="120"/>
    <n v="750"/>
    <n v="10.45"/>
    <n v="51120"/>
    <n v="12780"/>
    <n v="48000"/>
    <n v="51120"/>
    <n v="0"/>
  </r>
  <r>
    <x v="6"/>
    <s v="Eindhoven"/>
    <s v="TU Eindhoven"/>
    <s v="Artificial Intelligence"/>
    <s v="Master"/>
    <n v="2"/>
    <n v="14800"/>
    <n v="72.3"/>
    <n v="950"/>
    <n v="171"/>
    <n v="720"/>
    <n v="0.92"/>
    <n v="39211"/>
    <n v="19605.5"/>
    <n v="22800"/>
    <n v="24411"/>
    <n v="0.37744510469001047"/>
  </r>
  <r>
    <x v="19"/>
    <s v="Braga"/>
    <s v="University of Minho"/>
    <s v="Computer Science"/>
    <s v="Master"/>
    <n v="2"/>
    <n v="6200"/>
    <n v="57.8"/>
    <n v="550"/>
    <n v="75"/>
    <n v="400"/>
    <n v="0.92"/>
    <n v="20275"/>
    <n v="10137.5"/>
    <n v="13200"/>
    <n v="14075"/>
    <n v="0.30579531442663377"/>
  </r>
  <r>
    <x v="15"/>
    <s v="Hamilton"/>
    <s v="University of Waikato"/>
    <s v="Environmental Science"/>
    <s v="Master"/>
    <n v="2"/>
    <n v="28500"/>
    <n v="68.900000000000006"/>
    <n v="850"/>
    <n v="330"/>
    <n v="600"/>
    <n v="1.65"/>
    <n v="50430"/>
    <n v="25215"/>
    <n v="20400"/>
    <n v="21930"/>
    <n v="0.56513979773944079"/>
  </r>
  <r>
    <x v="0"/>
    <s v="Atlanta"/>
    <s v="Georgia Tech"/>
    <s v="Machine Learning"/>
    <s v="PhD"/>
    <n v="5"/>
    <n v="48000"/>
    <n v="71.2"/>
    <n v="1700"/>
    <n v="160"/>
    <n v="1500"/>
    <n v="1"/>
    <n v="157660"/>
    <n v="31532"/>
    <n v="102000"/>
    <n v="109660"/>
    <n v="0.30445261956108083"/>
  </r>
  <r>
    <x v="10"/>
    <s v="LinkÃ¶ping"/>
    <s v="LinkÃ¶ping University"/>
    <s v="Computer Science"/>
    <s v="Master"/>
    <n v="2"/>
    <n v="0"/>
    <n v="69.8"/>
    <n v="850"/>
    <n v="120"/>
    <n v="750"/>
    <n v="10.45"/>
    <n v="22020"/>
    <n v="11010"/>
    <n v="20400"/>
    <n v="22020"/>
    <n v="0"/>
  </r>
  <r>
    <x v="6"/>
    <s v="Utrecht"/>
    <s v="Utrecht University"/>
    <s v="Data Science"/>
    <s v="Bachelor"/>
    <n v="3"/>
    <n v="13900"/>
    <n v="75.400000000000006"/>
    <n v="1100"/>
    <n v="171"/>
    <n v="720"/>
    <n v="0.92"/>
    <n v="55831"/>
    <n v="18610.333333333332"/>
    <n v="39600"/>
    <n v="41931"/>
    <n v="0.24896562841432179"/>
  </r>
  <r>
    <x v="19"/>
    <s v="Aveiro"/>
    <s v="University of Aveiro"/>
    <s v="Robotics"/>
    <s v="PhD"/>
    <n v="4"/>
    <n v="6800"/>
    <n v="56.7"/>
    <n v="500"/>
    <n v="75"/>
    <n v="400"/>
    <n v="0.92"/>
    <n v="32475"/>
    <n v="8118.75"/>
    <n v="24000"/>
    <n v="25675"/>
    <n v="0.20939183987682833"/>
  </r>
  <r>
    <x v="15"/>
    <s v="Palmerston North"/>
    <s v="Massey University"/>
    <s v="Computer Engineering"/>
    <s v="Bachelor"/>
    <n v="3"/>
    <n v="27500"/>
    <n v="67.5"/>
    <n v="800"/>
    <n v="330"/>
    <n v="600"/>
    <n v="1.65"/>
    <n v="58430"/>
    <n v="19476.666666666668"/>
    <n v="28800"/>
    <n v="30930"/>
    <n v="0.47064863939756973"/>
  </r>
  <r>
    <x v="0"/>
    <s v="Pittsburgh"/>
    <s v="Carnegie Mellon"/>
    <s v="Software Engineering"/>
    <s v="Master"/>
    <n v="2"/>
    <n v="56000"/>
    <n v="65.400000000000006"/>
    <n v="1500"/>
    <n v="160"/>
    <n v="1500"/>
    <n v="1"/>
    <n v="95160"/>
    <n v="47580"/>
    <n v="36000"/>
    <n v="39160"/>
    <n v="0.58848255569567043"/>
  </r>
  <r>
    <x v="10"/>
    <s v="UmeÃ¥"/>
    <s v="UmeÃ¥ University"/>
    <s v="Artificial Intelligence"/>
    <s v="Master"/>
    <n v="2"/>
    <n v="0"/>
    <n v="68.5"/>
    <n v="800"/>
    <n v="120"/>
    <n v="750"/>
    <n v="10.45"/>
    <n v="20820"/>
    <n v="10410"/>
    <n v="19200"/>
    <n v="20820"/>
    <n v="0"/>
  </r>
  <r>
    <x v="6"/>
    <s v="Groningen"/>
    <s v="University of Groningen"/>
    <s v="Computing Science"/>
    <s v="PhD"/>
    <n v="4"/>
    <n v="14200"/>
    <n v="71.2"/>
    <n v="900"/>
    <n v="171"/>
    <n v="720"/>
    <n v="0.92"/>
    <n v="60451"/>
    <n v="15112.75"/>
    <n v="43200"/>
    <n v="46251"/>
    <n v="0.23490099419364444"/>
  </r>
  <r>
    <x v="19"/>
    <s v="Faro"/>
    <s v="University of Algarve"/>
    <s v="Information Systems"/>
    <s v="Master"/>
    <n v="2"/>
    <n v="5900"/>
    <n v="55.4"/>
    <n v="480"/>
    <n v="75"/>
    <n v="400"/>
    <n v="0.92"/>
    <n v="18295"/>
    <n v="9147.5"/>
    <n v="11520"/>
    <n v="12395"/>
    <n v="0.32249248428532384"/>
  </r>
  <r>
    <x v="15"/>
    <s v="Auckland"/>
    <s v="AUT University"/>
    <s v="Data Analytics"/>
    <s v="Master"/>
    <n v="2"/>
    <n v="29500"/>
    <n v="79.5"/>
    <n v="1150"/>
    <n v="330"/>
    <n v="600"/>
    <n v="1.65"/>
    <n v="58630"/>
    <n v="29315"/>
    <n v="27600"/>
    <n v="29130"/>
    <n v="0.5031553812041617"/>
  </r>
  <r>
    <x v="0"/>
    <s v="Raleigh"/>
    <s v="NC State University"/>
    <s v="Computer Science"/>
    <s v="Master"/>
    <n v="2"/>
    <n v="47000"/>
    <n v="67.8"/>
    <n v="1400"/>
    <n v="160"/>
    <n v="1500"/>
    <n v="1"/>
    <n v="83760"/>
    <n v="41880"/>
    <n v="33600"/>
    <n v="36760"/>
    <n v="0.56112702960840499"/>
  </r>
  <r>
    <x v="10"/>
    <s v="Karlstad"/>
    <s v="Karlstad University"/>
    <s v="Information Systems"/>
    <s v="Bachelor"/>
    <n v="3"/>
    <n v="0"/>
    <n v="67.2"/>
    <n v="750"/>
    <n v="120"/>
    <n v="750"/>
    <n v="10.45"/>
    <n v="29370"/>
    <n v="9790"/>
    <n v="27000"/>
    <n v="29370"/>
    <n v="0"/>
  </r>
  <r>
    <x v="6"/>
    <s v="Tilburg"/>
    <s v="Tilburg University"/>
    <s v="Data Science"/>
    <s v="Master"/>
    <n v="2"/>
    <n v="14000"/>
    <n v="70.5"/>
    <n v="950"/>
    <n v="171"/>
    <n v="720"/>
    <n v="0.92"/>
    <n v="38411"/>
    <n v="19205.5"/>
    <n v="22800"/>
    <n v="24411"/>
    <n v="0.36447892530785453"/>
  </r>
  <r>
    <x v="19"/>
    <s v="Vila Real"/>
    <s v="UTAD"/>
    <s v="Computer Engineering"/>
    <s v="Master"/>
    <n v="2"/>
    <n v="5700"/>
    <n v="54.3"/>
    <n v="450"/>
    <n v="75"/>
    <n v="400"/>
    <n v="0.92"/>
    <n v="17375"/>
    <n v="8687.5"/>
    <n v="10800"/>
    <n v="11675"/>
    <n v="0.32805755395683456"/>
  </r>
  <r>
    <x v="15"/>
    <s v="Christchurch"/>
    <s v="Lincoln University"/>
    <s v="Environmental Computing"/>
    <s v="PhD"/>
    <n v="4"/>
    <n v="28000"/>
    <n v="72.400000000000006"/>
    <n v="900"/>
    <n v="330"/>
    <n v="600"/>
    <n v="1.65"/>
    <n v="73930"/>
    <n v="18482.5"/>
    <n v="43200"/>
    <n v="45930"/>
    <n v="0.37873664277018804"/>
  </r>
  <r>
    <x v="0"/>
    <s v="Davis"/>
    <s v="UC Davis"/>
    <s v="Data Science"/>
    <s v="Master"/>
    <n v="2"/>
    <n v="48000"/>
    <n v="73.2"/>
    <n v="1600"/>
    <n v="160"/>
    <n v="1500"/>
    <n v="1"/>
    <n v="89560"/>
    <n v="44780"/>
    <n v="38400"/>
    <n v="41560"/>
    <n v="0.53595355069227335"/>
  </r>
  <r>
    <x v="10"/>
    <s v="VÃ¤xjÃ¶"/>
    <s v="Linnaeus University"/>
    <s v="Software Engineering"/>
    <s v="Master"/>
    <n v="2"/>
    <n v="0"/>
    <n v="66.5"/>
    <n v="700"/>
    <n v="120"/>
    <n v="750"/>
    <n v="10.45"/>
    <n v="18420"/>
    <n v="9210"/>
    <n v="16800"/>
    <n v="18420"/>
    <n v="0"/>
  </r>
  <r>
    <x v="6"/>
    <s v="Wageningen"/>
    <s v="Wageningen University"/>
    <s v="Bioinformatics"/>
    <s v="Master"/>
    <n v="2"/>
    <n v="14500"/>
    <n v="69.8"/>
    <n v="900"/>
    <n v="171"/>
    <n v="720"/>
    <n v="0.92"/>
    <n v="37711"/>
    <n v="18855.5"/>
    <n v="21600"/>
    <n v="23211"/>
    <n v="0.38450319535414068"/>
  </r>
  <r>
    <x v="19"/>
    <s v="Funchal"/>
    <s v="University of Madeira"/>
    <s v="Computing"/>
    <s v="Bachelor"/>
    <n v="3"/>
    <n v="5500"/>
    <n v="53.2"/>
    <n v="400"/>
    <n v="75"/>
    <n v="400"/>
    <n v="0.92"/>
    <n v="21175"/>
    <n v="7058.333333333333"/>
    <n v="14400"/>
    <n v="15675"/>
    <n v="0.25974025974025972"/>
  </r>
  <r>
    <x v="26"/>
    <s v="Madrid"/>
    <s v="Universidad PolitÃ©cnica de Madrid"/>
    <s v="Computer Science"/>
    <s v="Master"/>
    <n v="2"/>
    <n v="3500"/>
    <n v="71.400000000000006"/>
    <n v="1100"/>
    <n v="80"/>
    <n v="750"/>
    <n v="0.92"/>
    <n v="31480"/>
    <n v="15740"/>
    <n v="26400"/>
    <n v="27980"/>
    <n v="0.11118170266836086"/>
  </r>
  <r>
    <x v="27"/>
    <s v="Milan"/>
    <s v="Politecnico di Milano"/>
    <s v="Data Engineering"/>
    <s v="Master"/>
    <n v="2"/>
    <n v="4000"/>
    <n v="73.2"/>
    <n v="1200"/>
    <n v="120"/>
    <n v="700"/>
    <n v="0.92"/>
    <n v="34320"/>
    <n v="17160"/>
    <n v="28800"/>
    <n v="30320"/>
    <n v="0.11655011655011654"/>
  </r>
  <r>
    <x v="34"/>
    <s v="Athens"/>
    <s v="National Technical University"/>
    <s v="Electrical Engineering"/>
    <s v="PhD"/>
    <n v="4"/>
    <n v="0"/>
    <n v="65.8"/>
    <n v="650"/>
    <n v="100"/>
    <n v="600"/>
    <n v="0.92"/>
    <n v="33700"/>
    <n v="8425"/>
    <n v="31200"/>
    <n v="33700"/>
    <n v="0"/>
  </r>
  <r>
    <x v="16"/>
    <s v="Vienna"/>
    <s v="TU Wien"/>
    <s v="Software Engineering"/>
    <s v="Master"/>
    <n v="2"/>
    <n v="1500"/>
    <n v="78.5"/>
    <n v="950"/>
    <n v="160"/>
    <n v="850"/>
    <n v="0.92"/>
    <n v="26160"/>
    <n v="13080"/>
    <n v="22800"/>
    <n v="24660"/>
    <n v="5.7339449541284407E-2"/>
  </r>
  <r>
    <x v="33"/>
    <s v="Mexico City"/>
    <s v="UNAM"/>
    <s v="Computer Engineering"/>
    <s v="Bachelor"/>
    <n v="4"/>
    <n v="800"/>
    <n v="52.4"/>
    <n v="600"/>
    <n v="40"/>
    <n v="400"/>
    <n v="17.05"/>
    <n v="31240"/>
    <n v="7810"/>
    <n v="28800"/>
    <n v="30440"/>
    <n v="2.5608194622279128E-2"/>
  </r>
  <r>
    <x v="26"/>
    <s v="Barcelona"/>
    <s v="Universitat PolitÃ¨cnica Catalunya"/>
    <s v="Artificial Intelligence"/>
    <s v="Master"/>
    <n v="2"/>
    <n v="3800"/>
    <n v="73.599999999999994"/>
    <n v="1000"/>
    <n v="80"/>
    <n v="750"/>
    <n v="0.92"/>
    <n v="29380"/>
    <n v="14690"/>
    <n v="24000"/>
    <n v="25580"/>
    <n v="0.12933968686181074"/>
  </r>
  <r>
    <x v="27"/>
    <s v="Rome"/>
    <s v="Sapienza University"/>
    <s v="Robotics"/>
    <s v="PhD"/>
    <n v="4"/>
    <n v="3500"/>
    <n v="71.2"/>
    <n v="1100"/>
    <n v="120"/>
    <n v="700"/>
    <n v="0.92"/>
    <n v="59220"/>
    <n v="14805"/>
    <n v="52800"/>
    <n v="55720"/>
    <n v="5.9101654846335699E-2"/>
  </r>
  <r>
    <x v="34"/>
    <s v="Thessaloniki"/>
    <s v="Aristotle University"/>
    <s v="Computer Engineering"/>
    <s v="Master"/>
    <n v="2"/>
    <n v="0"/>
    <n v="62.4"/>
    <n v="500"/>
    <n v="100"/>
    <n v="600"/>
    <n v="0.92"/>
    <n v="13300"/>
    <n v="6650"/>
    <n v="12000"/>
    <n v="13300"/>
    <n v="0"/>
  </r>
  <r>
    <x v="16"/>
    <s v="Graz"/>
    <s v="TU Graz"/>
    <s v="Mechanical Engineering"/>
    <s v="Bachelor"/>
    <n v="3"/>
    <n v="1500"/>
    <n v="71.2"/>
    <n v="750"/>
    <n v="160"/>
    <n v="850"/>
    <n v="0.92"/>
    <n v="31210"/>
    <n v="10403.333333333334"/>
    <n v="27000"/>
    <n v="29710"/>
    <n v="4.806151874399231E-2"/>
  </r>
  <r>
    <x v="33"/>
    <s v="Monterrey"/>
    <s v="TecnolÃ³gico de Monterrey"/>
    <s v="Data Science"/>
    <s v="Master"/>
    <n v="2"/>
    <n v="12000"/>
    <n v="48.9"/>
    <n v="700"/>
    <n v="40"/>
    <n v="400"/>
    <n v="17.05"/>
    <n v="29640"/>
    <n v="14820"/>
    <n v="16800"/>
    <n v="17640"/>
    <n v="0.40485829959514169"/>
  </r>
  <r>
    <x v="26"/>
    <s v="Valencia"/>
    <s v="Universitat de ValÃ¨ncia"/>
    <s v="Data Science"/>
    <s v="Master"/>
    <n v="2"/>
    <n v="3200"/>
    <n v="68.5"/>
    <n v="800"/>
    <n v="80"/>
    <n v="750"/>
    <n v="0.92"/>
    <n v="23980"/>
    <n v="11990"/>
    <n v="19200"/>
    <n v="20780"/>
    <n v="0.13344453711426188"/>
  </r>
  <r>
    <x v="27"/>
    <s v="Turin"/>
    <s v="Politecnico di Torino"/>
    <s v="Computer Engineering"/>
    <s v="Master"/>
    <n v="2"/>
    <n v="3800"/>
    <n v="69.8"/>
    <n v="900"/>
    <n v="120"/>
    <n v="700"/>
    <n v="0.92"/>
    <n v="26920"/>
    <n v="13460"/>
    <n v="21600"/>
    <n v="23120"/>
    <n v="0.14115898959881129"/>
  </r>
  <r>
    <x v="34"/>
    <s v="Patras"/>
    <s v="University of Patras"/>
    <s v="Electronics"/>
    <s v="PhD"/>
    <n v="4"/>
    <n v="0"/>
    <n v="60.5"/>
    <n v="450"/>
    <n v="100"/>
    <n v="600"/>
    <n v="0.92"/>
    <n v="24100"/>
    <n v="6025"/>
    <n v="21600"/>
    <n v="24100"/>
    <n v="0"/>
  </r>
  <r>
    <x v="16"/>
    <s v="Linz"/>
    <s v="Johannes Kepler University"/>
    <s v="Artificial Intelligence"/>
    <s v="Master"/>
    <n v="2"/>
    <n v="1500"/>
    <n v="70.400000000000006"/>
    <n v="700"/>
    <n v="160"/>
    <n v="850"/>
    <n v="0.92"/>
    <n v="20160"/>
    <n v="10080"/>
    <n v="16800"/>
    <n v="18660"/>
    <n v="7.4404761904761904E-2"/>
  </r>
  <r>
    <x v="33"/>
    <s v="Guadalajara"/>
    <s v="Universidad de Guadalajara"/>
    <s v="Software Engineering"/>
    <s v="Bachelor"/>
    <n v="4"/>
    <n v="900"/>
    <n v="45.6"/>
    <n v="500"/>
    <n v="40"/>
    <n v="400"/>
    <n v="17.05"/>
    <n v="26540"/>
    <n v="6635"/>
    <n v="24000"/>
    <n v="25640"/>
    <n v="3.3911077618688772E-2"/>
  </r>
  <r>
    <x v="26"/>
    <s v="Seville"/>
    <s v="Universidad de Sevilla"/>
    <s v="Robotics"/>
    <s v="Master"/>
    <n v="2"/>
    <n v="3000"/>
    <n v="65.400000000000006"/>
    <n v="750"/>
    <n v="80"/>
    <n v="750"/>
    <n v="0.92"/>
    <n v="22580"/>
    <n v="11290"/>
    <n v="18000"/>
    <n v="19580"/>
    <n v="0.1328609388839681"/>
  </r>
  <r>
    <x v="27"/>
    <s v="Bologna"/>
    <s v="University of Bologna"/>
    <s v="Information Technology"/>
    <s v="PhD"/>
    <n v="4"/>
    <n v="3600"/>
    <n v="70.5"/>
    <n v="950"/>
    <n v="120"/>
    <n v="700"/>
    <n v="0.92"/>
    <n v="52120"/>
    <n v="13030"/>
    <n v="45600"/>
    <n v="48520"/>
    <n v="6.9071373752877974E-2"/>
  </r>
  <r>
    <x v="34"/>
    <s v="Heraklion"/>
    <s v="University of Crete"/>
    <s v="Computer Science"/>
    <s v="Master"/>
    <n v="2"/>
    <n v="0"/>
    <n v="61.2"/>
    <n v="480"/>
    <n v="100"/>
    <n v="600"/>
    <n v="0.92"/>
    <n v="12820"/>
    <n v="6410"/>
    <n v="11520"/>
    <n v="12820"/>
    <n v="0"/>
  </r>
  <r>
    <x v="16"/>
    <s v="Salzburg"/>
    <s v="University of Salzburg"/>
    <s v="Data Analytics"/>
    <s v="Bachelor"/>
    <n v="3"/>
    <n v="1500"/>
    <n v="72.3"/>
    <n v="800"/>
    <n v="160"/>
    <n v="850"/>
    <n v="0.92"/>
    <n v="33010"/>
    <n v="11003.333333333334"/>
    <n v="28800"/>
    <n v="31510"/>
    <n v="4.5440775522568921E-2"/>
  </r>
  <r>
    <x v="33"/>
    <s v="Puebla"/>
    <s v="UDLAP"/>
    <s v="Computer Engineering"/>
    <s v="Master"/>
    <n v="2"/>
    <n v="10000"/>
    <n v="44.5"/>
    <n v="450"/>
    <n v="40"/>
    <n v="400"/>
    <n v="17.05"/>
    <n v="21640"/>
    <n v="10820"/>
    <n v="10800"/>
    <n v="11640"/>
    <n v="0.46210720887245843"/>
  </r>
  <r>
    <x v="26"/>
    <s v="Bilbao"/>
    <s v="University of the Basque Country"/>
    <s v="Computer Science"/>
    <s v="PhD"/>
    <n v="4"/>
    <n v="3400"/>
    <n v="67.8"/>
    <n v="850"/>
    <n v="80"/>
    <n v="750"/>
    <n v="0.92"/>
    <n v="47280"/>
    <n v="11820"/>
    <n v="40800"/>
    <n v="43880"/>
    <n v="7.1912013536379021E-2"/>
  </r>
  <r>
    <x v="27"/>
    <s v="Florence"/>
    <s v="University of Florence"/>
    <s v="Cybersecurity"/>
    <s v="Master"/>
    <n v="2"/>
    <n v="3500"/>
    <n v="71.2"/>
    <n v="1000"/>
    <n v="120"/>
    <n v="700"/>
    <n v="0.92"/>
    <n v="29020"/>
    <n v="14510"/>
    <n v="24000"/>
    <n v="25520"/>
    <n v="0.1206064782908339"/>
  </r>
  <r>
    <x v="34"/>
    <s v="Volos"/>
    <s v="University of Thessaly"/>
    <s v="Digital Systems"/>
    <s v="Master"/>
    <n v="2"/>
    <n v="0"/>
    <n v="59.8"/>
    <n v="400"/>
    <n v="100"/>
    <n v="600"/>
    <n v="0.92"/>
    <n v="10900"/>
    <n v="5450"/>
    <n v="9600"/>
    <n v="10900"/>
    <n v="0"/>
  </r>
  <r>
    <x v="16"/>
    <s v="Innsbruck"/>
    <s v="University of Innsbruck"/>
    <s v="Mechatronics"/>
    <s v="Master"/>
    <n v="2"/>
    <n v="1500"/>
    <n v="71.5"/>
    <n v="780"/>
    <n v="160"/>
    <n v="850"/>
    <n v="0.92"/>
    <n v="22080"/>
    <n v="11040"/>
    <n v="18720"/>
    <n v="20580"/>
    <n v="6.7934782608695649E-2"/>
  </r>
  <r>
    <x v="33"/>
    <s v="Queretaro"/>
    <s v="Tecnologico de Monterrey"/>
    <s v="Data Analytics"/>
    <s v="Bachelor"/>
    <n v="4"/>
    <n v="11000"/>
    <n v="46.7"/>
    <n v="480"/>
    <n v="40"/>
    <n v="400"/>
    <n v="17.05"/>
    <n v="35680"/>
    <n v="8920"/>
    <n v="23040"/>
    <n v="24680"/>
    <n v="0.30829596412556054"/>
  </r>
  <r>
    <x v="26"/>
    <s v="Granada"/>
    <s v="University of Granada"/>
    <s v="Artificial Intelligence"/>
    <s v="Master"/>
    <n v="2"/>
    <n v="2800"/>
    <n v="64.5"/>
    <n v="700"/>
    <n v="80"/>
    <n v="750"/>
    <n v="0.92"/>
    <n v="21180"/>
    <n v="10590"/>
    <n v="16800"/>
    <n v="18380"/>
    <n v="0.13220018885741266"/>
  </r>
  <r>
    <x v="27"/>
    <s v="Naples"/>
    <s v="University of Naples"/>
    <s v="Software Engineering"/>
    <s v="PhD"/>
    <n v="4"/>
    <n v="3200"/>
    <n v="67.8"/>
    <n v="800"/>
    <n v="120"/>
    <n v="700"/>
    <n v="0.92"/>
    <n v="44520"/>
    <n v="11130"/>
    <n v="38400"/>
    <n v="41320"/>
    <n v="7.1877807726864335E-2"/>
  </r>
  <r>
    <x v="34"/>
    <s v="Ioannina"/>
    <s v="University of Ioannina"/>
    <s v="Information Systems"/>
    <s v="Bachelor"/>
    <n v="4"/>
    <n v="0"/>
    <n v="58.9"/>
    <n v="380"/>
    <n v="100"/>
    <n v="600"/>
    <n v="0.92"/>
    <n v="20740"/>
    <n v="5185"/>
    <n v="18240"/>
    <n v="20740"/>
    <n v="0"/>
  </r>
  <r>
    <x v="16"/>
    <s v="Klagenfurt"/>
    <s v="University of Klagenfurt"/>
    <s v="Data Science"/>
    <s v="Master"/>
    <n v="2"/>
    <n v="1500"/>
    <n v="69.400000000000006"/>
    <n v="720"/>
    <n v="160"/>
    <n v="850"/>
    <n v="0.92"/>
    <n v="20640"/>
    <n v="10320"/>
    <n v="17280"/>
    <n v="19140"/>
    <n v="7.2674418604651167E-2"/>
  </r>
  <r>
    <x v="33"/>
    <s v="Merida"/>
    <s v="Universidad Autonoma de Yucatan"/>
    <s v="Computer Engineering"/>
    <s v="Master"/>
    <n v="2"/>
    <n v="3500"/>
    <n v="43.2"/>
    <n v="400"/>
    <n v="40"/>
    <n v="400"/>
    <n v="17.05"/>
    <n v="13940"/>
    <n v="6970"/>
    <n v="9600"/>
    <n v="10440"/>
    <n v="0.25107604017216645"/>
  </r>
  <r>
    <x v="26"/>
    <s v="Zaragoza"/>
    <s v="University of Zaragoza"/>
    <s v="Robotics"/>
    <s v="Master"/>
    <n v="2"/>
    <n v="2900"/>
    <n v="63.2"/>
    <n v="650"/>
    <n v="80"/>
    <n v="750"/>
    <n v="0.92"/>
    <n v="20080"/>
    <n v="10040"/>
    <n v="15600"/>
    <n v="17180"/>
    <n v="0.14442231075697212"/>
  </r>
  <r>
    <x v="27"/>
    <s v="Pisa"/>
    <s v="University of Pisa"/>
    <s v="Computer Engineering"/>
    <s v="Master"/>
    <n v="2"/>
    <n v="3300"/>
    <n v="68.900000000000006"/>
    <n v="850"/>
    <n v="120"/>
    <n v="700"/>
    <n v="0.92"/>
    <n v="25220"/>
    <n v="12610"/>
    <n v="20400"/>
    <n v="21920"/>
    <n v="0.13084853291038859"/>
  </r>
  <r>
    <x v="34"/>
    <s v="Rhodes"/>
    <s v="University of the Aegean"/>
    <s v="Digital Innovation"/>
    <s v="Master"/>
    <n v="2"/>
    <n v="0"/>
    <n v="61.2"/>
    <n v="420"/>
    <n v="100"/>
    <n v="600"/>
    <n v="0.92"/>
    <n v="11380"/>
    <n v="5690"/>
    <n v="10080"/>
    <n v="11380"/>
    <n v="0"/>
  </r>
  <r>
    <x v="16"/>
    <s v="Leoben"/>
    <s v="MontanuniversitÃ¤t Leoben"/>
    <s v="Industrial Engineering"/>
    <s v="PhD"/>
    <n v="4"/>
    <n v="1500"/>
    <n v="68.7"/>
    <n v="700"/>
    <n v="160"/>
    <n v="850"/>
    <n v="0.92"/>
    <n v="38660"/>
    <n v="9665"/>
    <n v="33600"/>
    <n v="37160"/>
    <n v="3.8799793067770302E-2"/>
  </r>
  <r>
    <x v="33"/>
    <s v="Tijuana"/>
    <s v="CETYS Universidad"/>
    <s v="Information Technology"/>
    <s v="Bachelor"/>
    <n v="4"/>
    <n v="9500"/>
    <n v="45.4"/>
    <n v="550"/>
    <n v="40"/>
    <n v="400"/>
    <n v="17.05"/>
    <n v="37540"/>
    <n v="9385"/>
    <n v="26400"/>
    <n v="28040"/>
    <n v="0.25306339904102293"/>
  </r>
  <r>
    <x v="26"/>
    <s v="Salamanca"/>
    <s v="University of Salamanca"/>
    <s v="Data Science"/>
    <s v="PhD"/>
    <n v="4"/>
    <n v="3100"/>
    <n v="62.1"/>
    <n v="600"/>
    <n v="80"/>
    <n v="750"/>
    <n v="0.92"/>
    <n v="34980"/>
    <n v="8745"/>
    <n v="28800"/>
    <n v="31880"/>
    <n v="8.862206975414523E-2"/>
  </r>
  <r>
    <x v="27"/>
    <s v="Padua"/>
    <s v="University of Padua"/>
    <s v="Artificial Intelligence"/>
    <s v="Master"/>
    <n v="2"/>
    <n v="3400"/>
    <n v="69.5"/>
    <n v="900"/>
    <n v="120"/>
    <n v="700"/>
    <n v="0.92"/>
    <n v="26520"/>
    <n v="13260"/>
    <n v="21600"/>
    <n v="23120"/>
    <n v="0.12820512820512819"/>
  </r>
  <r>
    <x v="34"/>
    <s v="Chania"/>
    <s v="Technical University of Crete"/>
    <s v="Electronic Engineering"/>
    <s v="Master"/>
    <n v="2"/>
    <n v="0"/>
    <n v="60.4"/>
    <n v="450"/>
    <n v="100"/>
    <n v="600"/>
    <n v="0.92"/>
    <n v="12100"/>
    <n v="6050"/>
    <n v="10800"/>
    <n v="12100"/>
    <n v="0"/>
  </r>
  <r>
    <x v="16"/>
    <s v="Dornbirn"/>
    <s v="FH Vorarlberg"/>
    <s v="Software Development"/>
    <s v="Bachelor"/>
    <n v="3"/>
    <n v="1500"/>
    <n v="70.2"/>
    <n v="800"/>
    <n v="160"/>
    <n v="850"/>
    <n v="0.92"/>
    <n v="33010"/>
    <n v="11003.333333333334"/>
    <n v="28800"/>
    <n v="31510"/>
    <n v="4.5440775522568921E-2"/>
  </r>
  <r>
    <x v="33"/>
    <s v="San Luis Potosi"/>
    <s v="UASLP"/>
    <s v="Computer Systems"/>
    <s v="Master"/>
    <n v="2"/>
    <n v="2800"/>
    <n v="42.8"/>
    <n v="380"/>
    <n v="40"/>
    <n v="400"/>
    <n v="17.05"/>
    <n v="12760"/>
    <n v="6380"/>
    <n v="9120"/>
    <n v="9960"/>
    <n v="0.21943573667711599"/>
  </r>
  <r>
    <x v="31"/>
    <s v="Istanbul"/>
    <s v="Bogazici University"/>
    <s v="Computer Engineering"/>
    <s v="Master"/>
    <n v="2"/>
    <n v="1500"/>
    <n v="51.2"/>
    <n v="600"/>
    <n v="90"/>
    <n v="500"/>
    <n v="28.5"/>
    <n v="16990"/>
    <n v="8495"/>
    <n v="14400"/>
    <n v="15490"/>
    <n v="8.8287227781047681E-2"/>
  </r>
  <r>
    <x v="34"/>
    <s v="Athens"/>
    <s v="Athens University of Economics"/>
    <s v="Data Science"/>
    <s v="Master"/>
    <n v="2"/>
    <n v="0"/>
    <n v="65.8"/>
    <n v="650"/>
    <n v="100"/>
    <n v="600"/>
    <n v="0.92"/>
    <n v="16900"/>
    <n v="8450"/>
    <n v="15600"/>
    <n v="16900"/>
    <n v="0"/>
  </r>
  <r>
    <x v="17"/>
    <s v="Leuven"/>
    <s v="KU Leuven"/>
    <s v="Artificial Intelligence"/>
    <s v="PhD"/>
    <n v="4"/>
    <n v="3800"/>
    <n v="76.5"/>
    <n v="950"/>
    <n v="180"/>
    <n v="800"/>
    <n v="0.92"/>
    <n v="52780"/>
    <n v="13195"/>
    <n v="45600"/>
    <n v="48980"/>
    <n v="7.1996968548692683E-2"/>
  </r>
  <r>
    <x v="44"/>
    <s v="Budapest"/>
    <s v="Budapest University of Technology"/>
    <s v="Software Engineering"/>
    <s v="Master"/>
    <n v="2"/>
    <n v="6500"/>
    <n v="53.4"/>
    <n v="500"/>
    <n v="140"/>
    <n v="450"/>
    <n v="350.25"/>
    <n v="19540"/>
    <n v="9770"/>
    <n v="12000"/>
    <n v="13040"/>
    <n v="0.33265097236438074"/>
  </r>
  <r>
    <x v="32"/>
    <s v="Moscow"/>
    <s v="Moscow State University"/>
    <s v="Computer Science"/>
    <s v="Bachelor"/>
    <n v="4"/>
    <n v="5500"/>
    <n v="62.3"/>
    <n v="600"/>
    <n v="160"/>
    <n v="400"/>
    <n v="95.5"/>
    <n v="36060"/>
    <n v="9015"/>
    <n v="28800"/>
    <n v="30560"/>
    <n v="0.15252357182473655"/>
  </r>
  <r>
    <x v="31"/>
    <s v="Ankara"/>
    <s v="Middle East Technical University"/>
    <s v="Data Engineering"/>
    <s v="Master"/>
    <n v="2"/>
    <n v="1200"/>
    <n v="48.5"/>
    <n v="450"/>
    <n v="90"/>
    <n v="500"/>
    <n v="28.5"/>
    <n v="13090"/>
    <n v="6545"/>
    <n v="10800"/>
    <n v="11890"/>
    <n v="9.1673032849503441E-2"/>
  </r>
  <r>
    <x v="34"/>
    <s v="Thessaloniki"/>
    <s v="University of Macedonia"/>
    <s v="Information Systems"/>
    <s v="PhD"/>
    <n v="4"/>
    <n v="0"/>
    <n v="62.4"/>
    <n v="500"/>
    <n v="100"/>
    <n v="600"/>
    <n v="0.92"/>
    <n v="26500"/>
    <n v="6625"/>
    <n v="24000"/>
    <n v="26500"/>
    <n v="0"/>
  </r>
  <r>
    <x v="17"/>
    <s v="Ghent"/>
    <s v="Ghent University"/>
    <s v="Computer Science"/>
    <s v="Master"/>
    <n v="2"/>
    <n v="3500"/>
    <n v="72.8"/>
    <n v="850"/>
    <n v="180"/>
    <n v="800"/>
    <n v="0.92"/>
    <n v="25680"/>
    <n v="12840"/>
    <n v="20400"/>
    <n v="22180"/>
    <n v="0.13629283489096572"/>
  </r>
  <r>
    <x v="44"/>
    <s v="Debrecen"/>
    <s v="University of Debrecen"/>
    <s v="Mechatronics"/>
    <s v="Bachelor"/>
    <n v="3"/>
    <n v="5800"/>
    <n v="48.9"/>
    <n v="400"/>
    <n v="140"/>
    <n v="450"/>
    <n v="350.25"/>
    <n v="21690"/>
    <n v="7230"/>
    <n v="14400"/>
    <n v="15890"/>
    <n v="0.26740433379437528"/>
  </r>
  <r>
    <x v="32"/>
    <s v="Saint Petersburg"/>
    <s v="ITMO University"/>
    <s v="Data Science"/>
    <s v="Master"/>
    <n v="2"/>
    <n v="5000"/>
    <n v="60.1"/>
    <n v="550"/>
    <n v="160"/>
    <n v="400"/>
    <n v="95.5"/>
    <n v="19160"/>
    <n v="9580"/>
    <n v="13200"/>
    <n v="14160"/>
    <n v="0.26096033402922758"/>
  </r>
  <r>
    <x v="31"/>
    <s v="Izmir"/>
    <s v="Ege University"/>
    <s v="Electronics Engineering"/>
    <s v="PhD"/>
    <n v="4"/>
    <n v="1300"/>
    <n v="47.8"/>
    <n v="400"/>
    <n v="90"/>
    <n v="500"/>
    <n v="28.5"/>
    <n v="22590"/>
    <n v="5647.5"/>
    <n v="19200"/>
    <n v="21290"/>
    <n v="5.7547587428065518E-2"/>
  </r>
  <r>
    <x v="34"/>
    <s v="Patras"/>
    <s v="University of Patras"/>
    <s v="Computer Engineering"/>
    <s v="Master"/>
    <n v="2"/>
    <n v="0"/>
    <n v="60.5"/>
    <n v="450"/>
    <n v="100"/>
    <n v="600"/>
    <n v="0.92"/>
    <n v="12100"/>
    <n v="6050"/>
    <n v="10800"/>
    <n v="12100"/>
    <n v="0"/>
  </r>
  <r>
    <x v="17"/>
    <s v="Brussels"/>
    <s v="Vrije Universiteit Brussel"/>
    <s v="Robotics"/>
    <s v="Master"/>
    <n v="2"/>
    <n v="3600"/>
    <n v="75.400000000000006"/>
    <n v="900"/>
    <n v="180"/>
    <n v="800"/>
    <n v="0.92"/>
    <n v="26980"/>
    <n v="13490"/>
    <n v="21600"/>
    <n v="23380"/>
    <n v="0.1334321719792439"/>
  </r>
  <r>
    <x v="44"/>
    <s v="Szeged"/>
    <s v="University of Szeged"/>
    <s v="Computer Science"/>
    <s v="PhD"/>
    <n v="4"/>
    <n v="6000"/>
    <n v="47.2"/>
    <n v="380"/>
    <n v="140"/>
    <n v="450"/>
    <n v="350.25"/>
    <n v="26180"/>
    <n v="6545"/>
    <n v="18240"/>
    <n v="20180"/>
    <n v="0.22918258212375858"/>
  </r>
  <r>
    <x v="32"/>
    <s v="Novosibirsk"/>
    <s v="Novosibirsk State University"/>
    <s v="Mathematics"/>
    <s v="Master"/>
    <n v="2"/>
    <n v="4800"/>
    <n v="55.4"/>
    <n v="400"/>
    <n v="160"/>
    <n v="400"/>
    <n v="95.5"/>
    <n v="15360"/>
    <n v="7680"/>
    <n v="9600"/>
    <n v="10560"/>
    <n v="0.3125"/>
  </r>
  <r>
    <x v="31"/>
    <s v="Eskisehir"/>
    <s v="Anadolu University"/>
    <s v="Information Systems"/>
    <s v="Bachelor"/>
    <n v="4"/>
    <n v="1000"/>
    <n v="45.6"/>
    <n v="350"/>
    <n v="90"/>
    <n v="500"/>
    <n v="28.5"/>
    <n v="19890"/>
    <n v="4972.5"/>
    <n v="16800"/>
    <n v="18890"/>
    <n v="5.0276520864756161E-2"/>
  </r>
  <r>
    <x v="34"/>
    <s v="Heraklion"/>
    <s v="University of Crete"/>
    <s v="Data Analytics"/>
    <s v="Master"/>
    <n v="2"/>
    <n v="0"/>
    <n v="61.2"/>
    <n v="480"/>
    <n v="100"/>
    <n v="600"/>
    <n v="0.92"/>
    <n v="12820"/>
    <n v="6410"/>
    <n v="11520"/>
    <n v="12820"/>
    <n v="0"/>
  </r>
  <r>
    <x v="17"/>
    <s v="Antwerp"/>
    <s v="University of Antwerp"/>
    <s v="Computer Science"/>
    <s v="PhD"/>
    <n v="4"/>
    <n v="3700"/>
    <n v="71.2"/>
    <n v="800"/>
    <n v="180"/>
    <n v="800"/>
    <n v="0.92"/>
    <n v="45480"/>
    <n v="11370"/>
    <n v="38400"/>
    <n v="41780"/>
    <n v="8.1354441512752854E-2"/>
  </r>
  <r>
    <x v="44"/>
    <s v="Pecs"/>
    <s v="University of Pecs"/>
    <s v="Software Development"/>
    <s v="Master"/>
    <n v="2"/>
    <n v="5500"/>
    <n v="46.8"/>
    <n v="350"/>
    <n v="140"/>
    <n v="450"/>
    <n v="350.25"/>
    <n v="14940"/>
    <n v="7470"/>
    <n v="8400"/>
    <n v="9440"/>
    <n v="0.36813922356091033"/>
  </r>
  <r>
    <x v="32"/>
    <s v="Kazan"/>
    <s v="Kazan Federal University"/>
    <s v="Artificial Intelligence"/>
    <s v="Bachelor"/>
    <n v="4"/>
    <n v="4500"/>
    <n v="52.3"/>
    <n v="380"/>
    <n v="160"/>
    <n v="400"/>
    <n v="95.5"/>
    <n v="24500"/>
    <n v="6125"/>
    <n v="18240"/>
    <n v="20000"/>
    <n v="0.18367346938775511"/>
  </r>
  <r>
    <x v="31"/>
    <s v="Bursa"/>
    <s v="Uludag University"/>
    <s v="Computer Science"/>
    <s v="Master"/>
    <n v="2"/>
    <n v="1100"/>
    <n v="46.5"/>
    <n v="380"/>
    <n v="90"/>
    <n v="500"/>
    <n v="28.5"/>
    <n v="11310"/>
    <n v="5655"/>
    <n v="9120"/>
    <n v="10210"/>
    <n v="9.7259062776304153E-2"/>
  </r>
  <r>
    <x v="34"/>
    <s v="Volos"/>
    <s v="University of Thessaly"/>
    <s v="Cybersecurity"/>
    <s v="PhD"/>
    <n v="4"/>
    <n v="0"/>
    <n v="59.8"/>
    <n v="400"/>
    <n v="100"/>
    <n v="600"/>
    <n v="0.92"/>
    <n v="21700"/>
    <n v="5425"/>
    <n v="19200"/>
    <n v="21700"/>
    <n v="0"/>
  </r>
  <r>
    <x v="17"/>
    <s v="Louvain"/>
    <s v="UCLouvain"/>
    <s v="Data Engineering"/>
    <s v="Master"/>
    <n v="2"/>
    <n v="3500"/>
    <n v="70.5"/>
    <n v="780"/>
    <n v="180"/>
    <n v="800"/>
    <n v="0.92"/>
    <n v="24000"/>
    <n v="12000"/>
    <n v="18720"/>
    <n v="20500"/>
    <n v="0.14583333333333334"/>
  </r>
  <r>
    <x v="44"/>
    <s v="Gyor"/>
    <s v="Szechenyi Istvan University"/>
    <s v="Robotics"/>
    <s v="Bachelor"/>
    <n v="3"/>
    <n v="5200"/>
    <n v="45.6"/>
    <n v="320"/>
    <n v="140"/>
    <n v="450"/>
    <n v="350.25"/>
    <n v="18210"/>
    <n v="6070"/>
    <n v="11520"/>
    <n v="13010"/>
    <n v="0.28555738605162001"/>
  </r>
  <r>
    <x v="32"/>
    <s v="Tomsk"/>
    <s v="Tomsk State University"/>
    <s v="Software Engineering"/>
    <s v="Master"/>
    <n v="2"/>
    <n v="4600"/>
    <n v="51.2"/>
    <n v="350"/>
    <n v="160"/>
    <n v="400"/>
    <n v="95.5"/>
    <n v="13960"/>
    <n v="6980"/>
    <n v="8400"/>
    <n v="9360"/>
    <n v="0.32951289398280803"/>
  </r>
  <r>
    <x v="31"/>
    <s v="Antalya"/>
    <s v="Akdeniz University"/>
    <s v="Data Science"/>
    <s v="PhD"/>
    <n v="4"/>
    <n v="1400"/>
    <n v="47.8"/>
    <n v="420"/>
    <n v="90"/>
    <n v="500"/>
    <n v="28.5"/>
    <n v="23650"/>
    <n v="5912.5"/>
    <n v="20160"/>
    <n v="22250"/>
    <n v="5.9196617336152217E-2"/>
  </r>
  <r>
    <x v="34"/>
    <s v="Piraeus"/>
    <s v="University of Piraeus"/>
    <s v="Information Technology"/>
    <s v="Master"/>
    <n v="2"/>
    <n v="0"/>
    <n v="63.4"/>
    <n v="550"/>
    <n v="100"/>
    <n v="600"/>
    <n v="0.92"/>
    <n v="14500"/>
    <n v="7250"/>
    <n v="13200"/>
    <n v="14500"/>
    <n v="0"/>
  </r>
  <r>
    <x v="17"/>
    <s v="Hasselt"/>
    <s v="Hasselt University"/>
    <s v="Artificial Intelligence"/>
    <s v="Bachelor"/>
    <n v="3"/>
    <n v="3400"/>
    <n v="69.8"/>
    <n v="750"/>
    <n v="180"/>
    <n v="800"/>
    <n v="0.92"/>
    <n v="32980"/>
    <n v="10993.333333333334"/>
    <n v="27000"/>
    <n v="29580"/>
    <n v="0.10309278350515463"/>
  </r>
  <r>
    <x v="44"/>
    <s v="Miskolc"/>
    <s v="University of Miskolc"/>
    <s v="Computer Engineering"/>
    <s v="Master"/>
    <n v="2"/>
    <n v="5300"/>
    <n v="44.5"/>
    <n v="300"/>
    <n v="140"/>
    <n v="450"/>
    <n v="350.25"/>
    <n v="13540"/>
    <n v="6770"/>
    <n v="7200"/>
    <n v="8240"/>
    <n v="0.39143279172821271"/>
  </r>
  <r>
    <x v="32"/>
    <s v="Yekaterinburg"/>
    <s v="Ural Federal University"/>
    <s v="Data Analytics"/>
    <s v="PhD"/>
    <n v="4"/>
    <n v="4700"/>
    <n v="53.4"/>
    <n v="400"/>
    <n v="160"/>
    <n v="400"/>
    <n v="95.5"/>
    <n v="25660"/>
    <n v="6415"/>
    <n v="19200"/>
    <n v="20960"/>
    <n v="0.18316445830085737"/>
  </r>
  <r>
    <x v="31"/>
    <s v="Kayseri"/>
    <s v="Erciyes University"/>
    <s v="Software Engineering"/>
    <s v="Master"/>
    <n v="2"/>
    <n v="1200"/>
    <n v="45.2"/>
    <n v="350"/>
    <n v="90"/>
    <n v="500"/>
    <n v="28.5"/>
    <n v="10690"/>
    <n v="5345"/>
    <n v="8400"/>
    <n v="9490"/>
    <n v="0.11225444340505145"/>
  </r>
  <r>
    <x v="34"/>
    <s v="Xanthi"/>
    <s v="Democritus University"/>
    <s v="Computer Engineering"/>
    <s v="Bachelor"/>
    <n v="4"/>
    <n v="0"/>
    <n v="58.7"/>
    <n v="380"/>
    <n v="100"/>
    <n v="600"/>
    <n v="0.92"/>
    <n v="20740"/>
    <n v="5185"/>
    <n v="18240"/>
    <n v="20740"/>
    <n v="0"/>
  </r>
  <r>
    <x v="17"/>
    <s v="Liege"/>
    <s v="University of Liege"/>
    <s v="Data Science"/>
    <s v="PhD"/>
    <n v="4"/>
    <n v="3600"/>
    <n v="68.900000000000006"/>
    <n v="720"/>
    <n v="180"/>
    <n v="800"/>
    <n v="0.92"/>
    <n v="41540"/>
    <n v="10385"/>
    <n v="34560"/>
    <n v="37940"/>
    <n v="8.6663456909003372E-2"/>
  </r>
  <r>
    <x v="44"/>
    <s v="Veszprem"/>
    <s v="University of Pannonia"/>
    <s v="Information Systems"/>
    <s v="Master"/>
    <n v="2"/>
    <n v="5100"/>
    <n v="44.8"/>
    <n v="310"/>
    <n v="140"/>
    <n v="450"/>
    <n v="350.25"/>
    <n v="13580"/>
    <n v="6790"/>
    <n v="7440"/>
    <n v="8480"/>
    <n v="0.37555228276877761"/>
  </r>
  <r>
    <x v="32"/>
    <s v="Samara"/>
    <s v="Samara State University"/>
    <s v="Computer Science"/>
    <s v="Master"/>
    <n v="2"/>
    <n v="4400"/>
    <n v="50.5"/>
    <n v="370"/>
    <n v="160"/>
    <n v="400"/>
    <n v="95.5"/>
    <n v="14240"/>
    <n v="7120"/>
    <n v="8880"/>
    <n v="9840"/>
    <n v="0.3089887640449438"/>
  </r>
  <r>
    <x v="31"/>
    <s v="Konya"/>
    <s v="Selcuk University"/>
    <s v="Artificial Intelligence"/>
    <s v="Bachelor"/>
    <n v="4"/>
    <n v="1000"/>
    <n v="44.5"/>
    <n v="330"/>
    <n v="90"/>
    <n v="500"/>
    <n v="28.5"/>
    <n v="18930"/>
    <n v="4732.5"/>
    <n v="15840"/>
    <n v="17930"/>
    <n v="5.2826201796090863E-2"/>
  </r>
  <r>
    <x v="34"/>
    <s v="Chios"/>
    <s v="University of the Aegean"/>
    <s v="Digital Systems"/>
    <s v="Master"/>
    <n v="2"/>
    <n v="0"/>
    <n v="59.2"/>
    <n v="400"/>
    <n v="100"/>
    <n v="600"/>
    <n v="0.92"/>
    <n v="10900"/>
    <n v="5450"/>
    <n v="9600"/>
    <n v="10900"/>
    <n v="0"/>
  </r>
  <r>
    <x v="17"/>
    <s v="Mons"/>
    <s v="University of Mons"/>
    <s v="Computer Engineering"/>
    <s v="Master"/>
    <n v="2"/>
    <n v="3500"/>
    <n v="67.8"/>
    <n v="700"/>
    <n v="180"/>
    <n v="800"/>
    <n v="0.92"/>
    <n v="22080"/>
    <n v="11040"/>
    <n v="16800"/>
    <n v="18580"/>
    <n v="0.1585144927536232"/>
  </r>
  <r>
    <x v="44"/>
    <s v="Kecskemet"/>
    <s v="John von Neumann University"/>
    <s v="Data Analytics"/>
    <s v="PhD"/>
    <n v="4"/>
    <n v="5400"/>
    <n v="43.9"/>
    <n v="290"/>
    <n v="140"/>
    <n v="450"/>
    <n v="350.25"/>
    <n v="21260"/>
    <n v="5315"/>
    <n v="13920"/>
    <n v="15860"/>
    <n v="0.2539981185324553"/>
  </r>
  <r>
    <x v="32"/>
    <s v="Rostov-on-Don"/>
    <s v="Southern Federal University"/>
    <s v="Information Technology"/>
    <s v="Bachelor"/>
    <n v="4"/>
    <n v="4200"/>
    <n v="49.8"/>
    <n v="350"/>
    <n v="160"/>
    <n v="400"/>
    <n v="95.5"/>
    <n v="22760"/>
    <n v="5690"/>
    <n v="16800"/>
    <n v="18560"/>
    <n v="0.18453427065026362"/>
  </r>
  <r>
    <x v="30"/>
    <s v="Sao Paulo"/>
    <s v="University of Sao Paulo"/>
    <s v="Computer Science"/>
    <s v="Master"/>
    <n v="2"/>
    <n v="0"/>
    <n v="55.8"/>
    <n v="600"/>
    <n v="90"/>
    <n v="400"/>
    <n v="4.95"/>
    <n v="15290"/>
    <n v="7645"/>
    <n v="14400"/>
    <n v="15290"/>
    <n v="0"/>
  </r>
  <r>
    <x v="23"/>
    <s v="Bangalore"/>
    <s v="Indian Institute of Science"/>
    <s v="Data Science"/>
    <s v="PhD"/>
    <n v="4"/>
    <n v="2000"/>
    <n v="45.2"/>
    <n v="300"/>
    <n v="180"/>
    <n v="300"/>
    <n v="82.75"/>
    <n v="17780"/>
    <n v="4445"/>
    <n v="14400"/>
    <n v="15780"/>
    <n v="0.1124859392575928"/>
  </r>
  <r>
    <x v="35"/>
    <s v="Bangkok"/>
    <s v="Chulalongkorn University"/>
    <s v="Software Engineering"/>
    <s v="Master"/>
    <n v="2"/>
    <n v="15000"/>
    <n v="51.4"/>
    <n v="500"/>
    <n v="80"/>
    <n v="350"/>
    <n v="35.25"/>
    <n v="27780"/>
    <n v="13890"/>
    <n v="12000"/>
    <n v="12780"/>
    <n v="0.5399568034557235"/>
  </r>
  <r>
    <x v="38"/>
    <s v="Cairo"/>
    <s v="Cairo University"/>
    <s v="Computer Engineering"/>
    <s v="Bachelor"/>
    <n v="4"/>
    <n v="2500"/>
    <n v="31.8"/>
    <n v="250"/>
    <n v="100"/>
    <n v="200"/>
    <n v="30.9"/>
    <n v="15400"/>
    <n v="3850"/>
    <n v="12000"/>
    <n v="12900"/>
    <n v="0.16233766233766234"/>
  </r>
  <r>
    <x v="7"/>
    <s v="Singapore"/>
    <s v="National University of Singapore"/>
    <s v="Artificial Intelligence"/>
    <s v="Master"/>
    <n v="2"/>
    <n v="42000"/>
    <n v="83.8"/>
    <n v="1200"/>
    <n v="90"/>
    <n v="800"/>
    <n v="1.35"/>
    <n v="72490"/>
    <n v="36245"/>
    <n v="28800"/>
    <n v="30490"/>
    <n v="0.57939026072561728"/>
  </r>
  <r>
    <x v="36"/>
    <s v="Dubai"/>
    <s v="University of Dubai"/>
    <s v="Data Analytics"/>
    <s v="Master"/>
    <n v="2"/>
    <n v="25000"/>
    <n v="72.400000000000006"/>
    <n v="1100"/>
    <n v="270"/>
    <n v="750"/>
    <n v="3.67"/>
    <n v="53170"/>
    <n v="26585"/>
    <n v="26400"/>
    <n v="28170"/>
    <n v="0.47018995674252401"/>
  </r>
  <r>
    <x v="30"/>
    <s v="Rio de Janeiro"/>
    <s v="PUC-Rio"/>
    <s v="Information Systems"/>
    <s v="PhD"/>
    <n v="4"/>
    <n v="8000"/>
    <n v="53.2"/>
    <n v="550"/>
    <n v="90"/>
    <n v="400"/>
    <n v="4.95"/>
    <n v="36090"/>
    <n v="9022.5"/>
    <n v="26400"/>
    <n v="28090"/>
    <n v="0.22166805209199225"/>
  </r>
  <r>
    <x v="23"/>
    <s v="Mumbai"/>
    <s v="IIT Bombay"/>
    <s v="Computer Engineering"/>
    <s v="Master"/>
    <n v="2"/>
    <n v="1800"/>
    <n v="47.5"/>
    <n v="350"/>
    <n v="180"/>
    <n v="300"/>
    <n v="82.75"/>
    <n v="10980"/>
    <n v="5490"/>
    <n v="8400"/>
    <n v="9180"/>
    <n v="0.16393442622950818"/>
  </r>
  <r>
    <x v="35"/>
    <s v="Chiang Mai"/>
    <s v="Chiang Mai University"/>
    <s v="Data Science"/>
    <s v="Bachelor"/>
    <n v="4"/>
    <n v="12000"/>
    <n v="45.6"/>
    <n v="300"/>
    <n v="80"/>
    <n v="350"/>
    <n v="35.25"/>
    <n v="27880"/>
    <n v="6970"/>
    <n v="14400"/>
    <n v="15880"/>
    <n v="0.43041606886657102"/>
  </r>
  <r>
    <x v="7"/>
    <s v="Singapore"/>
    <s v="Nanyang Technological University"/>
    <s v="Computer Science"/>
    <s v="PhD"/>
    <n v="4"/>
    <n v="40000"/>
    <n v="83.8"/>
    <n v="1100"/>
    <n v="90"/>
    <n v="800"/>
    <n v="1.35"/>
    <n v="96090"/>
    <n v="24022.5"/>
    <n v="52800"/>
    <n v="56090"/>
    <n v="0.41627640753460299"/>
  </r>
  <r>
    <x v="36"/>
    <s v="Abu Dhabi"/>
    <s v="Khalifa University"/>
    <s v="Robotics"/>
    <s v="Master"/>
    <n v="2"/>
    <n v="27000"/>
    <n v="71.8"/>
    <n v="1000"/>
    <n v="270"/>
    <n v="750"/>
    <n v="3.67"/>
    <n v="52770"/>
    <n v="26385"/>
    <n v="24000"/>
    <n v="25770"/>
    <n v="0.51165434906196705"/>
  </r>
  <r>
    <x v="30"/>
    <s v="Campinas"/>
    <s v="UNICAMP"/>
    <s v="Computer Engineering"/>
    <s v="Master"/>
    <n v="2"/>
    <n v="0"/>
    <n v="51.4"/>
    <n v="450"/>
    <n v="90"/>
    <n v="400"/>
    <n v="4.95"/>
    <n v="11690"/>
    <n v="5845"/>
    <n v="10800"/>
    <n v="11690"/>
    <n v="0"/>
  </r>
  <r>
    <x v="23"/>
    <s v="Delhi"/>
    <s v="IIT Delhi"/>
    <s v="Artificial Intelligence"/>
    <s v="PhD"/>
    <n v="4"/>
    <n v="1900"/>
    <n v="44.8"/>
    <n v="320"/>
    <n v="180"/>
    <n v="300"/>
    <n v="82.75"/>
    <n v="18640"/>
    <n v="4660"/>
    <n v="15360"/>
    <n v="16740"/>
    <n v="0.10193133047210301"/>
  </r>
  <r>
    <x v="35"/>
    <s v="Khon Kaen"/>
    <s v="Khon Kaen University"/>
    <s v="Information Technology"/>
    <s v="Master"/>
    <n v="2"/>
    <n v="11000"/>
    <n v="42.5"/>
    <n v="250"/>
    <n v="80"/>
    <n v="350"/>
    <n v="35.25"/>
    <n v="17780"/>
    <n v="8890"/>
    <n v="6000"/>
    <n v="6780"/>
    <n v="0.6186726659167604"/>
  </r>
  <r>
    <x v="38"/>
    <s v="Alexandria"/>
    <s v="Alexandria University"/>
    <s v="Software Engineering"/>
    <s v="Master"/>
    <n v="2"/>
    <n v="2200"/>
    <n v="30.5"/>
    <n v="200"/>
    <n v="100"/>
    <n v="200"/>
    <n v="30.9"/>
    <n v="7500"/>
    <n v="3750"/>
    <n v="4800"/>
    <n v="5300"/>
    <n v="0.29333333333333333"/>
  </r>
  <r>
    <x v="7"/>
    <s v="Singapore"/>
    <s v="Singapore Management University"/>
    <s v="Data Analytics"/>
    <s v="Bachelor"/>
    <n v="4"/>
    <n v="38000"/>
    <n v="83.8"/>
    <n v="1150"/>
    <n v="90"/>
    <n v="800"/>
    <n v="1.35"/>
    <n v="96490"/>
    <n v="24122.5"/>
    <n v="55200"/>
    <n v="58490"/>
    <n v="0.39382319411337963"/>
  </r>
  <r>
    <x v="36"/>
    <s v="Sharjah"/>
    <s v="American University of Sharjah"/>
    <s v="Computer Science"/>
    <s v="PhD"/>
    <n v="4"/>
    <n v="26000"/>
    <n v="68.5"/>
    <n v="900"/>
    <n v="270"/>
    <n v="750"/>
    <n v="3.67"/>
    <n v="72470"/>
    <n v="18117.5"/>
    <n v="43200"/>
    <n v="46470"/>
    <n v="0.35876914585345659"/>
  </r>
  <r>
    <x v="30"/>
    <s v="Porto Alegre"/>
    <s v="UFRGS"/>
    <s v="Data Science"/>
    <s v="Bachelor"/>
    <n v="4"/>
    <n v="0"/>
    <n v="49.8"/>
    <n v="400"/>
    <n v="90"/>
    <n v="400"/>
    <n v="4.95"/>
    <n v="20890"/>
    <n v="5222.5"/>
    <n v="19200"/>
    <n v="20890"/>
    <n v="0"/>
  </r>
  <r>
    <x v="23"/>
    <s v="Chennai"/>
    <s v="IIT Madras"/>
    <s v="Software Engineering"/>
    <s v="Master"/>
    <n v="2"/>
    <n v="1700"/>
    <n v="42.4"/>
    <n v="280"/>
    <n v="180"/>
    <n v="300"/>
    <n v="82.75"/>
    <n v="9200"/>
    <n v="4600"/>
    <n v="6720"/>
    <n v="7500"/>
    <n v="0.18478260869565216"/>
  </r>
  <r>
    <x v="35"/>
    <s v="Phuket"/>
    <s v="Prince of Songkla University"/>
    <s v="Computer Engineering"/>
    <s v="Master"/>
    <n v="2"/>
    <n v="10000"/>
    <n v="44.8"/>
    <n v="300"/>
    <n v="80"/>
    <n v="350"/>
    <n v="35.25"/>
    <n v="17980"/>
    <n v="8990"/>
    <n v="7200"/>
    <n v="7980"/>
    <n v="0.55617352614015569"/>
  </r>
  <r>
    <x v="38"/>
    <s v="Giza"/>
    <s v="Ain Shams University"/>
    <s v="Data Science"/>
    <s v="PhD"/>
    <n v="4"/>
    <n v="2400"/>
    <n v="31.2"/>
    <n v="220"/>
    <n v="100"/>
    <n v="200"/>
    <n v="30.9"/>
    <n v="13860"/>
    <n v="3465"/>
    <n v="10560"/>
    <n v="11460"/>
    <n v="0.17316017316017315"/>
  </r>
  <r>
    <x v="7"/>
    <s v="Singapore"/>
    <s v="Singapore University of Technology"/>
    <s v="Artificial Intelligence"/>
    <s v="Master"/>
    <n v="2"/>
    <n v="39000"/>
    <n v="83.8"/>
    <n v="1100"/>
    <n v="90"/>
    <n v="800"/>
    <n v="1.35"/>
    <n v="67090"/>
    <n v="33545"/>
    <n v="26400"/>
    <n v="28090"/>
    <n v="0.58130868981964523"/>
  </r>
  <r>
    <x v="36"/>
    <s v="Ajman"/>
    <s v="Ajman University"/>
    <s v="Information Systems"/>
    <s v="Bachelor"/>
    <n v="4"/>
    <n v="23000"/>
    <n v="65.400000000000006"/>
    <n v="800"/>
    <n v="270"/>
    <n v="750"/>
    <n v="3.67"/>
    <n v="64670"/>
    <n v="16167.5"/>
    <n v="38400"/>
    <n v="41670"/>
    <n v="0.35565177052729241"/>
  </r>
  <r>
    <x v="30"/>
    <s v="Recife"/>
    <s v="UFPE"/>
    <s v="Computer Engineering"/>
    <s v="Master"/>
    <n v="2"/>
    <n v="0"/>
    <n v="47.5"/>
    <n v="350"/>
    <n v="90"/>
    <n v="400"/>
    <n v="4.95"/>
    <n v="9290"/>
    <n v="4645"/>
    <n v="8400"/>
    <n v="9290"/>
    <n v="0"/>
  </r>
  <r>
    <x v="23"/>
    <s v="Hyderabad"/>
    <s v="IIT Hyderabad"/>
    <s v="Data Analytics"/>
    <s v="PhD"/>
    <n v="4"/>
    <n v="1800"/>
    <n v="41.2"/>
    <n v="260"/>
    <n v="180"/>
    <n v="300"/>
    <n v="82.75"/>
    <n v="15660"/>
    <n v="3915"/>
    <n v="12480"/>
    <n v="13860"/>
    <n v="0.11494252873563218"/>
  </r>
  <r>
    <x v="35"/>
    <s v="Hat Yai"/>
    <s v="Prince of Songkla University"/>
    <s v="Software Engineering"/>
    <s v="Bachelor"/>
    <n v="4"/>
    <n v="9500"/>
    <n v="43.2"/>
    <n v="280"/>
    <n v="80"/>
    <n v="350"/>
    <n v="35.25"/>
    <n v="24420"/>
    <n v="6105"/>
    <n v="13440"/>
    <n v="14920"/>
    <n v="0.38902538902538902"/>
  </r>
  <r>
    <x v="38"/>
    <s v="Port Said"/>
    <s v="Port Said University"/>
    <s v="Computer Science"/>
    <s v="Master"/>
    <n v="2"/>
    <n v="2100"/>
    <n v="29.8"/>
    <n v="180"/>
    <n v="100"/>
    <n v="200"/>
    <n v="30.9"/>
    <n v="6920"/>
    <n v="3460"/>
    <n v="4320"/>
    <n v="4820"/>
    <n v="0.30346820809248554"/>
  </r>
  <r>
    <x v="7"/>
    <s v="Singapore"/>
    <s v="SUTD"/>
    <s v="Robotics"/>
    <s v="PhD"/>
    <n v="4"/>
    <n v="37000"/>
    <n v="83.8"/>
    <n v="1050"/>
    <n v="90"/>
    <n v="800"/>
    <n v="1.35"/>
    <n v="90690"/>
    <n v="22672.5"/>
    <n v="50400"/>
    <n v="53690"/>
    <n v="0.40798323960745397"/>
  </r>
  <r>
    <x v="36"/>
    <s v="Al Ain"/>
    <s v="UAE University"/>
    <s v="Data Science"/>
    <s v="Master"/>
    <n v="2"/>
    <n v="24000"/>
    <n v="64.2"/>
    <n v="750"/>
    <n v="270"/>
    <n v="750"/>
    <n v="3.67"/>
    <n v="43770"/>
    <n v="21885"/>
    <n v="18000"/>
    <n v="19770"/>
    <n v="0.54832076764907467"/>
  </r>
  <r>
    <x v="30"/>
    <s v="Florianopolis"/>
    <s v="UFSC"/>
    <s v="Information Technology"/>
    <s v="PhD"/>
    <n v="4"/>
    <n v="0"/>
    <n v="48.9"/>
    <n v="400"/>
    <n v="90"/>
    <n v="400"/>
    <n v="4.95"/>
    <n v="20890"/>
    <n v="5222.5"/>
    <n v="19200"/>
    <n v="20890"/>
    <n v="0"/>
  </r>
  <r>
    <x v="23"/>
    <s v="Pune"/>
    <s v="IIT Pune"/>
    <s v="Computer Science"/>
    <s v="Master"/>
    <n v="2"/>
    <n v="1600"/>
    <n v="40.5"/>
    <n v="250"/>
    <n v="180"/>
    <n v="300"/>
    <n v="82.75"/>
    <n v="8380"/>
    <n v="4190"/>
    <n v="6000"/>
    <n v="6780"/>
    <n v="0.1909307875894988"/>
  </r>
  <r>
    <x v="35"/>
    <s v="Nakhon Ratchasima"/>
    <s v="Suranaree University"/>
    <s v="Data Engineering"/>
    <s v="Master"/>
    <n v="2"/>
    <n v="9000"/>
    <n v="41.8"/>
    <n v="250"/>
    <n v="80"/>
    <n v="350"/>
    <n v="35.25"/>
    <n v="15780"/>
    <n v="7890"/>
    <n v="6000"/>
    <n v="6780"/>
    <n v="0.57034220532319391"/>
  </r>
  <r>
    <x v="38"/>
    <s v="Mansoura"/>
    <s v="Mansoura University"/>
    <s v="Information Systems"/>
    <s v="Bachelor"/>
    <n v="4"/>
    <n v="2000"/>
    <n v="28.5"/>
    <n v="170"/>
    <n v="100"/>
    <n v="200"/>
    <n v="30.9"/>
    <n v="11060"/>
    <n v="2765"/>
    <n v="8160"/>
    <n v="9060"/>
    <n v="0.18083182640144665"/>
  </r>
  <r>
    <x v="7"/>
    <s v="Singapore"/>
    <s v="SIM Global Education"/>
    <s v="Software Engineering"/>
    <s v="Bachelor"/>
    <n v="4"/>
    <n v="35000"/>
    <n v="83.8"/>
    <n v="1000"/>
    <n v="90"/>
    <n v="800"/>
    <n v="1.35"/>
    <n v="86290"/>
    <n v="21572.5"/>
    <n v="48000"/>
    <n v="51290"/>
    <n v="0.4056089929308147"/>
  </r>
  <r>
    <x v="36"/>
    <s v="Ras Al Khaimah"/>
    <s v="RAK University"/>
    <s v="Computer Engineering"/>
    <s v="Master"/>
    <n v="2"/>
    <n v="22000"/>
    <n v="62.5"/>
    <n v="700"/>
    <n v="270"/>
    <n v="750"/>
    <n v="3.67"/>
    <n v="40570"/>
    <n v="20285"/>
    <n v="16800"/>
    <n v="18570"/>
    <n v="0.54227261523293069"/>
  </r>
  <r>
    <x v="30"/>
    <s v="Salvador"/>
    <s v="UFBA"/>
    <s v="Data Science"/>
    <s v="Master"/>
    <n v="2"/>
    <n v="0"/>
    <n v="46.8"/>
    <n v="380"/>
    <n v="90"/>
    <n v="400"/>
    <n v="4.95"/>
    <n v="10010"/>
    <n v="5005"/>
    <n v="9120"/>
    <n v="10010"/>
    <n v="0"/>
  </r>
  <r>
    <x v="23"/>
    <s v="Kanpur"/>
    <s v="IIT Kanpur"/>
    <s v="Artificial Intelligence"/>
    <s v="PhD"/>
    <n v="4"/>
    <n v="1900"/>
    <n v="39.799999999999997"/>
    <n v="240"/>
    <n v="180"/>
    <n v="300"/>
    <n v="82.75"/>
    <n v="14800"/>
    <n v="3700"/>
    <n v="11520"/>
    <n v="12900"/>
    <n v="0.12837837837837837"/>
  </r>
  <r>
    <x v="35"/>
    <s v="Songkhla"/>
    <s v="Thaksin University"/>
    <s v="Computer Engineering"/>
    <s v="Bachelor"/>
    <n v="4"/>
    <n v="8500"/>
    <n v="42.5"/>
    <n v="270"/>
    <n v="80"/>
    <n v="350"/>
    <n v="35.25"/>
    <n v="22940"/>
    <n v="5735"/>
    <n v="12960"/>
    <n v="14440"/>
    <n v="0.37053182214472535"/>
  </r>
  <r>
    <x v="38"/>
    <s v="Aswan"/>
    <s v="Aswan University"/>
    <s v="Data Analytics"/>
    <s v="Master"/>
    <n v="2"/>
    <n v="1900"/>
    <n v="27.8"/>
    <n v="160"/>
    <n v="100"/>
    <n v="200"/>
    <n v="30.9"/>
    <n v="6240"/>
    <n v="3120"/>
    <n v="3840"/>
    <n v="4340"/>
    <n v="0.30448717948717946"/>
  </r>
  <r>
    <x v="36"/>
    <s v="Fujairah"/>
    <s v="Fujairah University"/>
    <s v="Information Technology"/>
    <s v="Bachelor"/>
    <n v="4"/>
    <n v="21000"/>
    <n v="61.4"/>
    <n v="650"/>
    <n v="270"/>
    <n v="750"/>
    <n v="3.67"/>
    <n v="55470"/>
    <n v="13867.5"/>
    <n v="31200"/>
    <n v="34470"/>
    <n v="0.3785830178474851"/>
  </r>
  <r>
    <x v="45"/>
    <s v="Reykjavik"/>
    <s v="University of Iceland"/>
    <s v="Computer Science"/>
    <s v="Master"/>
    <n v="2"/>
    <n v="0"/>
    <n v="84.5"/>
    <n v="1200"/>
    <n v="140"/>
    <n v="900"/>
    <n v="137.5"/>
    <n v="30740"/>
    <n v="15370"/>
    <n v="28800"/>
    <n v="30740"/>
    <n v="0"/>
  </r>
  <r>
    <x v="46"/>
    <s v="Bogota"/>
    <s v="Universidad Nacional"/>
    <s v="Software Engineering"/>
    <s v="Master"/>
    <n v="2"/>
    <n v="3500"/>
    <n v="41.2"/>
    <n v="400"/>
    <n v="80"/>
    <n v="300"/>
    <n v="3950"/>
    <n v="13780"/>
    <n v="6890"/>
    <n v="9600"/>
    <n v="10280"/>
    <n v="0.2539912917271408"/>
  </r>
  <r>
    <x v="24"/>
    <s v="Warsaw"/>
    <s v="University of Warsaw"/>
    <s v="Data Science"/>
    <s v="PhD"/>
    <n v="4"/>
    <n v="3000"/>
    <n v="54.8"/>
    <n v="650"/>
    <n v="80"/>
    <n v="400"/>
    <n v="4.0999999999999996"/>
    <n v="35880"/>
    <n v="8970"/>
    <n v="31200"/>
    <n v="32880"/>
    <n v="8.3612040133779264E-2"/>
  </r>
  <r>
    <x v="47"/>
    <s v="Bucharest"/>
    <s v="University Politehnica"/>
    <s v="Computer Engineering"/>
    <s v="Bachelor"/>
    <n v="3"/>
    <n v="2500"/>
    <n v="45.2"/>
    <n v="450"/>
    <n v="120"/>
    <n v="350"/>
    <n v="4.6500000000000004"/>
    <n v="19870"/>
    <n v="6623.333333333333"/>
    <n v="16200"/>
    <n v="17370"/>
    <n v="0.12581781580271767"/>
  </r>
  <r>
    <x v="48"/>
    <s v="Luxembourg City"/>
    <s v="University of Luxembourg"/>
    <s v="Artificial Intelligence"/>
    <s v="Master"/>
    <n v="2"/>
    <n v="400"/>
    <n v="83.2"/>
    <n v="1400"/>
    <n v="100"/>
    <n v="800"/>
    <n v="0.92"/>
    <n v="35700"/>
    <n v="17850"/>
    <n v="33600"/>
    <n v="35300"/>
    <n v="1.1204481792717087E-2"/>
  </r>
  <r>
    <x v="40"/>
    <s v="Jakarta"/>
    <s v="University of Indonesia"/>
    <s v="Information Systems"/>
    <s v="Master"/>
    <n v="2"/>
    <n v="5000"/>
    <n v="45.8"/>
    <n v="400"/>
    <n v="150"/>
    <n v="250"/>
    <n v="15600"/>
    <n v="15250"/>
    <n v="7625"/>
    <n v="9600"/>
    <n v="10250"/>
    <n v="0.32786885245901637"/>
  </r>
  <r>
    <x v="45"/>
    <s v="Akureyri"/>
    <s v="University of Akureyri"/>
    <s v="Data Analytics"/>
    <s v="Bachelor"/>
    <n v="3"/>
    <n v="0"/>
    <n v="78.400000000000006"/>
    <n v="900"/>
    <n v="140"/>
    <n v="900"/>
    <n v="137.5"/>
    <n v="35240"/>
    <n v="11746.666666666666"/>
    <n v="32400"/>
    <n v="35240"/>
    <n v="0"/>
  </r>
  <r>
    <x v="46"/>
    <s v="Medellin"/>
    <s v="Universidad de Antioquia"/>
    <s v="Computer Science"/>
    <s v="PhD"/>
    <n v="4"/>
    <n v="4000"/>
    <n v="38.5"/>
    <n v="350"/>
    <n v="80"/>
    <n v="300"/>
    <n v="3950"/>
    <n v="22080"/>
    <n v="5520"/>
    <n v="16800"/>
    <n v="18080"/>
    <n v="0.18115942028985507"/>
  </r>
  <r>
    <x v="24"/>
    <s v="Krakow"/>
    <s v="Jagiellonian University"/>
    <s v="Software Development"/>
    <s v="Master"/>
    <n v="2"/>
    <n v="2800"/>
    <n v="52.4"/>
    <n v="600"/>
    <n v="80"/>
    <n v="400"/>
    <n v="4.0999999999999996"/>
    <n v="18080"/>
    <n v="9040"/>
    <n v="14400"/>
    <n v="15280"/>
    <n v="0.15486725663716813"/>
  </r>
  <r>
    <x v="47"/>
    <s v="Cluj-Napoca"/>
    <s v="Babes-Bolyai University"/>
    <s v="Data Science"/>
    <s v="Master"/>
    <n v="2"/>
    <n v="2200"/>
    <n v="43.8"/>
    <n v="400"/>
    <n v="120"/>
    <n v="350"/>
    <n v="4.6500000000000004"/>
    <n v="12620"/>
    <n v="6310"/>
    <n v="9600"/>
    <n v="10420"/>
    <n v="0.17432646592709986"/>
  </r>
  <r>
    <x v="48"/>
    <s v="Esch-sur-Alzette"/>
    <s v="Luxembourg School of Business"/>
    <s v="Data Engineering"/>
    <s v="Master"/>
    <n v="2"/>
    <n v="400"/>
    <n v="79.5"/>
    <n v="1200"/>
    <n v="100"/>
    <n v="800"/>
    <n v="0.92"/>
    <n v="30900"/>
    <n v="15450"/>
    <n v="28800"/>
    <n v="30500"/>
    <n v="1.2944983818770227E-2"/>
  </r>
  <r>
    <x v="40"/>
    <s v="Bandung"/>
    <s v="Institut Teknologi Bandung"/>
    <s v="Computer Engineering"/>
    <s v="PhD"/>
    <n v="4"/>
    <n v="4500"/>
    <n v="42.4"/>
    <n v="300"/>
    <n v="150"/>
    <n v="250"/>
    <n v="15600"/>
    <n v="20050"/>
    <n v="5012.5"/>
    <n v="14400"/>
    <n v="15550"/>
    <n v="0.22443890274314215"/>
  </r>
  <r>
    <x v="45"/>
    <s v="Reykjavik"/>
    <s v="Reykjavik University"/>
    <s v="Robotics"/>
    <s v="Master"/>
    <n v="2"/>
    <n v="0"/>
    <n v="84.5"/>
    <n v="1150"/>
    <n v="140"/>
    <n v="900"/>
    <n v="137.5"/>
    <n v="29540"/>
    <n v="14770"/>
    <n v="27600"/>
    <n v="29540"/>
    <n v="0"/>
  </r>
  <r>
    <x v="46"/>
    <s v="Cali"/>
    <s v="Universidad del Valle"/>
    <s v="Information Technology"/>
    <s v="Bachelor"/>
    <n v="4"/>
    <n v="3200"/>
    <n v="36.799999999999997"/>
    <n v="300"/>
    <n v="80"/>
    <n v="300"/>
    <n v="3950"/>
    <n v="18880"/>
    <n v="4720"/>
    <n v="14400"/>
    <n v="15680"/>
    <n v="0.16949152542372881"/>
  </r>
  <r>
    <x v="24"/>
    <s v="Wroclaw"/>
    <s v="Wroclaw University of Technology"/>
    <s v="Artificial Intelligence"/>
    <s v="Master"/>
    <n v="2"/>
    <n v="2600"/>
    <n v="50.5"/>
    <n v="550"/>
    <n v="80"/>
    <n v="400"/>
    <n v="4.0999999999999996"/>
    <n v="16680"/>
    <n v="8340"/>
    <n v="13200"/>
    <n v="14080"/>
    <n v="0.15587529976019185"/>
  </r>
  <r>
    <x v="47"/>
    <s v="Timisoara"/>
    <s v="Politehnica University"/>
    <s v="Software Engineering"/>
    <s v="PhD"/>
    <n v="4"/>
    <n v="2400"/>
    <n v="42.5"/>
    <n v="380"/>
    <n v="120"/>
    <n v="350"/>
    <n v="4.6500000000000004"/>
    <n v="22160"/>
    <n v="5540"/>
    <n v="18240"/>
    <n v="19760"/>
    <n v="0.10830324909747292"/>
  </r>
  <r>
    <x v="48"/>
    <s v="Belval"/>
    <s v="Luxembourg Institute of Science"/>
    <s v="Computer Science"/>
    <s v="Bachelor"/>
    <n v="3"/>
    <n v="400"/>
    <n v="78.400000000000006"/>
    <n v="1100"/>
    <n v="100"/>
    <n v="800"/>
    <n v="0.92"/>
    <n v="42500"/>
    <n v="14166.666666666666"/>
    <n v="39600"/>
    <n v="42100"/>
    <n v="9.4117647058823521E-3"/>
  </r>
  <r>
    <x v="40"/>
    <s v="Yogyakarta"/>
    <s v="Gadjah Mada University"/>
    <s v="Data Science"/>
    <s v="Master"/>
    <n v="2"/>
    <n v="4000"/>
    <n v="40.200000000000003"/>
    <n v="250"/>
    <n v="150"/>
    <n v="250"/>
    <n v="15600"/>
    <n v="10650"/>
    <n v="5325"/>
    <n v="6000"/>
    <n v="6650"/>
    <n v="0.37558685446009388"/>
  </r>
  <r>
    <x v="45"/>
    <s v="Hafnarfjordur"/>
    <s v="Iceland University of Arts"/>
    <s v="Digital Design"/>
    <s v="Master"/>
    <n v="2"/>
    <n v="0"/>
    <n v="82.1"/>
    <n v="1000"/>
    <n v="140"/>
    <n v="900"/>
    <n v="137.5"/>
    <n v="25940"/>
    <n v="12970"/>
    <n v="24000"/>
    <n v="25940"/>
    <n v="0"/>
  </r>
  <r>
    <x v="46"/>
    <s v="Barranquilla"/>
    <s v="Universidad del Norte"/>
    <s v="Computer Engineering"/>
    <s v="Master"/>
    <n v="2"/>
    <n v="3800"/>
    <n v="35.4"/>
    <n v="280"/>
    <n v="80"/>
    <n v="300"/>
    <n v="3950"/>
    <n v="11200"/>
    <n v="5600"/>
    <n v="6720"/>
    <n v="7400"/>
    <n v="0.3392857142857143"/>
  </r>
  <r>
    <x v="24"/>
    <s v="Poznan"/>
    <s v="Adam Mickiewicz University"/>
    <s v="Computer Science"/>
    <s v="PhD"/>
    <n v="4"/>
    <n v="2700"/>
    <n v="51.2"/>
    <n v="580"/>
    <n v="80"/>
    <n v="400"/>
    <n v="4.0999999999999996"/>
    <n v="32220"/>
    <n v="8055"/>
    <n v="27840"/>
    <n v="29520"/>
    <n v="8.3798882681564241E-2"/>
  </r>
  <r>
    <x v="47"/>
    <s v="Iasi"/>
    <s v="Alexandru Ioan Cuza University"/>
    <s v="Information Systems"/>
    <s v="Master"/>
    <n v="2"/>
    <n v="2100"/>
    <n v="41.8"/>
    <n v="350"/>
    <n v="120"/>
    <n v="350"/>
    <n v="4.6500000000000004"/>
    <n v="11320"/>
    <n v="5660"/>
    <n v="8400"/>
    <n v="9220"/>
    <n v="0.18551236749116609"/>
  </r>
  <r>
    <x v="48"/>
    <s v="Kirchberg"/>
    <s v="Sacred Heart University"/>
    <s v="Data Analytics"/>
    <s v="Master"/>
    <n v="2"/>
    <n v="400"/>
    <n v="81.5"/>
    <n v="1300"/>
    <n v="100"/>
    <n v="800"/>
    <n v="0.92"/>
    <n v="33300"/>
    <n v="16650"/>
    <n v="31200"/>
    <n v="32900"/>
    <n v="1.2012012012012012E-2"/>
  </r>
  <r>
    <x v="40"/>
    <s v="Surabaya"/>
    <s v="Institut Teknologi Sepuluh"/>
    <s v="Software Engineering"/>
    <s v="Bachelor"/>
    <n v="4"/>
    <n v="3800"/>
    <n v="41.5"/>
    <n v="280"/>
    <n v="150"/>
    <n v="250"/>
    <n v="15600"/>
    <n v="18390"/>
    <n v="4597.5"/>
    <n v="13440"/>
    <n v="14590"/>
    <n v="0.20663404023926046"/>
  </r>
  <r>
    <x v="45"/>
    <s v="Kopavogur"/>
    <s v="Bifrost University"/>
    <s v="Digital Business"/>
    <s v="Bachelor"/>
    <n v="3"/>
    <n v="0"/>
    <n v="81.2"/>
    <n v="950"/>
    <n v="140"/>
    <n v="900"/>
    <n v="137.5"/>
    <n v="37040"/>
    <n v="12346.666666666666"/>
    <n v="34200"/>
    <n v="37040"/>
    <n v="0"/>
  </r>
  <r>
    <x v="46"/>
    <s v="Bucaramanga"/>
    <s v="UIS"/>
    <s v="Data Science"/>
    <s v="PhD"/>
    <n v="4"/>
    <n v="3500"/>
    <n v="34.799999999999997"/>
    <n v="260"/>
    <n v="80"/>
    <n v="300"/>
    <n v="3950"/>
    <n v="17260"/>
    <n v="4315"/>
    <n v="12480"/>
    <n v="13760"/>
    <n v="0.20278099652375434"/>
  </r>
  <r>
    <x v="24"/>
    <s v="Gdansk"/>
    <s v="Gdansk University of Technology"/>
    <s v="Cybersecurity"/>
    <s v="Master"/>
    <n v="2"/>
    <n v="2500"/>
    <n v="49.8"/>
    <n v="520"/>
    <n v="80"/>
    <n v="400"/>
    <n v="4.0999999999999996"/>
    <n v="15860"/>
    <n v="7930"/>
    <n v="12480"/>
    <n v="13360"/>
    <n v="0.15762925598991173"/>
  </r>
  <r>
    <x v="47"/>
    <s v="Brasov"/>
    <s v="Transilvania University"/>
    <s v="Computer Engineering"/>
    <s v="Bachelor"/>
    <n v="4"/>
    <n v="2000"/>
    <n v="40.5"/>
    <n v="330"/>
    <n v="120"/>
    <n v="350"/>
    <n v="4.6500000000000004"/>
    <n v="19360"/>
    <n v="4840"/>
    <n v="15840"/>
    <n v="17360"/>
    <n v="0.10330578512396695"/>
  </r>
  <r>
    <x v="48"/>
    <s v="Differdange"/>
    <s v="Miami University Dolibois"/>
    <s v="Information Technology"/>
    <s v="Master"/>
    <n v="2"/>
    <n v="400"/>
    <n v="77.8"/>
    <n v="1150"/>
    <n v="100"/>
    <n v="800"/>
    <n v="0.92"/>
    <n v="29700"/>
    <n v="14850"/>
    <n v="27600"/>
    <n v="29300"/>
    <n v="1.3468013468013467E-2"/>
  </r>
  <r>
    <x v="40"/>
    <s v="Malang"/>
    <s v="Brawijaya University"/>
    <s v="Artificial Intelligence"/>
    <s v="Master"/>
    <n v="2"/>
    <n v="3500"/>
    <n v="39.799999999999997"/>
    <n v="240"/>
    <n v="150"/>
    <n v="250"/>
    <n v="15600"/>
    <n v="9910"/>
    <n v="4955"/>
    <n v="5760"/>
    <n v="6410"/>
    <n v="0.35317860746720486"/>
  </r>
  <r>
    <x v="24"/>
    <s v="Lodz"/>
    <s v="Lodz University of Technology"/>
    <s v="Software Engineering"/>
    <s v="Master"/>
    <n v="2"/>
    <n v="2400"/>
    <n v="48.5"/>
    <n v="500"/>
    <n v="80"/>
    <n v="400"/>
    <n v="4.0999999999999996"/>
    <n v="15280"/>
    <n v="7640"/>
    <n v="12000"/>
    <n v="12880"/>
    <n v="0.15706806282722513"/>
  </r>
  <r>
    <x v="47"/>
    <s v="Constanta"/>
    <s v="Ovidius University"/>
    <s v="Data Analytics"/>
    <s v="Master"/>
    <n v="2"/>
    <n v="1900"/>
    <n v="39.799999999999997"/>
    <n v="320"/>
    <n v="120"/>
    <n v="350"/>
    <n v="4.6500000000000004"/>
    <n v="10400"/>
    <n v="5200"/>
    <n v="7680"/>
    <n v="8500"/>
    <n v="0.18269230769230768"/>
  </r>
  <r>
    <x v="48"/>
    <s v="Walferdange"/>
    <s v="European Business University"/>
    <s v="Digital Innovation"/>
    <s v="Bachelor"/>
    <n v="3"/>
    <n v="400"/>
    <n v="76.5"/>
    <n v="1100"/>
    <n v="100"/>
    <n v="800"/>
    <n v="0.92"/>
    <n v="42500"/>
    <n v="14166.666666666666"/>
    <n v="39600"/>
    <n v="42100"/>
    <n v="9.4117647058823521E-3"/>
  </r>
  <r>
    <x v="40"/>
    <s v="Semarang"/>
    <s v="Diponegoro University"/>
    <s v="Computer Science"/>
    <s v="PhD"/>
    <n v="4"/>
    <n v="3200"/>
    <n v="38.5"/>
    <n v="220"/>
    <n v="150"/>
    <n v="250"/>
    <n v="15600"/>
    <n v="14910"/>
    <n v="3727.5"/>
    <n v="10560"/>
    <n v="11710"/>
    <n v="0.21462105969148224"/>
  </r>
  <r>
    <x v="45"/>
    <s v="Borgarnes"/>
    <s v="Agricultural University"/>
    <s v="Data Systems"/>
    <s v="Master"/>
    <n v="2"/>
    <n v="0"/>
    <n v="79.8"/>
    <n v="900"/>
    <n v="140"/>
    <n v="900"/>
    <n v="137.5"/>
    <n v="23540"/>
    <n v="11770"/>
    <n v="21600"/>
    <n v="23540"/>
    <n v="0"/>
  </r>
  <r>
    <x v="46"/>
    <s v="Cartagena"/>
    <s v="Universidad de Cartagena"/>
    <s v="Information Systems"/>
    <s v="Master"/>
    <n v="2"/>
    <n v="3300"/>
    <n v="35.200000000000003"/>
    <n v="290"/>
    <n v="80"/>
    <n v="300"/>
    <n v="3950"/>
    <n v="10940"/>
    <n v="5470"/>
    <n v="6960"/>
    <n v="7640"/>
    <n v="0.3016453382084095"/>
  </r>
  <r>
    <x v="24"/>
    <s v="Katowice"/>
    <s v="University of Silesia"/>
    <s v="Computer Engineering"/>
    <s v="Bachelor"/>
    <n v="3"/>
    <n v="2300"/>
    <n v="47.8"/>
    <n v="480"/>
    <n v="80"/>
    <n v="400"/>
    <n v="4.0999999999999996"/>
    <n v="20860"/>
    <n v="6953.333333333333"/>
    <n v="17280"/>
    <n v="18560"/>
    <n v="0.11025886864813039"/>
  </r>
  <r>
    <x v="47"/>
    <s v="Craiova"/>
    <s v="University of Craiova"/>
    <s v="Software Development"/>
    <s v="PhD"/>
    <n v="4"/>
    <n v="2200"/>
    <n v="38.9"/>
    <n v="300"/>
    <n v="120"/>
    <n v="350"/>
    <n v="4.6500000000000004"/>
    <n v="18120"/>
    <n v="4530"/>
    <n v="14400"/>
    <n v="15920"/>
    <n v="0.12141280353200883"/>
  </r>
  <r>
    <x v="48"/>
    <s v="Bertrange"/>
    <s v="Chamber of Commerce School"/>
    <s v="Business Analytics"/>
    <s v="Master"/>
    <n v="2"/>
    <n v="400"/>
    <n v="75.400000000000006"/>
    <n v="1050"/>
    <n v="100"/>
    <n v="800"/>
    <n v="0.92"/>
    <n v="27300"/>
    <n v="13650"/>
    <n v="25200"/>
    <n v="26900"/>
    <n v="1.4652014652014652E-2"/>
  </r>
  <r>
    <x v="40"/>
    <s v="Denpasar"/>
    <s v="Udayana University"/>
    <s v="Information Technology"/>
    <s v="Master"/>
    <n v="2"/>
    <n v="3000"/>
    <n v="37.9"/>
    <n v="200"/>
    <n v="150"/>
    <n v="250"/>
    <n v="15600"/>
    <n v="8450"/>
    <n v="4225"/>
    <n v="4800"/>
    <n v="5450"/>
    <n v="0.35502958579881655"/>
  </r>
  <r>
    <x v="49"/>
    <s v="Tunis"/>
    <s v="University of Tunis"/>
    <s v="Computer Science"/>
    <s v="Master"/>
    <n v="2"/>
    <n v="1500"/>
    <n v="35.799999999999997"/>
    <n v="250"/>
    <n v="60"/>
    <n v="200"/>
    <n v="3.15"/>
    <n v="7960"/>
    <n v="3980"/>
    <n v="6000"/>
    <n v="6460"/>
    <n v="0.18844221105527639"/>
  </r>
  <r>
    <x v="50"/>
    <s v="Nicosia"/>
    <s v="University of Cyprus"/>
    <s v="Data Science"/>
    <s v="Master"/>
    <n v="2"/>
    <n v="8000"/>
    <n v="65.400000000000006"/>
    <n v="600"/>
    <n v="100"/>
    <n v="500"/>
    <n v="0.92"/>
    <n v="23500"/>
    <n v="11750"/>
    <n v="14400"/>
    <n v="15500"/>
    <n v="0.34042553191489361"/>
  </r>
  <r>
    <x v="51"/>
    <s v="Zagreb"/>
    <s v="University of Zagreb"/>
    <s v="Software Engineering"/>
    <s v="PhD"/>
    <n v="4"/>
    <n v="4000"/>
    <n v="58.9"/>
    <n v="450"/>
    <n v="80"/>
    <n v="400"/>
    <n v="7.35"/>
    <n v="27280"/>
    <n v="6820"/>
    <n v="21600"/>
    <n v="23280"/>
    <n v="0.1466275659824047"/>
  </r>
  <r>
    <x v="52"/>
    <s v="Santo Domingo"/>
    <s v="INTEC"/>
    <s v="Computer Engineering"/>
    <s v="Bachelor"/>
    <n v="4"/>
    <n v="6000"/>
    <n v="42.5"/>
    <n v="350"/>
    <n v="100"/>
    <n v="300"/>
    <n v="56.8"/>
    <n v="24100"/>
    <n v="6025"/>
    <n v="16800"/>
    <n v="18100"/>
    <n v="0.24896265560165975"/>
  </r>
  <r>
    <x v="53"/>
    <s v="Rabat"/>
    <s v="Mohammed V University"/>
    <s v="Information Systems"/>
    <s v="Master"/>
    <n v="2"/>
    <n v="2000"/>
    <n v="41.2"/>
    <n v="300"/>
    <n v="70"/>
    <n v="250"/>
    <n v="10.15"/>
    <n v="9770"/>
    <n v="4885"/>
    <n v="7200"/>
    <n v="7770"/>
    <n v="0.20470829068577279"/>
  </r>
  <r>
    <x v="54"/>
    <s v="Lima"/>
    <s v="PUCP"/>
    <s v="Data Analytics"/>
    <s v="Master"/>
    <n v="2"/>
    <n v="8500"/>
    <n v="44.8"/>
    <n v="400"/>
    <n v="120"/>
    <n v="350"/>
    <n v="3.75"/>
    <n v="18920"/>
    <n v="9460"/>
    <n v="9600"/>
    <n v="10420"/>
    <n v="0.44926004228329808"/>
  </r>
  <r>
    <x v="39"/>
    <s v="Buenos Aires"/>
    <s v="University of Buenos Aires"/>
    <s v="Computer Science"/>
    <s v="PhD"/>
    <n v="4"/>
    <n v="0"/>
    <n v="42.5"/>
    <n v="350"/>
    <n v="90"/>
    <n v="280"/>
    <n v="275"/>
    <n v="18010"/>
    <n v="4502.5"/>
    <n v="16800"/>
    <n v="18010"/>
    <n v="0"/>
  </r>
  <r>
    <x v="49"/>
    <s v="Sfax"/>
    <s v="University of Sfax"/>
    <s v="Artificial Intelligence"/>
    <s v="Master"/>
    <n v="2"/>
    <n v="1400"/>
    <n v="33.200000000000003"/>
    <n v="200"/>
    <n v="60"/>
    <n v="200"/>
    <n v="3.15"/>
    <n v="6660"/>
    <n v="3330"/>
    <n v="4800"/>
    <n v="5260"/>
    <n v="0.21021021021021022"/>
  </r>
  <r>
    <x v="50"/>
    <s v="Limassol"/>
    <s v="Cyprus University of Technology"/>
    <s v="Software Development"/>
    <s v="Bachelor"/>
    <n v="4"/>
    <n v="7500"/>
    <n v="62.8"/>
    <n v="550"/>
    <n v="100"/>
    <n v="500"/>
    <n v="0.92"/>
    <n v="36000"/>
    <n v="9000"/>
    <n v="26400"/>
    <n v="28500"/>
    <n v="0.20833333333333334"/>
  </r>
  <r>
    <x v="51"/>
    <s v="Split"/>
    <s v="University of Split"/>
    <s v="Data Engineering"/>
    <s v="Master"/>
    <n v="2"/>
    <n v="3800"/>
    <n v="56.4"/>
    <n v="400"/>
    <n v="80"/>
    <n v="400"/>
    <n v="7.35"/>
    <n v="14280"/>
    <n v="7140"/>
    <n v="9600"/>
    <n v="10480"/>
    <n v="0.26610644257703081"/>
  </r>
  <r>
    <x v="52"/>
    <s v="Santiago"/>
    <s v="PUCMM"/>
    <s v="Information Technology"/>
    <s v="Master"/>
    <n v="2"/>
    <n v="5500"/>
    <n v="40.200000000000003"/>
    <n v="300"/>
    <n v="100"/>
    <n v="300"/>
    <n v="56.8"/>
    <n v="13400"/>
    <n v="6700"/>
    <n v="7200"/>
    <n v="7900"/>
    <n v="0.41044776119402987"/>
  </r>
  <r>
    <x v="53"/>
    <s v="Casablanca"/>
    <s v="Hassan II University"/>
    <s v="Computer Engineering"/>
    <s v="PhD"/>
    <n v="4"/>
    <n v="2200"/>
    <n v="43.5"/>
    <n v="350"/>
    <n v="70"/>
    <n v="250"/>
    <n v="10.15"/>
    <n v="20070"/>
    <n v="5017.5"/>
    <n v="16800"/>
    <n v="17870"/>
    <n v="0.1096163428001993"/>
  </r>
  <r>
    <x v="54"/>
    <s v="Arequipa"/>
    <s v="Universidad San Agustin"/>
    <s v="Software Engineering"/>
    <s v="Bachelor"/>
    <n v="4"/>
    <n v="7000"/>
    <n v="41.2"/>
    <n v="300"/>
    <n v="120"/>
    <n v="350"/>
    <n v="3.75"/>
    <n v="22920"/>
    <n v="5730"/>
    <n v="14400"/>
    <n v="15920"/>
    <n v="0.30541012216404889"/>
  </r>
  <r>
    <x v="39"/>
    <s v="Cordoba"/>
    <s v="National University of Cordoba"/>
    <s v="Data Science"/>
    <s v="Master"/>
    <n v="2"/>
    <n v="0"/>
    <n v="39.799999999999997"/>
    <n v="280"/>
    <n v="90"/>
    <n v="280"/>
    <n v="275"/>
    <n v="7370"/>
    <n v="3685"/>
    <n v="6720"/>
    <n v="7370"/>
    <n v="0"/>
  </r>
  <r>
    <x v="49"/>
    <s v="Sousse"/>
    <s v="University of Sousse"/>
    <s v="Computer Systems"/>
    <s v="Bachelor"/>
    <n v="3"/>
    <n v="1300"/>
    <n v="32.5"/>
    <n v="180"/>
    <n v="60"/>
    <n v="200"/>
    <n v="3.15"/>
    <n v="8440"/>
    <n v="2813.3333333333335"/>
    <n v="6480"/>
    <n v="7140"/>
    <n v="0.15402843601895735"/>
  </r>
  <r>
    <x v="50"/>
    <s v="Larnaca"/>
    <s v="American University Cyprus"/>
    <s v="Artificial Intelligence"/>
    <s v="PhD"/>
    <n v="4"/>
    <n v="8200"/>
    <n v="61.5"/>
    <n v="500"/>
    <n v="100"/>
    <n v="500"/>
    <n v="0.92"/>
    <n v="34300"/>
    <n v="8575"/>
    <n v="24000"/>
    <n v="26100"/>
    <n v="0.239067055393586"/>
  </r>
  <r>
    <x v="51"/>
    <s v="Rijeka"/>
    <s v="University of Rijeka"/>
    <s v="Information Systems"/>
    <s v="Master"/>
    <n v="2"/>
    <n v="3500"/>
    <n v="54.8"/>
    <n v="380"/>
    <n v="80"/>
    <n v="400"/>
    <n v="7.35"/>
    <n v="13500"/>
    <n v="6750"/>
    <n v="9120"/>
    <n v="10000"/>
    <n v="0.25925925925925924"/>
  </r>
  <r>
    <x v="52"/>
    <s v="La Romana"/>
    <s v="Universidad Central Este"/>
    <s v="Computer Science"/>
    <s v="Bachelor"/>
    <n v="4"/>
    <n v="5000"/>
    <n v="38.5"/>
    <n v="280"/>
    <n v="100"/>
    <n v="300"/>
    <n v="56.8"/>
    <n v="19740"/>
    <n v="4935"/>
    <n v="13440"/>
    <n v="14740"/>
    <n v="0.25329280648429586"/>
  </r>
  <r>
    <x v="53"/>
    <s v="Fez"/>
    <s v="University of Al Quaraouiyine"/>
    <s v="Data Analytics"/>
    <s v="Master"/>
    <n v="2"/>
    <n v="1800"/>
    <n v="39.799999999999997"/>
    <n v="250"/>
    <n v="70"/>
    <n v="250"/>
    <n v="10.15"/>
    <n v="8370"/>
    <n v="4185"/>
    <n v="6000"/>
    <n v="6570"/>
    <n v="0.21505376344086022"/>
  </r>
  <r>
    <x v="54"/>
    <s v="Trujillo"/>
    <s v="Universidad Nacional de Trujillo"/>
    <s v="Software Development"/>
    <s v="PhD"/>
    <n v="4"/>
    <n v="7500"/>
    <n v="40.5"/>
    <n v="280"/>
    <n v="120"/>
    <n v="350"/>
    <n v="3.75"/>
    <n v="22460"/>
    <n v="5615"/>
    <n v="13440"/>
    <n v="14960"/>
    <n v="0.33392698130008902"/>
  </r>
  <r>
    <x v="39"/>
    <s v="Rosario"/>
    <s v="National University of Rosario"/>
    <s v="Computer Engineering"/>
    <s v="Master"/>
    <n v="2"/>
    <n v="0"/>
    <n v="38.5"/>
    <n v="260"/>
    <n v="90"/>
    <n v="280"/>
    <n v="275"/>
    <n v="6890"/>
    <n v="3445"/>
    <n v="6240"/>
    <n v="6890"/>
    <n v="0"/>
  </r>
  <r>
    <x v="49"/>
    <s v="Monastir"/>
    <s v="University of Monastir"/>
    <s v="Data Science"/>
    <s v="PhD"/>
    <n v="4"/>
    <n v="1600"/>
    <n v="31.8"/>
    <n v="170"/>
    <n v="60"/>
    <n v="200"/>
    <n v="3.15"/>
    <n v="10620"/>
    <n v="2655"/>
    <n v="8160"/>
    <n v="9020"/>
    <n v="0.15065913370998116"/>
  </r>
  <r>
    <x v="50"/>
    <s v="Famagusta"/>
    <s v="Eastern Mediterranean University"/>
    <s v="Software Engineering"/>
    <s v="Master"/>
    <n v="2"/>
    <n v="7800"/>
    <n v="59.8"/>
    <n v="480"/>
    <n v="100"/>
    <n v="500"/>
    <n v="0.92"/>
    <n v="20420"/>
    <n v="10210"/>
    <n v="11520"/>
    <n v="12620"/>
    <n v="0.38197845249755141"/>
  </r>
  <r>
    <x v="51"/>
    <s v="Osijek"/>
    <s v="University of Osijek"/>
    <s v="Computer Science"/>
    <s v="Bachelor"/>
    <n v="3"/>
    <n v="3200"/>
    <n v="52.5"/>
    <n v="350"/>
    <n v="80"/>
    <n v="400"/>
    <n v="7.35"/>
    <n v="17080"/>
    <n v="5693.333333333333"/>
    <n v="12600"/>
    <n v="13880"/>
    <n v="0.18735362997658081"/>
  </r>
  <r>
    <x v="52"/>
    <s v="San Pedro"/>
    <s v="UCNE"/>
    <s v="Information Systems"/>
    <s v="Master"/>
    <n v="2"/>
    <n v="4800"/>
    <n v="37.200000000000003"/>
    <n v="260"/>
    <n v="100"/>
    <n v="300"/>
    <n v="56.8"/>
    <n v="11740"/>
    <n v="5870"/>
    <n v="6240"/>
    <n v="6940"/>
    <n v="0.40885860306643951"/>
  </r>
  <r>
    <x v="53"/>
    <s v="Marrakech"/>
    <s v="Cadi Ayyad University"/>
    <s v="Artificial Intelligence"/>
    <s v="PhD"/>
    <n v="4"/>
    <n v="2100"/>
    <n v="40.5"/>
    <n v="280"/>
    <n v="70"/>
    <n v="250"/>
    <n v="10.15"/>
    <n v="16610"/>
    <n v="4152.5"/>
    <n v="13440"/>
    <n v="14510"/>
    <n v="0.12642986152919927"/>
  </r>
  <r>
    <x v="54"/>
    <s v="Cusco"/>
    <s v="Universidad San Antonio Abad"/>
    <s v="Data Analytics"/>
    <s v="Master"/>
    <n v="2"/>
    <n v="6800"/>
    <n v="39.799999999999997"/>
    <n v="260"/>
    <n v="120"/>
    <n v="350"/>
    <n v="3.75"/>
    <n v="13860"/>
    <n v="6930"/>
    <n v="6240"/>
    <n v="7060"/>
    <n v="0.49062049062049062"/>
  </r>
  <r>
    <x v="39"/>
    <s v="La Plata"/>
    <s v="National University of La Plata"/>
    <s v="Software Development"/>
    <s v="Bachelor"/>
    <n v="4"/>
    <n v="0"/>
    <n v="37.5"/>
    <n v="240"/>
    <n v="90"/>
    <n v="280"/>
    <n v="275"/>
    <n v="12730"/>
    <n v="3182.5"/>
    <n v="11520"/>
    <n v="12730"/>
    <n v="0"/>
  </r>
  <r>
    <x v="49"/>
    <s v="Gabes"/>
    <s v="University of Gabes"/>
    <s v="Computer Engineering"/>
    <s v="Master"/>
    <n v="2"/>
    <n v="1400"/>
    <n v="30.5"/>
    <n v="160"/>
    <n v="60"/>
    <n v="200"/>
    <n v="3.15"/>
    <n v="5700"/>
    <n v="2850"/>
    <n v="3840"/>
    <n v="4300"/>
    <n v="0.24561403508771928"/>
  </r>
  <r>
    <x v="51"/>
    <s v="Zadar"/>
    <s v="University of Zadar"/>
    <s v="Information Technology"/>
    <s v="PhD"/>
    <n v="4"/>
    <n v="3600"/>
    <n v="53.2"/>
    <n v="370"/>
    <n v="80"/>
    <n v="400"/>
    <n v="7.35"/>
    <n v="23040"/>
    <n v="5760"/>
    <n v="17760"/>
    <n v="19440"/>
    <n v="0.15625"/>
  </r>
  <r>
    <x v="50"/>
    <s v="Paphos"/>
    <s v="Neapolis University"/>
    <s v="Data Science"/>
    <s v="Bachelor"/>
    <n v="3"/>
    <n v="7400"/>
    <n v="58.5"/>
    <n v="450"/>
    <n v="100"/>
    <n v="500"/>
    <n v="0.92"/>
    <n v="25200"/>
    <n v="8400"/>
    <n v="16200"/>
    <n v="17800"/>
    <n v="0.29365079365079366"/>
  </r>
  <r>
    <x v="52"/>
    <s v="Puerto Plata"/>
    <s v="UTESA"/>
    <s v="Computer Science"/>
    <s v="PhD"/>
    <n v="4"/>
    <n v="4500"/>
    <n v="36.799999999999997"/>
    <n v="250"/>
    <n v="100"/>
    <n v="300"/>
    <n v="56.8"/>
    <n v="17800"/>
    <n v="4450"/>
    <n v="12000"/>
    <n v="13300"/>
    <n v="0.25280898876404495"/>
  </r>
  <r>
    <x v="53"/>
    <s v="Tangier"/>
    <s v="Abdelmalek Essaadi University"/>
    <s v="Software Engineering"/>
    <s v="Master"/>
    <n v="2"/>
    <n v="1900"/>
    <n v="38.9"/>
    <n v="260"/>
    <n v="70"/>
    <n v="250"/>
    <n v="10.15"/>
    <n v="8710"/>
    <n v="4355"/>
    <n v="6240"/>
    <n v="6810"/>
    <n v="0.21814006888633755"/>
  </r>
  <r>
    <x v="54"/>
    <s v="Piura"/>
    <s v="Universidad de Piura"/>
    <s v="Information Systems"/>
    <s v="Master"/>
    <n v="2"/>
    <n v="7200"/>
    <n v="38.5"/>
    <n v="250"/>
    <n v="120"/>
    <n v="350"/>
    <n v="3.75"/>
    <n v="14020"/>
    <n v="7010"/>
    <n v="6000"/>
    <n v="6820"/>
    <n v="0.51355206847360912"/>
  </r>
  <r>
    <x v="39"/>
    <s v="Mendoza"/>
    <s v="National University of Cuyo"/>
    <s v="Data Analytics"/>
    <s v="PhD"/>
    <n v="4"/>
    <n v="0"/>
    <n v="36.799999999999997"/>
    <n v="230"/>
    <n v="90"/>
    <n v="280"/>
    <n v="275"/>
    <n v="12250"/>
    <n v="3062.5"/>
    <n v="11040"/>
    <n v="12250"/>
    <n v="0"/>
  </r>
  <r>
    <x v="49"/>
    <s v="Bizerte"/>
    <s v="University of Carthage"/>
    <s v="Artificial Intelligence"/>
    <s v="Bachelor"/>
    <n v="3"/>
    <n v="1200"/>
    <n v="29.8"/>
    <n v="150"/>
    <n v="60"/>
    <n v="200"/>
    <n v="3.15"/>
    <n v="7260"/>
    <n v="2420"/>
    <n v="5400"/>
    <n v="6060"/>
    <n v="0.16528925619834711"/>
  </r>
  <r>
    <x v="50"/>
    <s v="Girne"/>
    <s v="Girne American University"/>
    <s v="Computer Engineering"/>
    <s v="Master"/>
    <n v="2"/>
    <n v="7600"/>
    <n v="57.8"/>
    <n v="430"/>
    <n v="100"/>
    <n v="500"/>
    <n v="0.92"/>
    <n v="19020"/>
    <n v="9510"/>
    <n v="10320"/>
    <n v="11420"/>
    <n v="0.39957939011566773"/>
  </r>
  <r>
    <x v="51"/>
    <s v="Dubrovnik"/>
    <s v="University of Dubrovnik"/>
    <s v="Software Development"/>
    <s v="Master"/>
    <n v="2"/>
    <n v="3400"/>
    <n v="54.5"/>
    <n v="390"/>
    <n v="80"/>
    <n v="400"/>
    <n v="7.35"/>
    <n v="13640"/>
    <n v="6820"/>
    <n v="9360"/>
    <n v="10240"/>
    <n v="0.24926686217008798"/>
  </r>
  <r>
    <x v="53"/>
    <s v="Oujda"/>
    <s v="Mohammed I University"/>
    <s v="Computer Science"/>
    <s v="Bachelor"/>
    <n v="4"/>
    <n v="1700"/>
    <n v="37.5"/>
    <n v="240"/>
    <n v="70"/>
    <n v="250"/>
    <n v="10.15"/>
    <n v="14290"/>
    <n v="3572.5"/>
    <n v="11520"/>
    <n v="12590"/>
    <n v="0.11896431070678797"/>
  </r>
  <r>
    <x v="54"/>
    <s v="Chiclayo"/>
    <s v="Universidad San Martin"/>
    <s v="Data Engineering"/>
    <s v="PhD"/>
    <n v="4"/>
    <n v="6500"/>
    <n v="37.799999999999997"/>
    <n v="240"/>
    <n v="120"/>
    <n v="350"/>
    <n v="3.75"/>
    <n v="19540"/>
    <n v="4885"/>
    <n v="11520"/>
    <n v="13040"/>
    <n v="0.33265097236438074"/>
  </r>
  <r>
    <x v="55"/>
    <s v="Quito"/>
    <s v="Universidad San Francisco"/>
    <s v="Computer Science"/>
    <s v="Master"/>
    <n v="2"/>
    <n v="8500"/>
    <n v="45.8"/>
    <n v="400"/>
    <n v="100"/>
    <n v="300"/>
    <n v="1"/>
    <n v="18800"/>
    <n v="9400"/>
    <n v="9600"/>
    <n v="10300"/>
    <n v="0.4521276595744681"/>
  </r>
  <r>
    <x v="56"/>
    <s v="Beirut"/>
    <s v="American University of Beirut"/>
    <s v="Data Science"/>
    <s v="Master"/>
    <n v="2"/>
    <n v="20000"/>
    <n v="58.9"/>
    <n v="600"/>
    <n v="150"/>
    <n v="500"/>
    <n v="15000"/>
    <n v="35550"/>
    <n v="17775"/>
    <n v="14400"/>
    <n v="15550"/>
    <n v="0.56258790436005623"/>
  </r>
  <r>
    <x v="57"/>
    <s v="Manama"/>
    <s v="University of Bahrain"/>
    <s v="Software Engineering"/>
    <s v="Bachelor"/>
    <n v="4"/>
    <n v="7000"/>
    <n v="65.400000000000006"/>
    <n v="700"/>
    <n v="130"/>
    <n v="600"/>
    <n v="0.38"/>
    <n v="43130"/>
    <n v="10782.5"/>
    <n v="33600"/>
    <n v="36130"/>
    <n v="0.1623000231857176"/>
  </r>
  <r>
    <x v="58"/>
    <s v="Montevideo"/>
    <s v="Universidad de la Republica"/>
    <s v="Computer Engineering"/>
    <s v="PhD"/>
    <n v="4"/>
    <n v="0"/>
    <n v="52.4"/>
    <n v="450"/>
    <n v="90"/>
    <n v="350"/>
    <n v="39.5"/>
    <n v="23090"/>
    <n v="5772.5"/>
    <n v="21600"/>
    <n v="23090"/>
    <n v="0"/>
  </r>
  <r>
    <x v="59"/>
    <s v="Sofia"/>
    <s v="Sofia University"/>
    <s v="Information Systems"/>
    <s v="Master"/>
    <n v="2"/>
    <n v="3500"/>
    <n v="48.5"/>
    <n v="400"/>
    <n v="110"/>
    <n v="300"/>
    <n v="1.85"/>
    <n v="13810"/>
    <n v="6905"/>
    <n v="9600"/>
    <n v="10310"/>
    <n v="0.25343953656770457"/>
  </r>
  <r>
    <x v="60"/>
    <s v="Accra"/>
    <s v="University of Ghana"/>
    <s v="Data Analytics"/>
    <s v="Master"/>
    <n v="2"/>
    <n v="4500"/>
    <n v="42.1"/>
    <n v="300"/>
    <n v="120"/>
    <n v="250"/>
    <n v="12"/>
    <n v="12320"/>
    <n v="6160"/>
    <n v="7200"/>
    <n v="7820"/>
    <n v="0.36525974025974028"/>
  </r>
  <r>
    <x v="61"/>
    <s v="Algiers"/>
    <s v="University of Science and Technology"/>
    <s v="Computer Science"/>
    <s v="Bachelor"/>
    <n v="3"/>
    <n v="1200"/>
    <n v="38.5"/>
    <n v="250"/>
    <n v="80"/>
    <n v="200"/>
    <n v="137.5"/>
    <n v="10880"/>
    <n v="3626.6666666666665"/>
    <n v="9000"/>
    <n v="9680"/>
    <n v="0.11029411764705882"/>
  </r>
  <r>
    <x v="62"/>
    <s v="Panama City"/>
    <s v="Universidad Tecnologica"/>
    <s v="Artificial Intelligence"/>
    <s v="Master"/>
    <n v="2"/>
    <n v="7500"/>
    <n v="51.2"/>
    <n v="600"/>
    <n v="100"/>
    <n v="400"/>
    <n v="1"/>
    <n v="22800"/>
    <n v="11400"/>
    <n v="14400"/>
    <n v="15300"/>
    <n v="0.32894736842105265"/>
  </r>
  <r>
    <x v="55"/>
    <s v="Guayaquil"/>
    <s v="ESPOL"/>
    <s v="Software Development"/>
    <s v="PhD"/>
    <n v="4"/>
    <n v="7800"/>
    <n v="43.2"/>
    <n v="350"/>
    <n v="100"/>
    <n v="300"/>
    <n v="1"/>
    <n v="25900"/>
    <n v="6475"/>
    <n v="16800"/>
    <n v="18100"/>
    <n v="0.30115830115830117"/>
  </r>
  <r>
    <x v="56"/>
    <s v="Byblos"/>
    <s v="Lebanese American University"/>
    <s v="Data Engineering"/>
    <s v="Master"/>
    <n v="2"/>
    <n v="18000"/>
    <n v="55.4"/>
    <n v="500"/>
    <n v="150"/>
    <n v="500"/>
    <n v="15000"/>
    <n v="31150"/>
    <n v="15575"/>
    <n v="12000"/>
    <n v="13150"/>
    <n v="0.5778491171749599"/>
  </r>
  <r>
    <x v="57"/>
    <s v="Riffa"/>
    <s v="Royal University for Women"/>
    <s v="Information Technology"/>
    <s v="Master"/>
    <n v="2"/>
    <n v="8000"/>
    <n v="63.2"/>
    <n v="650"/>
    <n v="130"/>
    <n v="600"/>
    <n v="0.38"/>
    <n v="24930"/>
    <n v="12465"/>
    <n v="15600"/>
    <n v="16930"/>
    <n v="0.32089851584436424"/>
  </r>
  <r>
    <x v="58"/>
    <s v="Salto"/>
    <s v="Universidad ORT Uruguay"/>
    <s v="Computer Science"/>
    <s v="Master"/>
    <n v="2"/>
    <n v="6500"/>
    <n v="48.5"/>
    <n v="380"/>
    <n v="90"/>
    <n v="350"/>
    <n v="39.5"/>
    <n v="16410"/>
    <n v="8205"/>
    <n v="9120"/>
    <n v="9910"/>
    <n v="0.39609993906154783"/>
  </r>
  <r>
    <x v="59"/>
    <s v="Plovdiv"/>
    <s v="Plovdiv University"/>
    <s v="Data Science"/>
    <s v="Bachelor"/>
    <n v="3"/>
    <n v="3200"/>
    <n v="45.8"/>
    <n v="350"/>
    <n v="110"/>
    <n v="300"/>
    <n v="1.85"/>
    <n v="16810"/>
    <n v="5603.333333333333"/>
    <n v="12600"/>
    <n v="13610"/>
    <n v="0.19036287923854847"/>
  </r>
  <r>
    <x v="60"/>
    <s v="Kumasi"/>
    <s v="Kwame Nkrumah University"/>
    <s v="Software Engineering"/>
    <s v="PhD"/>
    <n v="4"/>
    <n v="4200"/>
    <n v="39.799999999999997"/>
    <n v="250"/>
    <n v="120"/>
    <n v="250"/>
    <n v="12"/>
    <n v="17320"/>
    <n v="4330"/>
    <n v="12000"/>
    <n v="13120"/>
    <n v="0.24249422632794457"/>
  </r>
  <r>
    <x v="61"/>
    <s v="Oran"/>
    <s v="University of Oran"/>
    <s v="Computer Engineering"/>
    <s v="Master"/>
    <n v="2"/>
    <n v="1100"/>
    <n v="36.4"/>
    <n v="220"/>
    <n v="80"/>
    <n v="200"/>
    <n v="137.5"/>
    <n v="6860"/>
    <n v="3430"/>
    <n v="5280"/>
    <n v="5760"/>
    <n v="0.16034985422740525"/>
  </r>
  <r>
    <x v="62"/>
    <s v="David"/>
    <s v="ISAE University"/>
    <s v="Data Analytics"/>
    <s v="Bachelor"/>
    <n v="4"/>
    <n v="6800"/>
    <n v="47.5"/>
    <n v="450"/>
    <n v="100"/>
    <n v="400"/>
    <n v="1"/>
    <n v="30100"/>
    <n v="7525"/>
    <n v="21600"/>
    <n v="23300"/>
    <n v="0.22591362126245848"/>
  </r>
  <r>
    <x v="55"/>
    <s v="Cuenca"/>
    <s v="Universidad de Cuenca"/>
    <s v="Information Systems"/>
    <s v="Master"/>
    <n v="2"/>
    <n v="7200"/>
    <n v="42.5"/>
    <n v="320"/>
    <n v="100"/>
    <n v="300"/>
    <n v="1"/>
    <n v="15580"/>
    <n v="7790"/>
    <n v="7680"/>
    <n v="8380"/>
    <n v="0.46213093709884467"/>
  </r>
  <r>
    <x v="56"/>
    <s v="Tripoli"/>
    <s v="Lebanese University"/>
    <s v="Computer Science"/>
    <s v="PhD"/>
    <n v="4"/>
    <n v="2000"/>
    <n v="52.1"/>
    <n v="400"/>
    <n v="150"/>
    <n v="500"/>
    <n v="15000"/>
    <n v="23350"/>
    <n v="5837.5"/>
    <n v="19200"/>
    <n v="21350"/>
    <n v="8.5653104925053528E-2"/>
  </r>
  <r>
    <x v="57"/>
    <s v="Isa Town"/>
    <s v="Bahrain Polytechnic"/>
    <s v="Software Development"/>
    <s v="Bachelor"/>
    <n v="4"/>
    <n v="6500"/>
    <n v="61.8"/>
    <n v="600"/>
    <n v="130"/>
    <n v="600"/>
    <n v="0.38"/>
    <n v="37830"/>
    <n v="9457.5"/>
    <n v="28800"/>
    <n v="31330"/>
    <n v="0.1718213058419244"/>
  </r>
  <r>
    <x v="58"/>
    <s v="Maldonado"/>
    <s v="Universidad Catolica"/>
    <s v="Data Science"/>
    <s v="Master"/>
    <n v="2"/>
    <n v="7000"/>
    <n v="49.2"/>
    <n v="400"/>
    <n v="90"/>
    <n v="350"/>
    <n v="39.5"/>
    <n v="17390"/>
    <n v="8695"/>
    <n v="9600"/>
    <n v="10390"/>
    <n v="0.40253018976423233"/>
  </r>
  <r>
    <x v="59"/>
    <s v="Varna"/>
    <s v="Technical University Varna"/>
    <s v="Computer Engineering"/>
    <s v="Master"/>
    <n v="2"/>
    <n v="3100"/>
    <n v="44.2"/>
    <n v="330"/>
    <n v="110"/>
    <n v="300"/>
    <n v="1.85"/>
    <n v="11730"/>
    <n v="5865"/>
    <n v="7920"/>
    <n v="8630"/>
    <n v="0.26427962489343565"/>
  </r>
  <r>
    <x v="60"/>
    <s v="Cape Coast"/>
    <s v="University of Cape Coast"/>
    <s v="Information Technology"/>
    <s v="Master"/>
    <n v="2"/>
    <n v="4000"/>
    <n v="38.5"/>
    <n v="230"/>
    <n v="120"/>
    <n v="250"/>
    <n v="12"/>
    <n v="10140"/>
    <n v="5070"/>
    <n v="5520"/>
    <n v="6140"/>
    <n v="0.39447731755424065"/>
  </r>
  <r>
    <x v="61"/>
    <s v="Constantine"/>
    <s v="University of Constantine"/>
    <s v="Data Analytics"/>
    <s v="PhD"/>
    <n v="4"/>
    <n v="1300"/>
    <n v="35.799999999999997"/>
    <n v="200"/>
    <n v="80"/>
    <n v="200"/>
    <n v="137.5"/>
    <n v="11780"/>
    <n v="2945"/>
    <n v="9600"/>
    <n v="10480"/>
    <n v="0.11035653650254669"/>
  </r>
  <r>
    <x v="62"/>
    <s v="Santiago"/>
    <s v="Universidad Latina"/>
    <s v="Computer Science"/>
    <s v="Master"/>
    <n v="2"/>
    <n v="6500"/>
    <n v="45.8"/>
    <n v="400"/>
    <n v="100"/>
    <n v="400"/>
    <n v="1"/>
    <n v="17000"/>
    <n v="8500"/>
    <n v="9600"/>
    <n v="10500"/>
    <n v="0.38235294117647056"/>
  </r>
  <r>
    <x v="55"/>
    <s v="Loja"/>
    <s v="UTPL"/>
    <s v="Artificial Intelligence"/>
    <s v="Bachelor"/>
    <n v="3"/>
    <n v="6800"/>
    <n v="41.2"/>
    <n v="300"/>
    <n v="100"/>
    <n v="300"/>
    <n v="1"/>
    <n v="18600"/>
    <n v="6200"/>
    <n v="10800"/>
    <n v="11800"/>
    <n v="0.36559139784946237"/>
  </r>
  <r>
    <x v="56"/>
    <s v="Jounieh"/>
    <s v="Holy Spirit University"/>
    <s v="Software Engineering"/>
    <s v="Master"/>
    <n v="2"/>
    <n v="16000"/>
    <n v="54.5"/>
    <n v="450"/>
    <n v="150"/>
    <n v="500"/>
    <n v="15000"/>
    <n v="27950"/>
    <n v="13975"/>
    <n v="10800"/>
    <n v="11950"/>
    <n v="0.57245080500894452"/>
  </r>
  <r>
    <x v="57"/>
    <s v="Sakhir"/>
    <s v="Arabian Gulf University"/>
    <s v="Data Science"/>
    <s v="PhD"/>
    <n v="4"/>
    <n v="9000"/>
    <n v="62.4"/>
    <n v="620"/>
    <n v="130"/>
    <n v="600"/>
    <n v="0.38"/>
    <n v="41290"/>
    <n v="10322.5"/>
    <n v="29760"/>
    <n v="32290"/>
    <n v="0.21797045289416322"/>
  </r>
  <r>
    <x v="58"/>
    <s v="Rivera"/>
    <s v="UTEC"/>
    <s v="Information Systems"/>
    <s v="Bachelor"/>
    <n v="4"/>
    <n v="0"/>
    <n v="47.8"/>
    <n v="350"/>
    <n v="90"/>
    <n v="350"/>
    <n v="39.5"/>
    <n v="18290"/>
    <n v="4572.5"/>
    <n v="16800"/>
    <n v="18290"/>
    <n v="0"/>
  </r>
  <r>
    <x v="59"/>
    <s v="Burgas"/>
    <s v="Burgas Free University"/>
    <s v="Computer Science"/>
    <s v="Master"/>
    <n v="2"/>
    <n v="2900"/>
    <n v="43.5"/>
    <n v="320"/>
    <n v="110"/>
    <n v="300"/>
    <n v="1.85"/>
    <n v="11290"/>
    <n v="5645"/>
    <n v="7680"/>
    <n v="8390"/>
    <n v="0.25686448184233834"/>
  </r>
  <r>
    <x v="60"/>
    <s v="Tamale"/>
    <s v="University for Development"/>
    <s v="Software Development"/>
    <s v="PhD"/>
    <n v="4"/>
    <n v="3800"/>
    <n v="36.799999999999997"/>
    <n v="200"/>
    <n v="120"/>
    <n v="250"/>
    <n v="12"/>
    <n v="14520"/>
    <n v="3630"/>
    <n v="9600"/>
    <n v="10720"/>
    <n v="0.26170798898071623"/>
  </r>
  <r>
    <x v="61"/>
    <s v="Annaba"/>
    <s v="Badji Mokhtar University"/>
    <s v="Computer Engineering"/>
    <s v="Master"/>
    <n v="2"/>
    <n v="1000"/>
    <n v="34.5"/>
    <n v="180"/>
    <n v="80"/>
    <n v="200"/>
    <n v="137.5"/>
    <n v="5800"/>
    <n v="2900"/>
    <n v="4320"/>
    <n v="4800"/>
    <n v="0.17241379310344829"/>
  </r>
  <r>
    <x v="62"/>
    <s v="ChitrÃ©"/>
    <s v="Quality Leadership University"/>
    <s v="Data Analytics"/>
    <s v="Bachelor"/>
    <n v="3"/>
    <n v="6200"/>
    <n v="44.2"/>
    <n v="380"/>
    <n v="100"/>
    <n v="400"/>
    <n v="1"/>
    <n v="21180"/>
    <n v="7060"/>
    <n v="13680"/>
    <n v="14980"/>
    <n v="0.29272898961284233"/>
  </r>
  <r>
    <x v="55"/>
    <s v="Ambato"/>
    <s v="Universidad Tecnica"/>
    <s v="Information Technology"/>
    <s v="PhD"/>
    <n v="4"/>
    <n v="6500"/>
    <n v="40.5"/>
    <n v="280"/>
    <n v="100"/>
    <n v="300"/>
    <n v="1"/>
    <n v="21240"/>
    <n v="5310"/>
    <n v="13440"/>
    <n v="14740"/>
    <n v="0.30602636534839922"/>
  </r>
  <r>
    <x v="56"/>
    <s v="Sidon"/>
    <s v="Lebanese International"/>
    <s v="Computer Science"/>
    <s v="Bachelor"/>
    <n v="4"/>
    <n v="15000"/>
    <n v="51.8"/>
    <n v="420"/>
    <n v="150"/>
    <n v="500"/>
    <n v="15000"/>
    <n v="37310"/>
    <n v="9327.5"/>
    <n v="20160"/>
    <n v="22310"/>
    <n v="0.40203698740284105"/>
  </r>
  <r>
    <x v="57"/>
    <s v="Muharraq"/>
    <s v="Applied Science University"/>
    <s v="Data Engineering"/>
    <s v="Master"/>
    <n v="2"/>
    <n v="7500"/>
    <n v="61.5"/>
    <n v="580"/>
    <n v="130"/>
    <n v="600"/>
    <n v="0.38"/>
    <n v="22750"/>
    <n v="11375"/>
    <n v="13920"/>
    <n v="15250"/>
    <n v="0.32967032967032966"/>
  </r>
  <r>
    <x v="58"/>
    <s v="Paysandu"/>
    <s v="Universidad de Paysandu"/>
    <s v="Software Engineering"/>
    <s v="Master"/>
    <n v="2"/>
    <n v="0"/>
    <n v="46.5"/>
    <n v="330"/>
    <n v="90"/>
    <n v="350"/>
    <n v="39.5"/>
    <n v="8710"/>
    <n v="4355"/>
    <n v="7920"/>
    <n v="8710"/>
    <n v="0"/>
  </r>
  <r>
    <x v="59"/>
    <s v="Ruse"/>
    <s v="University of Ruse"/>
    <s v="Artificial Intelligence"/>
    <s v="PhD"/>
    <n v="4"/>
    <n v="3300"/>
    <n v="42.8"/>
    <n v="300"/>
    <n v="110"/>
    <n v="300"/>
    <n v="1.85"/>
    <n v="19010"/>
    <n v="4752.5"/>
    <n v="14400"/>
    <n v="15710"/>
    <n v="0.17359284587059443"/>
  </r>
  <r>
    <x v="60"/>
    <s v="Ho"/>
    <s v="University of Health Sciences"/>
    <s v="Data Science"/>
    <s v="Master"/>
    <n v="2"/>
    <n v="3500"/>
    <n v="35.4"/>
    <n v="180"/>
    <n v="120"/>
    <n v="250"/>
    <n v="12"/>
    <n v="8440"/>
    <n v="4220"/>
    <n v="4320"/>
    <n v="4940"/>
    <n v="0.41469194312796209"/>
  </r>
  <r>
    <x v="61"/>
    <s v="Tlemcen"/>
    <s v="University of Tlemcen"/>
    <s v="Information Systems"/>
    <s v="Bachelor"/>
    <n v="3"/>
    <n v="900"/>
    <n v="33.200000000000003"/>
    <n v="160"/>
    <n v="80"/>
    <n v="200"/>
    <n v="137.5"/>
    <n v="7340"/>
    <n v="2446.6666666666665"/>
    <n v="5760"/>
    <n v="6440"/>
    <n v="0.1226158038147139"/>
  </r>
  <r>
    <x v="62"/>
    <s v="La Chorrera"/>
    <s v="Universidad Metropolitana"/>
    <s v="Computer Science"/>
    <s v="Master"/>
    <n v="2"/>
    <n v="6000"/>
    <n v="43.5"/>
    <n v="350"/>
    <n v="100"/>
    <n v="400"/>
    <n v="1"/>
    <n v="15300"/>
    <n v="7650"/>
    <n v="8400"/>
    <n v="9300"/>
    <n v="0.39215686274509803"/>
  </r>
  <r>
    <x v="63"/>
    <s v="Dhaka"/>
    <s v="Bangladesh University of Engineering"/>
    <s v="Computer Science"/>
    <s v="Master"/>
    <n v="2"/>
    <n v="2500"/>
    <n v="42.5"/>
    <n v="250"/>
    <n v="100"/>
    <n v="200"/>
    <n v="109.5"/>
    <n v="9000"/>
    <n v="4500"/>
    <n v="6000"/>
    <n v="6500"/>
    <n v="0.27777777777777779"/>
  </r>
  <r>
    <x v="64"/>
    <s v="Kuwait City"/>
    <s v="Kuwait University"/>
    <s v="Data Science"/>
    <s v="Master"/>
    <n v="2"/>
    <n v="3500"/>
    <n v="71.2"/>
    <n v="800"/>
    <n v="140"/>
    <n v="700"/>
    <n v="0.31"/>
    <n v="24240"/>
    <n v="12120"/>
    <n v="19200"/>
    <n v="20740"/>
    <n v="0.14438943894389439"/>
  </r>
  <r>
    <x v="65"/>
    <s v="Kyiv"/>
    <s v="Igor Sikorsky Kyiv Polytechnic"/>
    <s v="Software Engineering"/>
    <s v="Bachelor"/>
    <n v="4"/>
    <n v="3800"/>
    <n v="45.8"/>
    <n v="400"/>
    <n v="120"/>
    <n v="300"/>
    <n v="36.799999999999997"/>
    <n v="24320"/>
    <n v="6080"/>
    <n v="19200"/>
    <n v="20520"/>
    <n v="0.15625"/>
  </r>
  <r>
    <x v="66"/>
    <s v="Ljubljana"/>
    <s v="University of Ljubljana"/>
    <s v="Computer Engineering"/>
    <s v="PhD"/>
    <n v="4"/>
    <n v="4500"/>
    <n v="62.4"/>
    <n v="500"/>
    <n v="80"/>
    <n v="450"/>
    <n v="0.92"/>
    <n v="30380"/>
    <n v="7595"/>
    <n v="24000"/>
    <n v="25880"/>
    <n v="0.14812376563528637"/>
  </r>
  <r>
    <x v="67"/>
    <s v="Belgrade"/>
    <s v="University of Belgrade"/>
    <s v="Information Systems"/>
    <s v="Master"/>
    <n v="2"/>
    <n v="2800"/>
    <n v="48.5"/>
    <n v="350"/>
    <n v="90"/>
    <n v="320"/>
    <n v="108.5"/>
    <n v="11930"/>
    <n v="5965"/>
    <n v="8400"/>
    <n v="9130"/>
    <n v="0.23470243084660519"/>
  </r>
  <r>
    <x v="68"/>
    <s v="Tehran"/>
    <s v="Sharif University of Technology"/>
    <s v="Data Analytics"/>
    <s v="Master"/>
    <n v="2"/>
    <n v="3000"/>
    <n v="51.2"/>
    <n v="400"/>
    <n v="150"/>
    <n v="280"/>
    <n v="42150"/>
    <n v="13310"/>
    <n v="6655"/>
    <n v="9600"/>
    <n v="10310"/>
    <n v="0.22539444027047334"/>
  </r>
  <r>
    <x v="69"/>
    <s v="Tashkent"/>
    <s v="INHA University Tashkent"/>
    <s v="Computer Science"/>
    <s v="Bachelor"/>
    <n v="4"/>
    <n v="4200"/>
    <n v="44.5"/>
    <n v="300"/>
    <n v="160"/>
    <n v="250"/>
    <n v="12300"/>
    <n v="19760"/>
    <n v="4940"/>
    <n v="14400"/>
    <n v="15560"/>
    <n v="0.2125506072874494"/>
  </r>
  <r>
    <x v="70"/>
    <s v="San Salvador"/>
    <s v="Universidad Don Bosco"/>
    <s v="Software Development"/>
    <s v="Master"/>
    <n v="2"/>
    <n v="5500"/>
    <n v="46.8"/>
    <n v="400"/>
    <n v="110"/>
    <n v="300"/>
    <n v="1"/>
    <n v="15810"/>
    <n v="7905"/>
    <n v="9600"/>
    <n v="10310"/>
    <n v="0.3478810879190386"/>
  </r>
  <r>
    <x v="63"/>
    <s v="Chittagong"/>
    <s v="CUET"/>
    <s v="Artificial Intelligence"/>
    <s v="PhD"/>
    <n v="4"/>
    <n v="2200"/>
    <n v="39.799999999999997"/>
    <n v="200"/>
    <n v="100"/>
    <n v="200"/>
    <n v="109.5"/>
    <n v="12700"/>
    <n v="3175"/>
    <n v="9600"/>
    <n v="10500"/>
    <n v="0.17322834645669291"/>
  </r>
  <r>
    <x v="64"/>
    <s v="Hawalli"/>
    <s v="American University Kuwait"/>
    <s v="Data Engineering"/>
    <s v="Master"/>
    <n v="2"/>
    <n v="15000"/>
    <n v="68.5"/>
    <n v="750"/>
    <n v="140"/>
    <n v="700"/>
    <n v="0.31"/>
    <n v="34540"/>
    <n v="17270"/>
    <n v="18000"/>
    <n v="19540"/>
    <n v="0.43427909669947884"/>
  </r>
  <r>
    <x v="65"/>
    <s v="Lviv"/>
    <s v="Lviv Polytechnic"/>
    <s v="Computer Science"/>
    <s v="Master"/>
    <n v="2"/>
    <n v="3500"/>
    <n v="43.2"/>
    <n v="350"/>
    <n v="120"/>
    <n v="300"/>
    <n v="36.799999999999997"/>
    <n v="12620"/>
    <n v="6310"/>
    <n v="8400"/>
    <n v="9120"/>
    <n v="0.27733755942947702"/>
  </r>
  <r>
    <x v="66"/>
    <s v="Maribor"/>
    <s v="University of Maribor"/>
    <s v="Data Science"/>
    <s v="Master"/>
    <n v="2"/>
    <n v="4200"/>
    <n v="58.5"/>
    <n v="450"/>
    <n v="80"/>
    <n v="450"/>
    <n v="0.92"/>
    <n v="15980"/>
    <n v="7990"/>
    <n v="10800"/>
    <n v="11780"/>
    <n v="0.26282853566958697"/>
  </r>
  <r>
    <x v="67"/>
    <s v="Novi Sad"/>
    <s v="University of Novi Sad"/>
    <s v="Software Engineering"/>
    <s v="PhD"/>
    <n v="4"/>
    <n v="2600"/>
    <n v="45.8"/>
    <n v="320"/>
    <n v="90"/>
    <n v="320"/>
    <n v="108.5"/>
    <n v="19330"/>
    <n v="4832.5"/>
    <n v="15360"/>
    <n v="16730"/>
    <n v="0.13450594930160373"/>
  </r>
  <r>
    <x v="68"/>
    <s v="Isfahan"/>
    <s v="Isfahan University of Technology"/>
    <s v="Information Systems"/>
    <s v="Bachelor"/>
    <n v="3"/>
    <n v="2800"/>
    <n v="48.5"/>
    <n v="350"/>
    <n v="150"/>
    <n v="280"/>
    <n v="42150"/>
    <n v="16390"/>
    <n v="5463.333333333333"/>
    <n v="12600"/>
    <n v="13590"/>
    <n v="0.17083587553386212"/>
  </r>
  <r>
    <x v="69"/>
    <s v="Samarkand"/>
    <s v="Samarkand State University"/>
    <s v="Data Analytics"/>
    <s v="Master"/>
    <n v="2"/>
    <n v="3800"/>
    <n v="41.2"/>
    <n v="250"/>
    <n v="160"/>
    <n v="250"/>
    <n v="12300"/>
    <n v="10460"/>
    <n v="5230"/>
    <n v="6000"/>
    <n v="6660"/>
    <n v="0.3632887189292543"/>
  </r>
  <r>
    <x v="70"/>
    <s v="Santa Ana"/>
    <s v="Universidad Catolica"/>
    <s v="Computer Engineering"/>
    <s v="Bachelor"/>
    <n v="4"/>
    <n v="5000"/>
    <n v="44.5"/>
    <n v="350"/>
    <n v="110"/>
    <n v="300"/>
    <n v="1"/>
    <n v="23110"/>
    <n v="5777.5"/>
    <n v="16800"/>
    <n v="18110"/>
    <n v="0.21635655560363479"/>
  </r>
  <r>
    <x v="63"/>
    <s v="Khulna"/>
    <s v="Khulna University"/>
    <s v="Software Development"/>
    <s v="Master"/>
    <n v="2"/>
    <n v="2100"/>
    <n v="38.5"/>
    <n v="180"/>
    <n v="100"/>
    <n v="200"/>
    <n v="109.5"/>
    <n v="6920"/>
    <n v="3460"/>
    <n v="4320"/>
    <n v="4820"/>
    <n v="0.30346820809248554"/>
  </r>
  <r>
    <x v="64"/>
    <s v="Al Jahra"/>
    <s v="Gulf University for Science"/>
    <s v="Artificial Intelligence"/>
    <s v="PhD"/>
    <n v="4"/>
    <n v="14000"/>
    <n v="66.8"/>
    <n v="700"/>
    <n v="140"/>
    <n v="700"/>
    <n v="0.31"/>
    <n v="50540"/>
    <n v="12635"/>
    <n v="33600"/>
    <n v="36540"/>
    <n v="0.2770083102493075"/>
  </r>
  <r>
    <x v="65"/>
    <s v="Kharkiv"/>
    <s v="Kharkiv Polytechnic"/>
    <s v="Data Science"/>
    <s v="Master"/>
    <n v="2"/>
    <n v="3400"/>
    <n v="42.5"/>
    <n v="330"/>
    <n v="120"/>
    <n v="300"/>
    <n v="36.799999999999997"/>
    <n v="12040"/>
    <n v="6020"/>
    <n v="7920"/>
    <n v="8640"/>
    <n v="0.28239202657807311"/>
  </r>
  <r>
    <x v="66"/>
    <s v="Koper"/>
    <s v="University of Primorska"/>
    <s v="Information Technology"/>
    <s v="Bachelor"/>
    <n v="3"/>
    <n v="4000"/>
    <n v="57.2"/>
    <n v="420"/>
    <n v="80"/>
    <n v="450"/>
    <n v="0.92"/>
    <n v="20550"/>
    <n v="6850"/>
    <n v="15120"/>
    <n v="16550"/>
    <n v="0.19464720194647203"/>
  </r>
  <r>
    <x v="67"/>
    <s v="Nis"/>
    <s v="University of Nis"/>
    <s v="Computer Engineering"/>
    <s v="Master"/>
    <n v="2"/>
    <n v="2500"/>
    <n v="44.2"/>
    <n v="300"/>
    <n v="90"/>
    <n v="320"/>
    <n v="108.5"/>
    <n v="10430"/>
    <n v="5215"/>
    <n v="7200"/>
    <n v="7930"/>
    <n v="0.23969319271332695"/>
  </r>
  <r>
    <x v="68"/>
    <s v="Mashhad"/>
    <s v="Ferdowsi University"/>
    <s v="Data Analytics"/>
    <s v="PhD"/>
    <n v="4"/>
    <n v="2900"/>
    <n v="47.8"/>
    <n v="320"/>
    <n v="150"/>
    <n v="280"/>
    <n v="42150"/>
    <n v="19530"/>
    <n v="4882.5"/>
    <n v="15360"/>
    <n v="16630"/>
    <n v="0.14848950332821301"/>
  </r>
  <r>
    <x v="69"/>
    <s v="Bukhara"/>
    <s v="Bukhara State University"/>
    <s v="Computer Science"/>
    <s v="Bachelor"/>
    <n v="4"/>
    <n v="3500"/>
    <n v="39.799999999999997"/>
    <n v="220"/>
    <n v="160"/>
    <n v="250"/>
    <n v="12300"/>
    <n v="15220"/>
    <n v="3805"/>
    <n v="10560"/>
    <n v="11720"/>
    <n v="0.22996057818659657"/>
  </r>
  <r>
    <x v="70"/>
    <s v="San Miguel"/>
    <s v="Universidad de Oriente"/>
    <s v="Information Systems"/>
    <s v="Master"/>
    <n v="2"/>
    <n v="4800"/>
    <n v="43.2"/>
    <n v="320"/>
    <n v="110"/>
    <n v="300"/>
    <n v="1"/>
    <n v="13190"/>
    <n v="6595"/>
    <n v="7680"/>
    <n v="8390"/>
    <n v="0.3639120545868082"/>
  </r>
  <r>
    <x v="63"/>
    <s v="Rajshahi"/>
    <s v="RUET"/>
    <s v="Software Engineering"/>
    <s v="Master"/>
    <n v="2"/>
    <n v="2000"/>
    <n v="37.200000000000003"/>
    <n v="170"/>
    <n v="100"/>
    <n v="200"/>
    <n v="109.5"/>
    <n v="6580"/>
    <n v="3290"/>
    <n v="4080"/>
    <n v="4580"/>
    <n v="0.303951367781155"/>
  </r>
  <r>
    <x v="64"/>
    <s v="Salmiya"/>
    <s v="Australian College Kuwait"/>
    <s v="Data Science"/>
    <s v="Bachelor"/>
    <n v="3"/>
    <n v="13500"/>
    <n v="65.400000000000006"/>
    <n v="680"/>
    <n v="140"/>
    <n v="700"/>
    <n v="0.31"/>
    <n v="40220"/>
    <n v="13406.666666666666"/>
    <n v="24480"/>
    <n v="26720"/>
    <n v="0.33565390353058178"/>
  </r>
  <r>
    <x v="65"/>
    <s v="Odesa"/>
    <s v="Odesa Polytechnic"/>
    <s v="Artificial Intelligence"/>
    <s v="PhD"/>
    <n v="4"/>
    <n v="3600"/>
    <n v="41.8"/>
    <n v="320"/>
    <n v="120"/>
    <n v="300"/>
    <n v="36.799999999999997"/>
    <n v="20280"/>
    <n v="5070"/>
    <n v="15360"/>
    <n v="16680"/>
    <n v="0.17751479289940827"/>
  </r>
  <r>
    <x v="66"/>
    <s v="Nova Gorica"/>
    <s v="University of Nova Gorica"/>
    <s v="Computer Science"/>
    <s v="Master"/>
    <n v="2"/>
    <n v="4100"/>
    <n v="56.5"/>
    <n v="400"/>
    <n v="80"/>
    <n v="450"/>
    <n v="0.92"/>
    <n v="14680"/>
    <n v="7340"/>
    <n v="9600"/>
    <n v="10580"/>
    <n v="0.279291553133515"/>
  </r>
  <r>
    <x v="67"/>
    <s v="Kragujevac"/>
    <s v="University of Kragujevac"/>
    <s v="Data Engineering"/>
    <s v="Bachelor"/>
    <n v="4"/>
    <n v="2400"/>
    <n v="43.5"/>
    <n v="280"/>
    <n v="90"/>
    <n v="320"/>
    <n v="108.5"/>
    <n v="17210"/>
    <n v="4302.5"/>
    <n v="13440"/>
    <n v="14810"/>
    <n v="0.13945380592678674"/>
  </r>
  <r>
    <x v="68"/>
    <s v="Shiraz"/>
    <s v="Shiraz University"/>
    <s v="Software Development"/>
    <s v="Master"/>
    <n v="2"/>
    <n v="2700"/>
    <n v="46.8"/>
    <n v="300"/>
    <n v="150"/>
    <n v="280"/>
    <n v="42150"/>
    <n v="10610"/>
    <n v="5305"/>
    <n v="7200"/>
    <n v="7910"/>
    <n v="0.25447690857681432"/>
  </r>
  <r>
    <x v="69"/>
    <s v="Namangan"/>
    <s v="Namangan Institute"/>
    <s v="Information Technology"/>
    <s v="Master"/>
    <n v="2"/>
    <n v="3400"/>
    <n v="38.5"/>
    <n v="200"/>
    <n v="160"/>
    <n v="250"/>
    <n v="12300"/>
    <n v="8860"/>
    <n v="4430"/>
    <n v="4800"/>
    <n v="5460"/>
    <n v="0.38374717832957111"/>
  </r>
  <r>
    <x v="70"/>
    <s v="Sonsonate"/>
    <s v="Universidad de Sonsonate"/>
    <s v="Data Science"/>
    <s v="Bachelor"/>
    <n v="3"/>
    <n v="4500"/>
    <n v="42.8"/>
    <n v="300"/>
    <n v="110"/>
    <n v="300"/>
    <n v="1"/>
    <n v="16310"/>
    <n v="5436.666666666667"/>
    <n v="10800"/>
    <n v="11810"/>
    <n v="0.27590435315757206"/>
  </r>
  <r>
    <x v="63"/>
    <s v="Sylhet"/>
    <s v="SUST"/>
    <s v="Computer Engineering"/>
    <s v="PhD"/>
    <n v="4"/>
    <n v="2300"/>
    <n v="36.799999999999997"/>
    <n v="160"/>
    <n v="100"/>
    <n v="200"/>
    <n v="109.5"/>
    <n v="10880"/>
    <n v="2720"/>
    <n v="7680"/>
    <n v="8580"/>
    <n v="0.21139705882352941"/>
  </r>
  <r>
    <x v="64"/>
    <s v="Al Ahmadi"/>
    <s v="ACK"/>
    <s v="Software Engineering"/>
    <s v="Master"/>
    <n v="2"/>
    <n v="13000"/>
    <n v="64.5"/>
    <n v="650"/>
    <n v="140"/>
    <n v="700"/>
    <n v="0.31"/>
    <n v="30140"/>
    <n v="15070"/>
    <n v="15600"/>
    <n v="17140"/>
    <n v="0.43132050431320507"/>
  </r>
  <r>
    <x v="65"/>
    <s v="Dnipro"/>
    <s v="Dnipro Polytechnic"/>
    <s v="Data Analytics"/>
    <s v="Master"/>
    <n v="2"/>
    <n v="3300"/>
    <n v="40.5"/>
    <n v="300"/>
    <n v="120"/>
    <n v="300"/>
    <n v="36.799999999999997"/>
    <n v="11220"/>
    <n v="5610"/>
    <n v="7200"/>
    <n v="7920"/>
    <n v="0.29411764705882354"/>
  </r>
  <r>
    <x v="66"/>
    <s v="Celje"/>
    <s v="Faculty of Logistics"/>
    <s v="Information Systems"/>
    <s v="Bachelor"/>
    <n v="3"/>
    <n v="3900"/>
    <n v="55.4"/>
    <n v="380"/>
    <n v="80"/>
    <n v="450"/>
    <n v="0.92"/>
    <n v="19010"/>
    <n v="6336.666666666667"/>
    <n v="13680"/>
    <n v="15110"/>
    <n v="0.20515518148342976"/>
  </r>
  <r>
    <x v="67"/>
    <s v="Subotica"/>
    <s v="University of Subotica"/>
    <s v="Computer Science"/>
    <s v="Master"/>
    <n v="2"/>
    <n v="2300"/>
    <n v="42.8"/>
    <n v="270"/>
    <n v="90"/>
    <n v="320"/>
    <n v="108.5"/>
    <n v="9510"/>
    <n v="4755"/>
    <n v="6480"/>
    <n v="7210"/>
    <n v="0.24185068349106204"/>
  </r>
  <r>
    <x v="68"/>
    <s v="Tabriz"/>
    <s v="University of Tabriz"/>
    <s v="Artificial Intelligence"/>
    <s v="PhD"/>
    <n v="4"/>
    <n v="2600"/>
    <n v="45.5"/>
    <n v="280"/>
    <n v="150"/>
    <n v="280"/>
    <n v="42150"/>
    <n v="17310"/>
    <n v="4327.5"/>
    <n v="13440"/>
    <n v="14710"/>
    <n v="0.15020219526285383"/>
  </r>
  <r>
    <x v="69"/>
    <s v="Andijan"/>
    <s v="Andijan State University"/>
    <s v="Software Development"/>
    <s v="Master"/>
    <n v="2"/>
    <n v="3200"/>
    <n v="37.799999999999997"/>
    <n v="180"/>
    <n v="160"/>
    <n v="250"/>
    <n v="12300"/>
    <n v="8180"/>
    <n v="4090"/>
    <n v="4320"/>
    <n v="4980"/>
    <n v="0.39119804400977998"/>
  </r>
  <r>
    <x v="70"/>
    <s v="Santa Tecla"/>
    <s v="ITCA-FEPADE"/>
    <s v="Computer Engineering"/>
    <s v="Bachelor"/>
    <n v="4"/>
    <n v="4200"/>
    <n v="42.1"/>
    <n v="280"/>
    <n v="110"/>
    <n v="300"/>
    <n v="1"/>
    <n v="18950"/>
    <n v="4737.5"/>
    <n v="13440"/>
    <n v="14750"/>
    <n v="0.22163588390501318"/>
  </r>
  <r>
    <x v="25"/>
    <s v="Kuala Lumpur"/>
    <s v="University of Malaya"/>
    <s v="Computer Science"/>
    <s v="Master"/>
    <n v="2"/>
    <n v="8500"/>
    <n v="55.4"/>
    <n v="500"/>
    <n v="120"/>
    <n v="400"/>
    <n v="4.6500000000000004"/>
    <n v="21420"/>
    <n v="10710"/>
    <n v="12000"/>
    <n v="12920"/>
    <n v="0.3968253968253968"/>
  </r>
  <r>
    <x v="41"/>
    <s v="Riyadh"/>
    <s v="King Saud University"/>
    <s v="Data Science"/>
    <s v="PhD"/>
    <n v="4"/>
    <n v="5000"/>
    <n v="72.5"/>
    <n v="800"/>
    <n v="200"/>
    <n v="800"/>
    <n v="3.75"/>
    <n v="46800"/>
    <n v="11700"/>
    <n v="38400"/>
    <n v="41800"/>
    <n v="0.10683760683760683"/>
  </r>
  <r>
    <x v="0"/>
    <s v="Boston"/>
    <s v="Harvard University"/>
    <s v="Artificial Intelligence"/>
    <s v="Master"/>
    <n v="2"/>
    <n v="58000"/>
    <n v="82.1"/>
    <n v="2200"/>
    <n v="160"/>
    <n v="1500"/>
    <n v="1"/>
    <n v="113960"/>
    <n v="56980"/>
    <n v="52800"/>
    <n v="55960"/>
    <n v="0.50895050895050897"/>
  </r>
  <r>
    <x v="1"/>
    <s v="London"/>
    <s v="Imperial College"/>
    <s v="Computer Engineering"/>
    <s v="Master"/>
    <n v="2"/>
    <n v="42000"/>
    <n v="75.3"/>
    <n v="1800"/>
    <n v="485"/>
    <n v="800"/>
    <n v="0.79"/>
    <n v="87285"/>
    <n v="43642.5"/>
    <n v="43200"/>
    <n v="45285"/>
    <n v="0.48118233373431862"/>
  </r>
  <r>
    <x v="26"/>
    <s v="Madrid"/>
    <s v="Universidad Politecnica"/>
    <s v="Software Engineering"/>
    <s v="PhD"/>
    <n v="4"/>
    <n v="3500"/>
    <n v="71.400000000000006"/>
    <n v="1100"/>
    <n v="80"/>
    <n v="750"/>
    <n v="0.92"/>
    <n v="59380"/>
    <n v="14845"/>
    <n v="52800"/>
    <n v="55880"/>
    <n v="5.8942404850117883E-2"/>
  </r>
  <r>
    <x v="27"/>
    <s v="Milan"/>
    <s v="Politecnico di Milano"/>
    <s v="Data Analytics"/>
    <s v="Master"/>
    <n v="2"/>
    <n v="4000"/>
    <n v="73.2"/>
    <n v="1200"/>
    <n v="120"/>
    <n v="700"/>
    <n v="0.92"/>
    <n v="34320"/>
    <n v="17160"/>
    <n v="28800"/>
    <n v="30320"/>
    <n v="0.11655011655011654"/>
  </r>
  <r>
    <x v="8"/>
    <s v="Paris"/>
    <s v="Sorbonne University"/>
    <s v="Computer Science"/>
    <s v="Master"/>
    <n v="2"/>
    <n v="4500"/>
    <n v="84.3"/>
    <n v="1800"/>
    <n v="99"/>
    <n v="850"/>
    <n v="0.92"/>
    <n v="49499"/>
    <n v="24749.5"/>
    <n v="43200"/>
    <n v="44999"/>
    <n v="9.0910927493484714E-2"/>
  </r>
  <r>
    <x v="25"/>
    <s v="Penang"/>
    <s v="USM"/>
    <s v="Information Systems"/>
    <s v="Bachelor"/>
    <n v="3"/>
    <n v="7500"/>
    <n v="52.1"/>
    <n v="450"/>
    <n v="120"/>
    <n v="400"/>
    <n v="4.6500000000000004"/>
    <n v="25020"/>
    <n v="8340"/>
    <n v="16200"/>
    <n v="17520"/>
    <n v="0.29976019184652281"/>
  </r>
  <r>
    <x v="41"/>
    <s v="Jeddah"/>
    <s v="King Abdulaziz University"/>
    <s v="Data Engineering"/>
    <s v="Master"/>
    <n v="2"/>
    <n v="4800"/>
    <n v="70.2"/>
    <n v="750"/>
    <n v="200"/>
    <n v="800"/>
    <n v="3.75"/>
    <n v="24600"/>
    <n v="12300"/>
    <n v="18000"/>
    <n v="19800"/>
    <n v="0.1951219512195122"/>
  </r>
  <r>
    <x v="0"/>
    <s v="Stanford"/>
    <s v="Stanford University"/>
    <s v="Computer Science"/>
    <s v="PhD"/>
    <n v="5"/>
    <n v="52000"/>
    <n v="84.3"/>
    <n v="2300"/>
    <n v="160"/>
    <n v="1500"/>
    <n v="1"/>
    <n v="197660"/>
    <n v="39532"/>
    <n v="138000"/>
    <n v="145660"/>
    <n v="0.26307801274916526"/>
  </r>
  <r>
    <x v="1"/>
    <s v="Cambridge"/>
    <s v="University of Cambridge"/>
    <s v="Artificial Intelligence"/>
    <s v="PhD"/>
    <n v="4"/>
    <n v="45000"/>
    <n v="71.5"/>
    <n v="1600"/>
    <n v="485"/>
    <n v="800"/>
    <n v="0.79"/>
    <n v="125485"/>
    <n v="31371.25"/>
    <n v="76800"/>
    <n v="80485"/>
    <n v="0.35860859863728733"/>
  </r>
  <r>
    <x v="26"/>
    <s v="Barcelona"/>
    <s v="Universitat de Barcelona"/>
    <s v="Data Science"/>
    <s v="Master"/>
    <n v="2"/>
    <n v="3800"/>
    <n v="73.599999999999994"/>
    <n v="1000"/>
    <n v="80"/>
    <n v="750"/>
    <n v="0.92"/>
    <n v="29380"/>
    <n v="14690"/>
    <n v="24000"/>
    <n v="25580"/>
    <n v="0.12933968686181074"/>
  </r>
  <r>
    <x v="27"/>
    <s v="Rome"/>
    <s v="Sapienza University"/>
    <s v="Software Engineering"/>
    <s v="Bachelor"/>
    <n v="3"/>
    <n v="3500"/>
    <n v="71.2"/>
    <n v="1100"/>
    <n v="120"/>
    <n v="700"/>
    <n v="0.92"/>
    <n v="45320"/>
    <n v="15106.666666666666"/>
    <n v="39600"/>
    <n v="41820"/>
    <n v="7.7228596646072373E-2"/>
  </r>
  <r>
    <x v="8"/>
    <s v="Lyon"/>
    <s v="Ã‰cole Normale SupÃ©rieure"/>
    <s v="Computer Engineering"/>
    <s v="Master"/>
    <n v="2"/>
    <n v="4200"/>
    <n v="75.599999999999994"/>
    <n v="1200"/>
    <n v="99"/>
    <n v="850"/>
    <n v="0.92"/>
    <n v="34799"/>
    <n v="17399.5"/>
    <n v="28800"/>
    <n v="30599"/>
    <n v="0.12069312336561396"/>
  </r>
  <r>
    <x v="25"/>
    <s v="Johor Bahru"/>
    <s v="UTM"/>
    <s v="Data Analytics"/>
    <s v="PhD"/>
    <n v="4"/>
    <n v="8000"/>
    <n v="51.8"/>
    <n v="400"/>
    <n v="120"/>
    <n v="400"/>
    <n v="4.6500000000000004"/>
    <n v="28920"/>
    <n v="7230"/>
    <n v="19200"/>
    <n v="20920"/>
    <n v="0.27662517289073307"/>
  </r>
  <r>
    <x v="41"/>
    <s v="Dhahran"/>
    <s v="KFUPM"/>
    <s v="Computer Science"/>
    <s v="Master"/>
    <n v="2"/>
    <n v="4500"/>
    <n v="68.5"/>
    <n v="700"/>
    <n v="200"/>
    <n v="800"/>
    <n v="3.75"/>
    <n v="23100"/>
    <n v="11550"/>
    <n v="16800"/>
    <n v="18600"/>
    <n v="0.19480519480519481"/>
  </r>
  <r>
    <x v="0"/>
    <s v="Berkeley"/>
    <s v="UC Berkeley"/>
    <s v="Data Science"/>
    <s v="Master"/>
    <n v="2"/>
    <n v="54000"/>
    <n v="83.2"/>
    <n v="2000"/>
    <n v="160"/>
    <n v="1500"/>
    <n v="1"/>
    <n v="105160"/>
    <n v="52580"/>
    <n v="48000"/>
    <n v="51160"/>
    <n v="0.5135032331685051"/>
  </r>
  <r>
    <x v="1"/>
    <s v="Oxford"/>
    <s v="University of Oxford"/>
    <s v="Software Engineering"/>
    <s v="Master"/>
    <n v="2"/>
    <n v="40000"/>
    <n v="71.5"/>
    <n v="1400"/>
    <n v="485"/>
    <n v="800"/>
    <n v="0.79"/>
    <n v="75685"/>
    <n v="37842.5"/>
    <n v="33600"/>
    <n v="35685"/>
    <n v="0.52850630904406426"/>
  </r>
  <r>
    <x v="26"/>
    <s v="Valencia"/>
    <s v="Universidad de Valencia"/>
    <s v="Information Systems"/>
    <s v="PhD"/>
    <n v="4"/>
    <n v="3200"/>
    <n v="68.5"/>
    <n v="800"/>
    <n v="80"/>
    <n v="750"/>
    <n v="0.92"/>
    <n v="44680"/>
    <n v="11170"/>
    <n v="38400"/>
    <n v="41480"/>
    <n v="7.1620411817367946E-2"/>
  </r>
  <r>
    <x v="27"/>
    <s v="Turin"/>
    <s v="Politecnico di Torino"/>
    <s v="Artificial Intelligence"/>
    <s v="Master"/>
    <n v="2"/>
    <n v="3800"/>
    <n v="69.8"/>
    <n v="900"/>
    <n v="120"/>
    <n v="700"/>
    <n v="0.92"/>
    <n v="26920"/>
    <n v="13460"/>
    <n v="21600"/>
    <n v="23120"/>
    <n v="0.14115898959881129"/>
  </r>
  <r>
    <x v="8"/>
    <s v="Toulouse"/>
    <s v="INSA Toulouse"/>
    <s v="Data Engineering"/>
    <s v="PhD"/>
    <n v="4"/>
    <n v="4300"/>
    <n v="72.099999999999994"/>
    <n v="1000"/>
    <n v="99"/>
    <n v="850"/>
    <n v="0.92"/>
    <n v="55799"/>
    <n v="13949.75"/>
    <n v="48000"/>
    <n v="51499"/>
    <n v="7.7062312944676428E-2"/>
  </r>
  <r>
    <x v="25"/>
    <s v="Kuching"/>
    <s v="UNIMAS"/>
    <s v="Computer Science"/>
    <s v="Master"/>
    <n v="2"/>
    <n v="7000"/>
    <n v="49.5"/>
    <n v="380"/>
    <n v="120"/>
    <n v="400"/>
    <n v="4.6500000000000004"/>
    <n v="17040"/>
    <n v="8520"/>
    <n v="9120"/>
    <n v="10040"/>
    <n v="0.41079812206572769"/>
  </r>
  <r>
    <x v="41"/>
    <s v="Medina"/>
    <s v="Islamic University"/>
    <s v="Software Development"/>
    <s v="Bachelor"/>
    <n v="4"/>
    <n v="4200"/>
    <n v="65.400000000000006"/>
    <n v="650"/>
    <n v="200"/>
    <n v="800"/>
    <n v="3.75"/>
    <n v="38800"/>
    <n v="9700"/>
    <n v="31200"/>
    <n v="34600"/>
    <n v="0.10824742268041238"/>
  </r>
  <r>
    <x v="0"/>
    <s v="MIT"/>
    <s v="Massachusetts"/>
    <s v="Robotics"/>
    <s v="PhD"/>
    <n v="5"/>
    <n v="56000"/>
    <n v="82.1"/>
    <n v="2100"/>
    <n v="160"/>
    <n v="1500"/>
    <n v="1"/>
    <n v="189660"/>
    <n v="37932"/>
    <n v="126000"/>
    <n v="133660"/>
    <n v="0.29526521143098178"/>
  </r>
  <r>
    <x v="1"/>
    <s v="Edinburgh"/>
    <s v="University of Edinburgh"/>
    <s v="Data Science"/>
    <s v="Master"/>
    <n v="2"/>
    <n v="38000"/>
    <n v="67.8"/>
    <n v="1100"/>
    <n v="485"/>
    <n v="800"/>
    <n v="0.79"/>
    <n v="66485"/>
    <n v="33242.5"/>
    <n v="26400"/>
    <n v="28485"/>
    <n v="0.57155749417161761"/>
  </r>
  <r>
    <x v="26"/>
    <s v="Seville"/>
    <s v="Universidad de Sevilla"/>
    <s v="Computer Engineering"/>
    <s v="Master"/>
    <n v="2"/>
    <n v="3000"/>
    <n v="65.400000000000006"/>
    <n v="750"/>
    <n v="80"/>
    <n v="750"/>
    <n v="0.92"/>
    <n v="22580"/>
    <n v="11290"/>
    <n v="18000"/>
    <n v="19580"/>
    <n v="0.1328609388839681"/>
  </r>
  <r>
    <x v="27"/>
    <s v="Bologna"/>
    <s v="University of Bologna"/>
    <s v="Information Systems"/>
    <s v="PhD"/>
    <n v="4"/>
    <n v="3600"/>
    <n v="70.5"/>
    <n v="950"/>
    <n v="120"/>
    <n v="700"/>
    <n v="0.92"/>
    <n v="52120"/>
    <n v="13030"/>
    <n v="45600"/>
    <n v="48520"/>
    <n v="6.9071373752877974E-2"/>
  </r>
  <r>
    <x v="8"/>
    <s v="Marseille"/>
    <s v="Aix-Marseille University"/>
    <s v="Artificial Intelligence"/>
    <s v="Master"/>
    <n v="2"/>
    <n v="4100"/>
    <n v="73.5"/>
    <n v="1100"/>
    <n v="99"/>
    <n v="850"/>
    <n v="0.92"/>
    <n v="32299"/>
    <n v="16149.5"/>
    <n v="26400"/>
    <n v="28199"/>
    <n v="0.12693891451747732"/>
  </r>
  <r>
    <x v="25"/>
    <s v="Cyberjaya"/>
    <s v="Multimedia University"/>
    <s v="Data Analytics"/>
    <s v="Bachelor"/>
    <n v="3"/>
    <n v="7800"/>
    <n v="53.2"/>
    <n v="450"/>
    <n v="120"/>
    <n v="400"/>
    <n v="4.6500000000000004"/>
    <n v="25320"/>
    <n v="8440"/>
    <n v="16200"/>
    <n v="17520"/>
    <n v="0.30805687203791471"/>
  </r>
  <r>
    <x v="41"/>
    <s v="Dammam"/>
    <s v="Imam Abdulrahman University"/>
    <s v="Computer Science"/>
    <s v="Master"/>
    <n v="2"/>
    <n v="4600"/>
    <n v="67.8"/>
    <n v="680"/>
    <n v="200"/>
    <n v="800"/>
    <n v="3.75"/>
    <n v="22720"/>
    <n v="11360"/>
    <n v="16320"/>
    <n v="18120"/>
    <n v="0.20246478873239437"/>
  </r>
  <r>
    <x v="0"/>
    <s v="New York"/>
    <s v="Columbia University"/>
    <s v="Data Science"/>
    <s v="Master"/>
    <n v="2"/>
    <n v="62000"/>
    <n v="100"/>
    <n v="2500"/>
    <n v="160"/>
    <n v="1500"/>
    <n v="1"/>
    <n v="125160"/>
    <n v="62580"/>
    <n v="60000"/>
    <n v="63160"/>
    <n v="0.49536593160754233"/>
  </r>
  <r>
    <x v="1"/>
    <s v="Manchester"/>
    <s v="University of Manchester"/>
    <s v="Software Engineering"/>
    <s v="PhD"/>
    <n v="4"/>
    <n v="35000"/>
    <n v="65.400000000000006"/>
    <n v="900"/>
    <n v="485"/>
    <n v="800"/>
    <n v="0.79"/>
    <n v="81885"/>
    <n v="20471.25"/>
    <n v="43200"/>
    <n v="46885"/>
    <n v="0.42742871099713015"/>
  </r>
  <r>
    <x v="26"/>
    <s v="Granada"/>
    <s v="Universidad de Granada"/>
    <s v="Computer Science"/>
    <s v="Bachelor"/>
    <n v="3"/>
    <n v="2800"/>
    <n v="64.5"/>
    <n v="700"/>
    <n v="80"/>
    <n v="750"/>
    <n v="0.92"/>
    <n v="30330"/>
    <n v="10110"/>
    <n v="25200"/>
    <n v="27530"/>
    <n v="9.2317837124958793E-2"/>
  </r>
  <r>
    <x v="27"/>
    <s v="Florence"/>
    <s v="University of Florence"/>
    <s v="Data Engineering"/>
    <s v="Master"/>
    <n v="2"/>
    <n v="3500"/>
    <n v="71.2"/>
    <n v="1000"/>
    <n v="120"/>
    <n v="700"/>
    <n v="0.92"/>
    <n v="29020"/>
    <n v="14510"/>
    <n v="24000"/>
    <n v="25520"/>
    <n v="0.1206064782908339"/>
  </r>
  <r>
    <x v="8"/>
    <s v="Bordeaux"/>
    <s v="University of Bordeaux"/>
    <s v="Information Systems"/>
    <s v="PhD"/>
    <n v="4"/>
    <n v="4300"/>
    <n v="72.099999999999994"/>
    <n v="1000"/>
    <n v="99"/>
    <n v="850"/>
    <n v="0.92"/>
    <n v="55799"/>
    <n v="13949.75"/>
    <n v="48000"/>
    <n v="51499"/>
    <n v="7.7062312944676428E-2"/>
  </r>
  <r>
    <x v="25"/>
    <s v="Bangi"/>
    <s v="UKM"/>
    <s v="Artificial Intelligence"/>
    <s v="Master"/>
    <n v="2"/>
    <n v="7200"/>
    <n v="51.5"/>
    <n v="420"/>
    <n v="120"/>
    <n v="400"/>
    <n v="4.6500000000000004"/>
    <n v="18200"/>
    <n v="9100"/>
    <n v="10080"/>
    <n v="11000"/>
    <n v="0.39560439560439559"/>
  </r>
  <r>
    <x v="41"/>
    <s v="Taif"/>
    <s v="Taif University"/>
    <s v="Software Development"/>
    <s v="Master"/>
    <n v="2"/>
    <n v="4400"/>
    <n v="64.5"/>
    <n v="600"/>
    <n v="200"/>
    <n v="800"/>
    <n v="3.75"/>
    <n v="20600"/>
    <n v="10300"/>
    <n v="14400"/>
    <n v="16200"/>
    <n v="0.21359223300970873"/>
  </r>
  <r>
    <x v="0"/>
    <s v="Los Angeles"/>
    <s v="UCLA"/>
    <s v="Computer Engineering"/>
    <s v="PhD"/>
    <n v="5"/>
    <n v="52000"/>
    <n v="79.8"/>
    <n v="2200"/>
    <n v="160"/>
    <n v="1500"/>
    <n v="1"/>
    <n v="191660"/>
    <n v="38332"/>
    <n v="132000"/>
    <n v="139660"/>
    <n v="0.27131378482729834"/>
  </r>
  <r>
    <x v="1"/>
    <s v="Bristol"/>
    <s v="University of Bristol"/>
    <s v="Data Analytics"/>
    <s v="Master"/>
    <n v="2"/>
    <n v="36000"/>
    <n v="68.900000000000006"/>
    <n v="1200"/>
    <n v="485"/>
    <n v="800"/>
    <n v="0.79"/>
    <n v="66885"/>
    <n v="33442.5"/>
    <n v="28800"/>
    <n v="30885"/>
    <n v="0.53823727293115053"/>
  </r>
  <r>
    <x v="26"/>
    <s v="Bilbao"/>
    <s v="University of the Basque Country"/>
    <s v="Information Technology"/>
    <s v="Master"/>
    <n v="2"/>
    <n v="3400"/>
    <n v="67.8"/>
    <n v="850"/>
    <n v="80"/>
    <n v="750"/>
    <n v="0.92"/>
    <n v="25380"/>
    <n v="12690"/>
    <n v="20400"/>
    <n v="21980"/>
    <n v="0.13396375098502758"/>
  </r>
  <r>
    <x v="27"/>
    <s v="Naples"/>
    <s v="University of Naples"/>
    <s v="Computer Science"/>
    <s v="Bachelor"/>
    <n v="3"/>
    <n v="3200"/>
    <n v="67.8"/>
    <n v="800"/>
    <n v="120"/>
    <n v="700"/>
    <n v="0.92"/>
    <n v="34220"/>
    <n v="11406.666666666666"/>
    <n v="28800"/>
    <n v="31020"/>
    <n v="9.3512565751022791E-2"/>
  </r>
  <r>
    <x v="8"/>
    <s v="Nice"/>
    <s v="University of Nice"/>
    <s v="Data Science"/>
    <s v="Master"/>
    <n v="2"/>
    <n v="4100"/>
    <n v="76.5"/>
    <n v="1300"/>
    <n v="99"/>
    <n v="850"/>
    <n v="0.92"/>
    <n v="37099"/>
    <n v="18549.5"/>
    <n v="31200"/>
    <n v="32999"/>
    <n v="0.11051510822394135"/>
  </r>
  <r>
    <x v="25"/>
    <s v="Melaka"/>
    <s v="UTeM"/>
    <s v="Software Engineering"/>
    <s v="PhD"/>
    <n v="4"/>
    <n v="7500"/>
    <n v="50.2"/>
    <n v="400"/>
    <n v="120"/>
    <n v="400"/>
    <n v="4.6500000000000004"/>
    <n v="28420"/>
    <n v="7105"/>
    <n v="19200"/>
    <n v="20920"/>
    <n v="0.26389866291344122"/>
  </r>
  <r>
    <x v="41"/>
    <s v="Tabuk"/>
    <s v="University of Tabuk"/>
    <s v="Computer Engineering"/>
    <s v="Bachelor"/>
    <n v="4"/>
    <n v="4100"/>
    <n v="63.2"/>
    <n v="580"/>
    <n v="200"/>
    <n v="800"/>
    <n v="3.75"/>
    <n v="35340"/>
    <n v="8835"/>
    <n v="27840"/>
    <n v="31240"/>
    <n v="0.11601584606677985"/>
  </r>
  <r>
    <x v="0"/>
    <s v="Chicago"/>
    <s v="University of Chicago"/>
    <s v="Artificial Intelligence"/>
    <s v="Master"/>
    <n v="2"/>
    <n v="58000"/>
    <n v="84.1"/>
    <n v="1900"/>
    <n v="160"/>
    <n v="1500"/>
    <n v="1"/>
    <n v="106760"/>
    <n v="53380"/>
    <n v="45600"/>
    <n v="48760"/>
    <n v="0.54327463469464221"/>
  </r>
  <r>
    <x v="1"/>
    <s v="Glasgow"/>
    <s v="University of Glasgow"/>
    <s v="Data Engineering"/>
    <s v="PhD"/>
    <n v="4"/>
    <n v="34000"/>
    <n v="64.5"/>
    <n v="950"/>
    <n v="485"/>
    <n v="800"/>
    <n v="0.79"/>
    <n v="83285"/>
    <n v="20821.25"/>
    <n v="45600"/>
    <n v="49285"/>
    <n v="0.4082367773308519"/>
  </r>
  <r>
    <x v="26"/>
    <s v="Salamanca"/>
    <s v="University of Salamanca"/>
    <s v="Information Systems"/>
    <s v="Master"/>
    <n v="2"/>
    <n v="3100"/>
    <n v="62.1"/>
    <n v="600"/>
    <n v="80"/>
    <n v="750"/>
    <n v="0.92"/>
    <n v="19080"/>
    <n v="9540"/>
    <n v="14400"/>
    <n v="15980"/>
    <n v="0.16247379454926625"/>
  </r>
  <r>
    <x v="27"/>
    <s v="Pisa"/>
    <s v="University of Pisa"/>
    <s v="Software Development"/>
    <s v="Master"/>
    <n v="2"/>
    <n v="3300"/>
    <n v="68.900000000000006"/>
    <n v="850"/>
    <n v="120"/>
    <n v="700"/>
    <n v="0.92"/>
    <n v="25220"/>
    <n v="12610"/>
    <n v="20400"/>
    <n v="21920"/>
    <n v="0.13084853291038859"/>
  </r>
  <r>
    <x v="8"/>
    <s v="Lille"/>
    <s v="University of Lille"/>
    <s v="Computer Science"/>
    <s v="Bachelor"/>
    <n v="3"/>
    <n v="4200"/>
    <n v="69.8"/>
    <n v="950"/>
    <n v="99"/>
    <n v="850"/>
    <n v="0.92"/>
    <n v="41049"/>
    <n v="13683"/>
    <n v="34200"/>
    <n v="36849"/>
    <n v="0.10231674340422423"/>
  </r>
  <r>
    <x v="25"/>
    <s v="Shah Alam"/>
    <s v="UiTM"/>
    <s v="Data Analytics"/>
    <s v="Master"/>
    <n v="2"/>
    <n v="7100"/>
    <n v="51.8"/>
    <n v="430"/>
    <n v="120"/>
    <n v="400"/>
    <n v="4.6500000000000004"/>
    <n v="18340"/>
    <n v="9170"/>
    <n v="10320"/>
    <n v="11240"/>
    <n v="0.38713195201744821"/>
  </r>
  <r>
    <x v="41"/>
    <s v="Makkah"/>
    <s v="Umm Al-Qura University"/>
    <s v="Information Technology"/>
    <s v="PhD"/>
    <n v="4"/>
    <n v="4300"/>
    <n v="65.8"/>
    <n v="650"/>
    <n v="200"/>
    <n v="800"/>
    <n v="3.75"/>
    <n v="38900"/>
    <n v="9725"/>
    <n v="31200"/>
    <n v="34600"/>
    <n v="0.11053984575835475"/>
  </r>
  <r>
    <x v="0"/>
    <s v="San Francisco"/>
    <s v="Stanford University"/>
    <s v="Data Science"/>
    <s v="Master"/>
    <n v="2"/>
    <n v="55000"/>
    <n v="95.2"/>
    <n v="2400"/>
    <n v="160"/>
    <n v="1500"/>
    <n v="1"/>
    <n v="115760"/>
    <n v="57880"/>
    <n v="57600"/>
    <n v="60760"/>
    <n v="0.47512093987560472"/>
  </r>
  <r>
    <x v="1"/>
    <s v="Leeds"/>
    <s v="University of Leeds"/>
    <s v="Computer Engineering"/>
    <s v="Master"/>
    <n v="2"/>
    <n v="35000"/>
    <n v="63.2"/>
    <n v="900"/>
    <n v="485"/>
    <n v="800"/>
    <n v="0.79"/>
    <n v="58685"/>
    <n v="29342.5"/>
    <n v="21600"/>
    <n v="23685"/>
    <n v="0.59640453267444837"/>
  </r>
  <r>
    <x v="26"/>
    <s v="Zaragoza"/>
    <s v="University of Zaragoza"/>
    <s v="Artificial Intelligence"/>
    <s v="PhD"/>
    <n v="4"/>
    <n v="2900"/>
    <n v="63.2"/>
    <n v="650"/>
    <n v="80"/>
    <n v="750"/>
    <n v="0.92"/>
    <n v="37180"/>
    <n v="9295"/>
    <n v="31200"/>
    <n v="34280"/>
    <n v="7.7998924152770308E-2"/>
  </r>
  <r>
    <x v="27"/>
    <s v="Padua"/>
    <s v="University of Padua"/>
    <s v="Software Engineering"/>
    <s v="Master"/>
    <n v="2"/>
    <n v="3400"/>
    <n v="69.5"/>
    <n v="900"/>
    <n v="120"/>
    <n v="700"/>
    <n v="0.92"/>
    <n v="26520"/>
    <n v="13260"/>
    <n v="21600"/>
    <n v="23120"/>
    <n v="0.12820512820512819"/>
  </r>
  <r>
    <x v="8"/>
    <s v="Strasbourg"/>
    <s v="University of Strasbourg"/>
    <s v="Data Analytics"/>
    <s v="Master"/>
    <n v="2"/>
    <n v="4000"/>
    <n v="70.2"/>
    <n v="1000"/>
    <n v="99"/>
    <n v="850"/>
    <n v="0.92"/>
    <n v="29799"/>
    <n v="14899.5"/>
    <n v="24000"/>
    <n v="25799"/>
    <n v="0.13423269237222726"/>
  </r>
  <r>
    <x v="25"/>
    <s v="Nilai"/>
    <s v="USIM"/>
    <s v="Computer Science"/>
    <s v="Bachelor"/>
    <n v="3"/>
    <n v="6800"/>
    <n v="50.5"/>
    <n v="400"/>
    <n v="120"/>
    <n v="400"/>
    <n v="4.6500000000000004"/>
    <n v="22520"/>
    <n v="7506.666666666667"/>
    <n v="14400"/>
    <n v="15720"/>
    <n v="0.30195381882770872"/>
  </r>
  <r>
    <x v="41"/>
    <s v="Al-Ahsa"/>
    <s v="King Faisal University"/>
    <s v="Information Systems"/>
    <s v="Master"/>
    <n v="2"/>
    <n v="4200"/>
    <n v="64.2"/>
    <n v="600"/>
    <n v="200"/>
    <n v="800"/>
    <n v="3.75"/>
    <n v="20400"/>
    <n v="10200"/>
    <n v="14400"/>
    <n v="16200"/>
    <n v="0.20588235294117646"/>
  </r>
  <r>
    <x v="0"/>
    <s v="Seattle"/>
    <s v="University of Washington"/>
    <s v="Software Development"/>
    <s v="PhD"/>
    <n v="5"/>
    <n v="50000"/>
    <n v="77.8"/>
    <n v="2000"/>
    <n v="160"/>
    <n v="1500"/>
    <n v="1"/>
    <n v="177660"/>
    <n v="35532"/>
    <n v="120000"/>
    <n v="127660"/>
    <n v="0.2814364516492176"/>
  </r>
  <r>
    <x v="1"/>
    <s v="Nottingham"/>
    <s v="University of Nottingham"/>
    <s v="Data Engineering"/>
    <s v="Master"/>
    <n v="2"/>
    <n v="34000"/>
    <n v="61.2"/>
    <n v="800"/>
    <n v="485"/>
    <n v="800"/>
    <n v="0.79"/>
    <n v="55285"/>
    <n v="27642.5"/>
    <n v="19200"/>
    <n v="21285"/>
    <n v="0.61499502577552678"/>
  </r>
  <r>
    <x v="71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x v="0"/>
    <s v="Cambridge"/>
    <s v="Harvard University"/>
    <s v="Computer Science"/>
    <x v="0"/>
    <n v="2"/>
    <n v="55400"/>
    <n v="83.5"/>
    <n v="2200"/>
    <n v="160"/>
    <n v="1500"/>
    <n v="1"/>
    <n v="111360"/>
    <n v="55680"/>
    <n v="52800"/>
    <n v="55960"/>
    <n v="0.49748563218390807"/>
  </r>
  <r>
    <x v="1"/>
    <s v="London"/>
    <s v="Imperial College London"/>
    <s v="Data Science"/>
    <x v="0"/>
    <n v="1"/>
    <n v="41200"/>
    <n v="75.8"/>
    <n v="1800"/>
    <n v="485"/>
    <n v="800"/>
    <n v="0.79"/>
    <n v="64085"/>
    <n v="64085"/>
    <n v="21600"/>
    <n v="22885"/>
    <n v="0.64289615354607166"/>
  </r>
  <r>
    <x v="2"/>
    <s v="Toronto"/>
    <s v="University of Toronto"/>
    <s v="Business Analytics"/>
    <x v="0"/>
    <n v="2"/>
    <n v="38500"/>
    <n v="72.5"/>
    <n v="1600"/>
    <n v="235"/>
    <n v="900"/>
    <n v="1.35"/>
    <n v="78935"/>
    <n v="39467.5"/>
    <n v="38400"/>
    <n v="40435"/>
    <n v="0.4877430797491607"/>
  </r>
  <r>
    <x v="3"/>
    <s v="Melbourne"/>
    <s v="University of Melbourne"/>
    <s v="Engineering"/>
    <x v="0"/>
    <n v="2"/>
    <n v="42000"/>
    <n v="71.2"/>
    <n v="1400"/>
    <n v="450"/>
    <n v="650"/>
    <n v="1.52"/>
    <n v="77350"/>
    <n v="38675"/>
    <n v="33600"/>
    <n v="35350"/>
    <n v="0.54298642533936647"/>
  </r>
  <r>
    <x v="4"/>
    <s v="Munich"/>
    <s v="Technical University of Munich"/>
    <s v="Mechanical Engineering"/>
    <x v="0"/>
    <n v="2"/>
    <n v="500"/>
    <n v="70.5"/>
    <n v="1100"/>
    <n v="75"/>
    <n v="550"/>
    <n v="0.92"/>
    <n v="28075"/>
    <n v="14037.5"/>
    <n v="26400"/>
    <n v="27575"/>
    <n v="1.7809439002671415E-2"/>
  </r>
  <r>
    <x v="5"/>
    <s v="Tokyo"/>
    <s v="University of Tokyo"/>
    <s v="Information Science"/>
    <x v="0"/>
    <n v="2"/>
    <n v="8900"/>
    <n v="76.400000000000006"/>
    <n v="1300"/>
    <n v="220"/>
    <n v="750"/>
    <n v="145.80000000000001"/>
    <n v="41820"/>
    <n v="20910"/>
    <n v="31200"/>
    <n v="32920"/>
    <n v="0.21281683405069346"/>
  </r>
  <r>
    <x v="6"/>
    <s v="Amsterdam"/>
    <s v="University of Amsterdam"/>
    <s v="Artificial Intelligence"/>
    <x v="0"/>
    <n v="1"/>
    <n v="15800"/>
    <n v="73.2"/>
    <n v="1500"/>
    <n v="180"/>
    <n v="720"/>
    <n v="0.92"/>
    <n v="34700"/>
    <n v="34700"/>
    <n v="18000"/>
    <n v="18900"/>
    <n v="0.45533141210374639"/>
  </r>
  <r>
    <x v="7"/>
    <s v="Singapore"/>
    <s v="National University of Singapore"/>
    <s v="Finance"/>
    <x v="0"/>
    <n v="1.5"/>
    <n v="35000"/>
    <n v="81.099999999999994"/>
    <n v="1900"/>
    <n v="90"/>
    <n v="800"/>
    <n v="1.34"/>
    <n v="70490"/>
    <n v="46993.333333333336"/>
    <n v="34200"/>
    <n v="35490"/>
    <n v="0.49652432969215493"/>
  </r>
  <r>
    <x v="8"/>
    <s v="Paris"/>
    <s v="Sorbonne University"/>
    <s v="International Relations"/>
    <x v="0"/>
    <n v="2"/>
    <n v="4500"/>
    <n v="74.599999999999994"/>
    <n v="1400"/>
    <n v="99"/>
    <n v="650"/>
    <n v="0.92"/>
    <n v="39499"/>
    <n v="19749.5"/>
    <n v="33600"/>
    <n v="34999"/>
    <n v="0.11392693485911036"/>
  </r>
  <r>
    <x v="9"/>
    <s v="Zurich"/>
    <s v="ETH Zurich"/>
    <s v="Physics"/>
    <x v="0"/>
    <n v="2"/>
    <n v="1460"/>
    <n v="91.5"/>
    <n v="2100"/>
    <n v="88"/>
    <n v="1200"/>
    <n v="0.89"/>
    <n v="54348"/>
    <n v="27174"/>
    <n v="50400"/>
    <n v="52888"/>
    <n v="2.6863914035475087E-2"/>
  </r>
  <r>
    <x v="10"/>
    <s v="Stockholm"/>
    <s v="KTH Royal Institute"/>
    <s v="Sustainable Technology"/>
    <x v="0"/>
    <n v="2"/>
    <n v="0"/>
    <n v="71.8"/>
    <n v="1200"/>
    <n v="110"/>
    <n v="400"/>
    <n v="10.45"/>
    <n v="29710"/>
    <n v="14855"/>
    <n v="28800"/>
    <n v="29710"/>
    <n v="0"/>
  </r>
  <r>
    <x v="11"/>
    <s v="Copenhagen"/>
    <s v="University of Copenhagen"/>
    <s v="Bioinformatics"/>
    <x v="0"/>
    <n v="2"/>
    <n v="0"/>
    <n v="73.400000000000006"/>
    <n v="1300"/>
    <n v="120"/>
    <n v="450"/>
    <n v="6.92"/>
    <n v="32220"/>
    <n v="16110"/>
    <n v="31200"/>
    <n v="32220"/>
    <n v="0"/>
  </r>
  <r>
    <x v="12"/>
    <s v="Beijing"/>
    <s v="Tsinghua University"/>
    <s v="Computer Engineering"/>
    <x v="0"/>
    <n v="2.5"/>
    <n v="8900"/>
    <n v="52.3"/>
    <n v="800"/>
    <n v="140"/>
    <n v="400"/>
    <n v="7.18"/>
    <n v="34040"/>
    <n v="13616"/>
    <n v="24000"/>
    <n v="25140"/>
    <n v="0.26145710928319627"/>
  </r>
  <r>
    <x v="13"/>
    <s v="Seoul"/>
    <s v="Seoul National University"/>
    <s v="Digital Media"/>
    <x v="0"/>
    <n v="2"/>
    <n v="7200"/>
    <n v="68.7"/>
    <n v="900"/>
    <n v="130"/>
    <n v="500"/>
    <n v="1320.5"/>
    <n v="29930"/>
    <n v="14965"/>
    <n v="21600"/>
    <n v="22730"/>
    <n v="0.24056130972268627"/>
  </r>
  <r>
    <x v="14"/>
    <s v="Dublin"/>
    <s v="Trinity College Dublin"/>
    <s v="Data Analytics"/>
    <x v="0"/>
    <n v="1"/>
    <n v="28900"/>
    <n v="72.900000000000006"/>
    <n v="1600"/>
    <n v="150"/>
    <n v="650"/>
    <n v="0.92"/>
    <n v="48900"/>
    <n v="48900"/>
    <n v="19200"/>
    <n v="20000"/>
    <n v="0.59100204498977504"/>
  </r>
  <r>
    <x v="13"/>
    <s v="Busan"/>
    <s v="Pusan National University"/>
    <s v="Business"/>
    <x v="1"/>
    <n v="4"/>
    <n v="5900"/>
    <n v="62.4"/>
    <n v="700"/>
    <n v="130"/>
    <n v="500"/>
    <n v="1320.5"/>
    <n v="41630"/>
    <n v="10407.5"/>
    <n v="33600"/>
    <n v="35730"/>
    <n v="0.14172471775162143"/>
  </r>
  <r>
    <x v="15"/>
    <s v="Auckland"/>
    <s v="University of Auckland"/>
    <s v="Marine Biology"/>
    <x v="1"/>
    <n v="3"/>
    <n v="28500"/>
    <n v="69.8"/>
    <n v="1200"/>
    <n v="245"/>
    <n v="600"/>
    <n v="1.64"/>
    <n v="73745"/>
    <n v="24581.666666666668"/>
    <n v="43200"/>
    <n v="45245"/>
    <n v="0.38646687911044819"/>
  </r>
  <r>
    <x v="16"/>
    <s v="Vienna"/>
    <s v="University of Vienna"/>
    <s v="Social Sciences"/>
    <x v="1"/>
    <n v="3"/>
    <n v="1500"/>
    <n v="67.400000000000006"/>
    <n v="950"/>
    <n v="160"/>
    <n v="500"/>
    <n v="0.92"/>
    <n v="37360"/>
    <n v="12453.333333333334"/>
    <n v="34200"/>
    <n v="35860"/>
    <n v="4.0149892933618841E-2"/>
  </r>
  <r>
    <x v="17"/>
    <s v="Brussels"/>
    <s v="KU Leuven"/>
    <s v="Biomedical Sciences"/>
    <x v="1"/>
    <n v="3"/>
    <n v="3500"/>
    <n v="68.900000000000006"/>
    <n v="1000"/>
    <n v="180"/>
    <n v="550"/>
    <n v="0.92"/>
    <n v="41330"/>
    <n v="13776.666666666666"/>
    <n v="36000"/>
    <n v="37830"/>
    <n v="8.4684248729736275E-2"/>
  </r>
  <r>
    <x v="0"/>
    <s v="Ann Arbor"/>
    <s v="University of Michigan"/>
    <s v="Aerospace Engineering"/>
    <x v="1"/>
    <n v="4"/>
    <n v="52300"/>
    <n v="72.5"/>
    <n v="1800"/>
    <n v="160"/>
    <n v="1500"/>
    <n v="1"/>
    <n v="144860"/>
    <n v="36215"/>
    <n v="86400"/>
    <n v="92560"/>
    <n v="0.36103824382162086"/>
  </r>
  <r>
    <x v="0"/>
    <s v="Atlanta"/>
    <s v="Georgia Tech"/>
    <s v="Industrial Engineering"/>
    <x v="1"/>
    <n v="4"/>
    <n v="43800"/>
    <n v="71.5"/>
    <n v="1700"/>
    <n v="160"/>
    <n v="1500"/>
    <n v="1"/>
    <n v="131560"/>
    <n v="32890"/>
    <n v="81600"/>
    <n v="87760"/>
    <n v="0.33292794162359379"/>
  </r>
  <r>
    <x v="0"/>
    <s v="Austin"/>
    <s v="UT Austin"/>
    <s v="Chemical Engineering"/>
    <x v="1"/>
    <n v="4"/>
    <n v="40900"/>
    <n v="72.400000000000006"/>
    <n v="1600"/>
    <n v="160"/>
    <n v="1500"/>
    <n v="1"/>
    <n v="123860"/>
    <n v="30965"/>
    <n v="76800"/>
    <n v="82960"/>
    <n v="0.33021152914580981"/>
  </r>
  <r>
    <x v="1"/>
    <s v="Bristol"/>
    <s v="University of Bristol"/>
    <s v="Mathematics"/>
    <x v="1"/>
    <n v="3"/>
    <n v="31200"/>
    <n v="69.8"/>
    <n v="1100"/>
    <n v="485"/>
    <n v="800"/>
    <n v="0.79"/>
    <n v="73685"/>
    <n v="24561.666666666668"/>
    <n v="39600"/>
    <n v="42485"/>
    <n v="0.42342403474248491"/>
  </r>
  <r>
    <x v="2"/>
    <s v="Ottawa"/>
    <s v="University of Ottawa"/>
    <s v="Political Science"/>
    <x v="1"/>
    <n v="4"/>
    <n v="28900"/>
    <n v="68.5"/>
    <n v="1300"/>
    <n v="235"/>
    <n v="900"/>
    <n v="1.35"/>
    <n v="95135"/>
    <n v="23783.75"/>
    <n v="62400"/>
    <n v="66235"/>
    <n v="0.30377884059494403"/>
  </r>
  <r>
    <x v="18"/>
    <s v="Hong Kong"/>
    <s v="HKUST"/>
    <s v="Finance"/>
    <x v="1"/>
    <n v="4"/>
    <n v="22000"/>
    <n v="78.599999999999994"/>
    <n v="1500"/>
    <n v="120"/>
    <n v="600"/>
    <n v="7.82"/>
    <n v="96520"/>
    <n v="24130"/>
    <n v="72000"/>
    <n v="74520"/>
    <n v="0.22793203481143803"/>
  </r>
  <r>
    <x v="19"/>
    <s v="Lisbon"/>
    <s v="University of Lisbon"/>
    <s v="Architecture"/>
    <x v="1"/>
    <n v="3"/>
    <n v="3500"/>
    <n v="58.4"/>
    <n v="800"/>
    <n v="120"/>
    <n v="450"/>
    <n v="0.92"/>
    <n v="33770"/>
    <n v="11256.666666666666"/>
    <n v="28800"/>
    <n v="30270"/>
    <n v="0.1036422860527095"/>
  </r>
  <r>
    <x v="20"/>
    <s v="Tel Aviv"/>
    <s v="Tel Aviv University"/>
    <s v="Computer Science"/>
    <x v="1"/>
    <n v="3"/>
    <n v="12000"/>
    <n v="76.2"/>
    <n v="1200"/>
    <n v="150"/>
    <n v="800"/>
    <n v="3.72"/>
    <n v="57750"/>
    <n v="19250"/>
    <n v="43200"/>
    <n v="45750"/>
    <n v="0.20779220779220781"/>
  </r>
  <r>
    <x v="21"/>
    <s v="Taipei"/>
    <s v="National Taiwan University"/>
    <s v="Electronics Engineering"/>
    <x v="1"/>
    <n v="4"/>
    <n v="5200"/>
    <n v="62.8"/>
    <n v="700"/>
    <n v="140"/>
    <n v="450"/>
    <n v="31.2"/>
    <n v="40740"/>
    <n v="10185"/>
    <n v="33600"/>
    <n v="35540"/>
    <n v="0.12763868433971526"/>
  </r>
  <r>
    <x v="22"/>
    <s v="Prague"/>
    <s v="Charles University"/>
    <s v="Medicine"/>
    <x v="1"/>
    <n v="3"/>
    <n v="9800"/>
    <n v="54.6"/>
    <n v="650"/>
    <n v="100"/>
    <n v="400"/>
    <n v="22.5"/>
    <n v="34500"/>
    <n v="11500"/>
    <n v="23400"/>
    <n v="24700"/>
    <n v="0.28405797101449276"/>
  </r>
  <r>
    <x v="0"/>
    <s v="Stanford"/>
    <s v="Stanford University"/>
    <s v="Computer Science"/>
    <x v="2"/>
    <n v="5"/>
    <n v="54200"/>
    <n v="89.5"/>
    <n v="2300"/>
    <n v="160"/>
    <n v="1500"/>
    <n v="1"/>
    <n v="199860"/>
    <n v="39972"/>
    <n v="138000"/>
    <n v="145660"/>
    <n v="0.27118983288301812"/>
  </r>
  <r>
    <x v="0"/>
    <s v="Boston"/>
    <s v="MIT"/>
    <s v="Electrical Engineering"/>
    <x v="2"/>
    <n v="5"/>
    <n v="53800"/>
    <n v="83.2"/>
    <n v="2200"/>
    <n v="160"/>
    <n v="1500"/>
    <n v="1"/>
    <n v="193460"/>
    <n v="38692"/>
    <n v="132000"/>
    <n v="139660"/>
    <n v="0.27809366277266617"/>
  </r>
  <r>
    <x v="1"/>
    <s v="Oxford"/>
    <s v="University of Oxford"/>
    <s v="Biomedical Sciences"/>
    <x v="2"/>
    <n v="4"/>
    <n v="29800"/>
    <n v="74.5"/>
    <n v="1600"/>
    <n v="485"/>
    <n v="800"/>
    <n v="0.79"/>
    <n v="110285"/>
    <n v="27571.25"/>
    <n v="76800"/>
    <n v="80485"/>
    <n v="0.27020900394432606"/>
  </r>
  <r>
    <x v="1"/>
    <s v="Cambridge"/>
    <s v="University of Cambridge"/>
    <s v="Physics"/>
    <x v="2"/>
    <n v="4"/>
    <n v="31200"/>
    <n v="75.2"/>
    <n v="1700"/>
    <n v="485"/>
    <n v="800"/>
    <n v="0.79"/>
    <n v="116485"/>
    <n v="29121.25"/>
    <n v="81600"/>
    <n v="85285"/>
    <n v="0.26784564536206379"/>
  </r>
  <r>
    <x v="4"/>
    <s v="Heidelberg"/>
    <s v="Heidelberg University"/>
    <s v="Molecular Biology"/>
    <x v="2"/>
    <n v="3"/>
    <n v="500"/>
    <n v="68.400000000000006"/>
    <n v="900"/>
    <n v="75"/>
    <n v="550"/>
    <n v="0.92"/>
    <n v="34625"/>
    <n v="11541.666666666666"/>
    <n v="32400"/>
    <n v="34125"/>
    <n v="1.444043321299639E-2"/>
  </r>
  <r>
    <x v="9"/>
    <s v="Basel"/>
    <s v="ETH Basel"/>
    <s v="Pharmaceutical Sciences"/>
    <x v="2"/>
    <n v="4"/>
    <n v="1500"/>
    <n v="88.6"/>
    <n v="1800"/>
    <n v="88"/>
    <n v="1200"/>
    <n v="0.89"/>
    <n v="92788"/>
    <n v="23197"/>
    <n v="86400"/>
    <n v="91288"/>
    <n v="1.6165883519420613E-2"/>
  </r>
  <r>
    <x v="6"/>
    <s v="Delft"/>
    <s v="TU Delft"/>
    <s v="Robotics"/>
    <x v="2"/>
    <n v="4"/>
    <n v="4800"/>
    <n v="71.8"/>
    <n v="1200"/>
    <n v="180"/>
    <n v="720"/>
    <n v="0.92"/>
    <n v="65460"/>
    <n v="16365"/>
    <n v="57600"/>
    <n v="60660"/>
    <n v="7.3327222731439046E-2"/>
  </r>
  <r>
    <x v="7"/>
    <s v="Singapore"/>
    <s v="NTU Singapore"/>
    <s v="Data Science"/>
    <x v="2"/>
    <n v="4"/>
    <n v="8900"/>
    <n v="81.5"/>
    <n v="1600"/>
    <n v="90"/>
    <n v="800"/>
    <n v="1.34"/>
    <n v="88990"/>
    <n v="22247.5"/>
    <n v="76800"/>
    <n v="80090"/>
    <n v="0.1000112372176649"/>
  </r>
  <r>
    <x v="2"/>
    <s v="Waterloo"/>
    <s v="University of Waterloo"/>
    <s v="Quantum Computing"/>
    <x v="2"/>
    <n v="4"/>
    <n v="21500"/>
    <n v="69.8"/>
    <n v="1300"/>
    <n v="235"/>
    <n v="900"/>
    <n v="1.35"/>
    <n v="87735"/>
    <n v="21933.75"/>
    <n v="62400"/>
    <n v="66235"/>
    <n v="0.24505613495184361"/>
  </r>
  <r>
    <x v="3"/>
    <s v="Canberra"/>
    <s v="Australian National University"/>
    <s v="Climate Science"/>
    <x v="2"/>
    <n v="4"/>
    <n v="29800"/>
    <n v="70.2"/>
    <n v="1400"/>
    <n v="450"/>
    <n v="650"/>
    <n v="1.52"/>
    <n v="100050"/>
    <n v="25012.5"/>
    <n v="67200"/>
    <n v="70250"/>
    <n v="0.29785107446276859"/>
  </r>
  <r>
    <x v="10"/>
    <s v="Lund"/>
    <s v="Lund University"/>
    <s v="Neuroscience"/>
    <x v="2"/>
    <n v="4"/>
    <n v="0"/>
    <n v="69.5"/>
    <n v="1000"/>
    <n v="110"/>
    <n v="400"/>
    <n v="10.45"/>
    <n v="49710"/>
    <n v="12427.5"/>
    <n v="48000"/>
    <n v="49710"/>
    <n v="0"/>
  </r>
  <r>
    <x v="0"/>
    <s v="San Diego"/>
    <s v="UC San Diego"/>
    <s v="Computer Science"/>
    <x v="1"/>
    <n v="4"/>
    <n v="44200"/>
    <n v="79.5"/>
    <n v="1900"/>
    <n v="160"/>
    <n v="1500"/>
    <n v="1"/>
    <n v="141560"/>
    <n v="35390"/>
    <n v="91200"/>
    <n v="97360"/>
    <n v="0.31223509465950833"/>
  </r>
  <r>
    <x v="0"/>
    <s v="Seattle"/>
    <s v="University of Washington"/>
    <s v="Computer Science"/>
    <x v="0"/>
    <n v="2"/>
    <n v="38900"/>
    <n v="83.4"/>
    <n v="2000"/>
    <n v="160"/>
    <n v="1500"/>
    <n v="1"/>
    <n v="90060"/>
    <n v="45030"/>
    <n v="48000"/>
    <n v="51160"/>
    <n v="0.43193426604485896"/>
  </r>
  <r>
    <x v="2"/>
    <s v="Edmonton"/>
    <s v="University of Alberta"/>
    <s v="Computer Science"/>
    <x v="2"/>
    <n v="4"/>
    <n v="22800"/>
    <n v="67.8"/>
    <n v="1200"/>
    <n v="235"/>
    <n v="900"/>
    <n v="1.35"/>
    <n v="84235"/>
    <n v="21058.75"/>
    <n v="57600"/>
    <n v="61435"/>
    <n v="0.27067133614293348"/>
  </r>
  <r>
    <x v="1"/>
    <s v="Glasgow"/>
    <s v="University of Glasgow"/>
    <s v="Computer Science"/>
    <x v="0"/>
    <n v="1"/>
    <n v="33500"/>
    <n v="67.5"/>
    <n v="1100"/>
    <n v="485"/>
    <n v="800"/>
    <n v="0.79"/>
    <n v="47985"/>
    <n v="47985"/>
    <n v="13200"/>
    <n v="14485"/>
    <n v="0.69813483380222985"/>
  </r>
  <r>
    <x v="23"/>
    <s v="Bangalore"/>
    <s v="Indian Institute of Science"/>
    <s v="Computer Science"/>
    <x v="0"/>
    <n v="2"/>
    <n v="2500"/>
    <n v="45.6"/>
    <n v="500"/>
    <n v="200"/>
    <n v="300"/>
    <n v="83.2"/>
    <n v="15300"/>
    <n v="7650"/>
    <n v="12000"/>
    <n v="12800"/>
    <n v="0.16339869281045752"/>
  </r>
  <r>
    <x v="11"/>
    <s v="Aalborg"/>
    <s v="Aalborg University"/>
    <s v="Computer Science"/>
    <x v="1"/>
    <n v="3"/>
    <n v="0"/>
    <n v="69.8"/>
    <n v="900"/>
    <n v="120"/>
    <n v="450"/>
    <n v="6.92"/>
    <n v="33870"/>
    <n v="11290"/>
    <n v="32400"/>
    <n v="33870"/>
    <n v="0"/>
  </r>
  <r>
    <x v="24"/>
    <s v="Warsaw"/>
    <s v="University of Warsaw"/>
    <s v="Computer Science"/>
    <x v="0"/>
    <n v="2"/>
    <n v="3800"/>
    <n v="51.2"/>
    <n v="650"/>
    <n v="80"/>
    <n v="350"/>
    <n v="4.0199999999999996"/>
    <n v="20180"/>
    <n v="10090"/>
    <n v="15600"/>
    <n v="16380"/>
    <n v="0.18830525272547077"/>
  </r>
  <r>
    <x v="14"/>
    <s v="Galway"/>
    <s v="NUI Galway"/>
    <s v="Computer Science"/>
    <x v="1"/>
    <n v="4"/>
    <n v="25800"/>
    <n v="68.5"/>
    <n v="1100"/>
    <n v="150"/>
    <n v="650"/>
    <n v="0.92"/>
    <n v="81350"/>
    <n v="20337.5"/>
    <n v="52800"/>
    <n v="55550"/>
    <n v="0.31714812538414261"/>
  </r>
  <r>
    <x v="13"/>
    <s v="Daejeon"/>
    <s v="KAIST"/>
    <s v="Computer Science"/>
    <x v="2"/>
    <n v="4"/>
    <n v="6900"/>
    <n v="65.400000000000006"/>
    <n v="700"/>
    <n v="130"/>
    <n v="500"/>
    <n v="1320.5"/>
    <n v="42630"/>
    <n v="10657.5"/>
    <n v="33600"/>
    <n v="35730"/>
    <n v="0.16185784658691063"/>
  </r>
  <r>
    <x v="25"/>
    <s v="Kuala Lumpur"/>
    <s v="University of Malaya"/>
    <s v="Computer Science"/>
    <x v="1"/>
    <n v="4"/>
    <n v="4800"/>
    <n v="48.2"/>
    <n v="500"/>
    <n v="110"/>
    <n v="300"/>
    <n v="4.72"/>
    <n v="30110"/>
    <n v="7527.5"/>
    <n v="24000"/>
    <n v="25310"/>
    <n v="0.15941547658585187"/>
  </r>
  <r>
    <x v="0"/>
    <s v="Berkeley"/>
    <s v="UC Berkeley"/>
    <s v="Computer Science"/>
    <x v="1"/>
    <n v="4"/>
    <n v="44900"/>
    <n v="84.2"/>
    <n v="2100"/>
    <n v="160"/>
    <n v="1500"/>
    <n v="1"/>
    <n v="151860"/>
    <n v="37965"/>
    <n v="100800"/>
    <n v="106960"/>
    <n v="0.29566706176741736"/>
  </r>
  <r>
    <x v="1"/>
    <s v="Manchester"/>
    <s v="University of Manchester"/>
    <s v="Economics"/>
    <x v="1"/>
    <n v="3"/>
    <n v="32000"/>
    <n v="68.400000000000006"/>
    <n v="1200"/>
    <n v="485"/>
    <n v="800"/>
    <n v="0.79"/>
    <n v="78085"/>
    <n v="26028.333333333332"/>
    <n v="43200"/>
    <n v="46085"/>
    <n v="0.40980982262918614"/>
  </r>
  <r>
    <x v="2"/>
    <s v="Vancouver"/>
    <s v="University of British Columbia"/>
    <s v="Psychology"/>
    <x v="1"/>
    <n v="4"/>
    <n v="31200"/>
    <n v="71.2"/>
    <n v="1700"/>
    <n v="235"/>
    <n v="900"/>
    <n v="1.35"/>
    <n v="116635"/>
    <n v="29158.75"/>
    <n v="81600"/>
    <n v="85435"/>
    <n v="0.26750117889141339"/>
  </r>
  <r>
    <x v="3"/>
    <s v="Sydney"/>
    <s v="University of Sydney"/>
    <s v="Business"/>
    <x v="1"/>
    <n v="3"/>
    <n v="35000"/>
    <n v="72.8"/>
    <n v="1600"/>
    <n v="450"/>
    <n v="650"/>
    <n v="1.52"/>
    <n v="95000"/>
    <n v="31666.666666666668"/>
    <n v="57600"/>
    <n v="60000"/>
    <n v="0.36842105263157893"/>
  </r>
  <r>
    <x v="4"/>
    <s v="Berlin"/>
    <s v="Free University of Berlin"/>
    <s v="International Business"/>
    <x v="1"/>
    <n v="3"/>
    <n v="0"/>
    <n v="65.2"/>
    <n v="900"/>
    <n v="75"/>
    <n v="550"/>
    <n v="0.92"/>
    <n v="34125"/>
    <n v="11375"/>
    <n v="32400"/>
    <n v="34125"/>
    <n v="0"/>
  </r>
  <r>
    <x v="26"/>
    <s v="Barcelona"/>
    <s v="University of Barcelona"/>
    <s v="Architecture"/>
    <x v="1"/>
    <n v="4"/>
    <n v="2800"/>
    <n v="62.4"/>
    <n v="950"/>
    <n v="160"/>
    <n v="500"/>
    <n v="0.92"/>
    <n v="50560"/>
    <n v="12640"/>
    <n v="45600"/>
    <n v="47760"/>
    <n v="5.5379746835443035E-2"/>
  </r>
  <r>
    <x v="27"/>
    <s v="Milan"/>
    <s v="Politecnico di Milano"/>
    <s v="Design"/>
    <x v="1"/>
    <n v="3"/>
    <n v="4200"/>
    <n v="63.8"/>
    <n v="1100"/>
    <n v="120"/>
    <n v="650"/>
    <n v="0.92"/>
    <n v="45870"/>
    <n v="15290"/>
    <n v="39600"/>
    <n v="41670"/>
    <n v="9.1563113145846961E-2"/>
  </r>
  <r>
    <x v="6"/>
    <s v="Rotterdam"/>
    <s v="Erasmus University"/>
    <s v="Economics"/>
    <x v="1"/>
    <n v="3"/>
    <n v="11200"/>
    <n v="71.5"/>
    <n v="1300"/>
    <n v="180"/>
    <n v="720"/>
    <n v="0.92"/>
    <n v="60340"/>
    <n v="20113.333333333332"/>
    <n v="46800"/>
    <n v="49140"/>
    <n v="0.18561484918793503"/>
  </r>
  <r>
    <x v="28"/>
    <s v="Helsinki"/>
    <s v="University of Helsinki"/>
    <s v="Computer Science"/>
    <x v="1"/>
    <n v="3"/>
    <n v="0"/>
    <n v="70.2"/>
    <n v="1100"/>
    <n v="120"/>
    <n v="400"/>
    <n v="0.92"/>
    <n v="40920"/>
    <n v="13640"/>
    <n v="39600"/>
    <n v="40920"/>
    <n v="0"/>
  </r>
  <r>
    <x v="29"/>
    <s v="Oslo"/>
    <s v="University of Oslo"/>
    <s v="Environmental Science"/>
    <x v="1"/>
    <n v="3"/>
    <n v="0"/>
    <n v="75.599999999999994"/>
    <n v="1400"/>
    <n v="135"/>
    <n v="450"/>
    <n v="10.45"/>
    <n v="51885"/>
    <n v="17295"/>
    <n v="50400"/>
    <n v="51885"/>
    <n v="0"/>
  </r>
  <r>
    <x v="5"/>
    <s v="Osaka"/>
    <s v="Osaka University"/>
    <s v="Engineering"/>
    <x v="1"/>
    <n v="4"/>
    <n v="6800"/>
    <n v="71.2"/>
    <n v="900"/>
    <n v="220"/>
    <n v="750"/>
    <n v="145.80000000000001"/>
    <n v="53220"/>
    <n v="13305"/>
    <n v="43200"/>
    <n v="46420"/>
    <n v="0.12777151446824503"/>
  </r>
  <r>
    <x v="5"/>
    <s v="Kyoto"/>
    <s v="Kyoto University"/>
    <s v="Computer Science"/>
    <x v="0"/>
    <n v="2"/>
    <n v="8500"/>
    <n v="71.8"/>
    <n v="900"/>
    <n v="220"/>
    <n v="750"/>
    <n v="145.80000000000001"/>
    <n v="31820"/>
    <n v="15910"/>
    <n v="21600"/>
    <n v="23320"/>
    <n v="0.26712759270898806"/>
  </r>
  <r>
    <x v="5"/>
    <s v="Nagoya"/>
    <s v="Nagoya University"/>
    <s v="Information Science"/>
    <x v="1"/>
    <n v="4"/>
    <n v="7800"/>
    <n v="68.5"/>
    <n v="750"/>
    <n v="220"/>
    <n v="750"/>
    <n v="145.80000000000001"/>
    <n v="47020"/>
    <n v="11755"/>
    <n v="36000"/>
    <n v="39220"/>
    <n v="0.1658868566567418"/>
  </r>
  <r>
    <x v="5"/>
    <s v="Sendai"/>
    <s v="Tohoku University"/>
    <s v="Software Engineering"/>
    <x v="0"/>
    <n v="2"/>
    <n v="8200"/>
    <n v="65.400000000000006"/>
    <n v="650"/>
    <n v="220"/>
    <n v="750"/>
    <n v="145.80000000000001"/>
    <n v="25520"/>
    <n v="12760"/>
    <n v="15600"/>
    <n v="17320"/>
    <n v="0.32131661442006271"/>
  </r>
  <r>
    <x v="5"/>
    <s v="Fukuoka"/>
    <s v="Kyushu University"/>
    <s v="Computer Engineering"/>
    <x v="1"/>
    <n v="4"/>
    <n v="7500"/>
    <n v="64.8"/>
    <n v="600"/>
    <n v="220"/>
    <n v="750"/>
    <n v="145.80000000000001"/>
    <n v="39520"/>
    <n v="9880"/>
    <n v="28800"/>
    <n v="32020"/>
    <n v="0.18977732793522267"/>
  </r>
  <r>
    <x v="5"/>
    <s v="Sapporo"/>
    <s v="Hokkaido University"/>
    <s v="Data Science"/>
    <x v="0"/>
    <n v="2"/>
    <n v="8100"/>
    <n v="63.5"/>
    <n v="550"/>
    <n v="220"/>
    <n v="750"/>
    <n v="145.80000000000001"/>
    <n v="23020"/>
    <n v="11510"/>
    <n v="13200"/>
    <n v="14920"/>
    <n v="0.35186794092093832"/>
  </r>
  <r>
    <x v="5"/>
    <s v="Tokyo"/>
    <s v="Tokyo Institute of Technology"/>
    <s v="Artificial Intelligence"/>
    <x v="2"/>
    <n v="3"/>
    <n v="8900"/>
    <n v="76.400000000000006"/>
    <n v="1100"/>
    <n v="220"/>
    <n v="750"/>
    <n v="145.80000000000001"/>
    <n v="50970"/>
    <n v="16990"/>
    <n v="39600"/>
    <n v="42070"/>
    <n v="0.17461251716696097"/>
  </r>
  <r>
    <x v="5"/>
    <s v="Tsukuba"/>
    <s v="University of Tsukuba"/>
    <s v="Information Systems"/>
    <x v="1"/>
    <n v="4"/>
    <n v="7200"/>
    <n v="64.2"/>
    <n v="600"/>
    <n v="220"/>
    <n v="750"/>
    <n v="145.80000000000001"/>
    <n v="39220"/>
    <n v="9805"/>
    <n v="28800"/>
    <n v="32020"/>
    <n v="0.18357980622131564"/>
  </r>
  <r>
    <x v="5"/>
    <s v="Kobe"/>
    <s v="Kobe University"/>
    <s v="Computer Science"/>
    <x v="0"/>
    <n v="2"/>
    <n v="7900"/>
    <n v="67.8"/>
    <n v="700"/>
    <n v="220"/>
    <n v="750"/>
    <n v="145.80000000000001"/>
    <n v="26420"/>
    <n v="13210"/>
    <n v="16800"/>
    <n v="18520"/>
    <n v="0.29901589704769116"/>
  </r>
  <r>
    <x v="5"/>
    <s v="Kanazawa"/>
    <s v="Kanazawa University"/>
    <s v="Software Engineering"/>
    <x v="1"/>
    <n v="4"/>
    <n v="7100"/>
    <n v="62.5"/>
    <n v="500"/>
    <n v="220"/>
    <n v="750"/>
    <n v="145.80000000000001"/>
    <n v="34320"/>
    <n v="8580"/>
    <n v="24000"/>
    <n v="27220"/>
    <n v="0.20687645687645687"/>
  </r>
  <r>
    <x v="5"/>
    <s v="Hiroshima"/>
    <s v="Hiroshima University"/>
    <s v="Information Technology"/>
    <x v="0"/>
    <n v="2"/>
    <n v="7600"/>
    <n v="63.8"/>
    <n v="550"/>
    <n v="220"/>
    <n v="750"/>
    <n v="145.80000000000001"/>
    <n v="22520"/>
    <n v="11260"/>
    <n v="13200"/>
    <n v="14920"/>
    <n v="0.33747779751332146"/>
  </r>
  <r>
    <x v="3"/>
    <s v="Adelaide"/>
    <s v="University of Adelaide"/>
    <s v="Computer Science"/>
    <x v="1"/>
    <n v="3"/>
    <n v="32800"/>
    <n v="68.5"/>
    <n v="1100"/>
    <n v="450"/>
    <n v="650"/>
    <n v="1.52"/>
    <n v="74800"/>
    <n v="24933.333333333332"/>
    <n v="39600"/>
    <n v="42000"/>
    <n v="0.43850267379679142"/>
  </r>
  <r>
    <x v="3"/>
    <s v="Perth"/>
    <s v="University of Western Australia"/>
    <s v="Software Engineering"/>
    <x v="0"/>
    <n v="2"/>
    <n v="34500"/>
    <n v="69.8"/>
    <n v="1200"/>
    <n v="450"/>
    <n v="650"/>
    <n v="1.52"/>
    <n v="65050"/>
    <n v="32525"/>
    <n v="28800"/>
    <n v="30550"/>
    <n v="0.53036126056879329"/>
  </r>
  <r>
    <x v="3"/>
    <s v="Gold Coast"/>
    <s v="Griffith University"/>
    <s v="Information Technology"/>
    <x v="1"/>
    <n v="3"/>
    <n v="31200"/>
    <n v="67.5"/>
    <n v="1100"/>
    <n v="450"/>
    <n v="650"/>
    <n v="1.52"/>
    <n v="73200"/>
    <n v="24400"/>
    <n v="39600"/>
    <n v="42000"/>
    <n v="0.42622950819672129"/>
  </r>
  <r>
    <x v="3"/>
    <s v="Hobart"/>
    <s v="University of Tasmania"/>
    <s v="Data Science"/>
    <x v="0"/>
    <n v="2"/>
    <n v="30800"/>
    <n v="65.400000000000006"/>
    <n v="950"/>
    <n v="450"/>
    <n v="650"/>
    <n v="1.52"/>
    <n v="55350"/>
    <n v="27675"/>
    <n v="22800"/>
    <n v="24550"/>
    <n v="0.55645889792231251"/>
  </r>
  <r>
    <x v="3"/>
    <s v="Newcastle"/>
    <s v="University of Newcastle"/>
    <s v="Computer Engineering"/>
    <x v="1"/>
    <n v="4"/>
    <n v="31500"/>
    <n v="66.8"/>
    <n v="1000"/>
    <n v="450"/>
    <n v="650"/>
    <n v="1.52"/>
    <n v="82550"/>
    <n v="20637.5"/>
    <n v="48000"/>
    <n v="51050"/>
    <n v="0.38158691701998787"/>
  </r>
  <r>
    <x v="3"/>
    <s v="Wollongong"/>
    <s v="University of Wollongong"/>
    <s v="Artificial Intelligence"/>
    <x v="0"/>
    <n v="2"/>
    <n v="32900"/>
    <n v="67.2"/>
    <n v="1050"/>
    <n v="450"/>
    <n v="650"/>
    <n v="1.52"/>
    <n v="59850"/>
    <n v="29925"/>
    <n v="25200"/>
    <n v="26950"/>
    <n v="0.54970760233918126"/>
  </r>
  <r>
    <x v="3"/>
    <s v="Darwin"/>
    <s v="Charles Darwin University"/>
    <s v="Information Systems"/>
    <x v="1"/>
    <n v="3"/>
    <n v="29800"/>
    <n v="64.5"/>
    <n v="900"/>
    <n v="450"/>
    <n v="650"/>
    <n v="1.52"/>
    <n v="64600"/>
    <n v="21533.333333333332"/>
    <n v="32400"/>
    <n v="34800"/>
    <n v="0.46130030959752322"/>
  </r>
  <r>
    <x v="3"/>
    <s v="Townsville"/>
    <s v="James Cook University"/>
    <s v="Data Analytics"/>
    <x v="0"/>
    <n v="2"/>
    <n v="31200"/>
    <n v="65.8"/>
    <n v="950"/>
    <n v="450"/>
    <n v="650"/>
    <n v="1.52"/>
    <n v="55750"/>
    <n v="27875"/>
    <n v="22800"/>
    <n v="24550"/>
    <n v="0.55964125560538114"/>
  </r>
  <r>
    <x v="3"/>
    <s v="Sunshine Coast"/>
    <s v="USC"/>
    <s v="Software Development"/>
    <x v="1"/>
    <n v="3"/>
    <n v="29500"/>
    <n v="66.2"/>
    <n v="1000"/>
    <n v="450"/>
    <n v="650"/>
    <n v="1.52"/>
    <n v="67900"/>
    <n v="22633.333333333332"/>
    <n v="36000"/>
    <n v="38400"/>
    <n v="0.43446244477172313"/>
  </r>
  <r>
    <x v="3"/>
    <s v="Armidale"/>
    <s v="University of New England"/>
    <s v="Computing Science"/>
    <x v="0"/>
    <n v="2"/>
    <n v="30500"/>
    <n v="64.8"/>
    <n v="850"/>
    <n v="450"/>
    <n v="650"/>
    <n v="1.52"/>
    <n v="52650"/>
    <n v="26325"/>
    <n v="20400"/>
    <n v="22150"/>
    <n v="0.57929724596391263"/>
  </r>
  <r>
    <x v="4"/>
    <s v="Dresden"/>
    <s v="TU Dresden"/>
    <s v="Computer Science"/>
    <x v="0"/>
    <n v="2"/>
    <n v="500"/>
    <n v="65.8"/>
    <n v="750"/>
    <n v="75"/>
    <n v="550"/>
    <n v="0.92"/>
    <n v="19675"/>
    <n v="9837.5"/>
    <n v="18000"/>
    <n v="19175"/>
    <n v="2.5412960609911054E-2"/>
  </r>
  <r>
    <x v="4"/>
    <s v="Stuttgart"/>
    <s v="University of Stuttgart"/>
    <s v="Software Engineering"/>
    <x v="1"/>
    <n v="3"/>
    <n v="450"/>
    <n v="68.5"/>
    <n v="850"/>
    <n v="75"/>
    <n v="550"/>
    <n v="0.92"/>
    <n v="32775"/>
    <n v="10925"/>
    <n v="30600"/>
    <n v="32325"/>
    <n v="1.3729977116704805E-2"/>
  </r>
  <r>
    <x v="4"/>
    <s v="Hamburg"/>
    <s v="TU Hamburg"/>
    <s v="Data Engineering"/>
    <x v="0"/>
    <n v="2"/>
    <n v="500"/>
    <n v="71.2"/>
    <n v="950"/>
    <n v="75"/>
    <n v="550"/>
    <n v="0.92"/>
    <n v="24475"/>
    <n v="12237.5"/>
    <n v="22800"/>
    <n v="23975"/>
    <n v="2.0429009193054137E-2"/>
  </r>
  <r>
    <x v="4"/>
    <s v="Aachen"/>
    <s v="RWTH Aachen"/>
    <s v="Computer Engineering"/>
    <x v="1"/>
    <n v="3"/>
    <n v="500"/>
    <n v="66.400000000000006"/>
    <n v="700"/>
    <n v="75"/>
    <n v="550"/>
    <n v="0.92"/>
    <n v="27425"/>
    <n v="9141.6666666666661"/>
    <n v="25200"/>
    <n v="26925"/>
    <n v="1.8231540565177756E-2"/>
  </r>
  <r>
    <x v="4"/>
    <s v="Karlsruhe"/>
    <s v="KIT"/>
    <s v="Artificial Intelligence"/>
    <x v="0"/>
    <n v="2"/>
    <n v="500"/>
    <n v="67.8"/>
    <n v="800"/>
    <n v="75"/>
    <n v="550"/>
    <n v="0.92"/>
    <n v="20875"/>
    <n v="10437.5"/>
    <n v="19200"/>
    <n v="20375"/>
    <n v="2.3952095808383235E-2"/>
  </r>
  <r>
    <x v="4"/>
    <s v="Darmstadt"/>
    <s v="TU Darmstadt"/>
    <s v="Information Systems"/>
    <x v="1"/>
    <n v="3"/>
    <n v="450"/>
    <n v="66.900000000000006"/>
    <n v="750"/>
    <n v="75"/>
    <n v="550"/>
    <n v="0.92"/>
    <n v="29175"/>
    <n v="9725"/>
    <n v="27000"/>
    <n v="28725"/>
    <n v="1.5424164524421594E-2"/>
  </r>
  <r>
    <x v="4"/>
    <s v="Braunschweig"/>
    <s v="TU Braunschweig"/>
    <s v="Software Systems"/>
    <x v="0"/>
    <n v="2"/>
    <n v="500"/>
    <n v="64.5"/>
    <n v="650"/>
    <n v="75"/>
    <n v="550"/>
    <n v="0.92"/>
    <n v="17275"/>
    <n v="8637.5"/>
    <n v="15600"/>
    <n v="16775"/>
    <n v="2.8943560057887119E-2"/>
  </r>
  <r>
    <x v="4"/>
    <s v="Jena"/>
    <s v="University of Jena"/>
    <s v="Data Science"/>
    <x v="1"/>
    <n v="3"/>
    <n v="450"/>
    <n v="63.8"/>
    <n v="600"/>
    <n v="75"/>
    <n v="550"/>
    <n v="0.92"/>
    <n v="23775"/>
    <n v="7925"/>
    <n v="21600"/>
    <n v="23325"/>
    <n v="1.8927444794952682E-2"/>
  </r>
  <r>
    <x v="4"/>
    <s v="Hannover"/>
    <s v="Leibniz University"/>
    <s v="Digital Engineering"/>
    <x v="0"/>
    <n v="2"/>
    <n v="500"/>
    <n v="66.2"/>
    <n v="750"/>
    <n v="75"/>
    <n v="550"/>
    <n v="0.92"/>
    <n v="19675"/>
    <n v="9837.5"/>
    <n v="18000"/>
    <n v="19175"/>
    <n v="2.5412960609911054E-2"/>
  </r>
  <r>
    <x v="4"/>
    <s v="Freiburg"/>
    <s v="University of Freiburg"/>
    <s v="Robotics &amp; AI"/>
    <x v="0"/>
    <n v="2"/>
    <n v="500"/>
    <n v="67.5"/>
    <n v="800"/>
    <n v="75"/>
    <n v="550"/>
    <n v="0.92"/>
    <n v="20875"/>
    <n v="10437.5"/>
    <n v="19200"/>
    <n v="20375"/>
    <n v="2.3952095808383235E-2"/>
  </r>
  <r>
    <x v="0"/>
    <s v="Philadelphia"/>
    <s v="University of Pennsylvania"/>
    <s v="Computer Science"/>
    <x v="0"/>
    <n v="2"/>
    <n v="51900"/>
    <n v="76.8"/>
    <n v="1900"/>
    <n v="160"/>
    <n v="1500"/>
    <n v="1"/>
    <n v="100660"/>
    <n v="50330"/>
    <n v="45600"/>
    <n v="48760"/>
    <n v="0.51559705940790779"/>
  </r>
  <r>
    <x v="0"/>
    <s v="Chicago"/>
    <s v="University of Chicago"/>
    <s v="Data Analytics"/>
    <x v="0"/>
    <n v="2"/>
    <n v="52400"/>
    <n v="78.900000000000006"/>
    <n v="2000"/>
    <n v="160"/>
    <n v="1500"/>
    <n v="1"/>
    <n v="103560"/>
    <n v="51780"/>
    <n v="48000"/>
    <n v="51160"/>
    <n v="0.50598686751641564"/>
  </r>
  <r>
    <x v="0"/>
    <s v="Baltimore"/>
    <s v="Johns Hopkins"/>
    <s v="Artificial Intelligence"/>
    <x v="2"/>
    <n v="5"/>
    <n v="53600"/>
    <n v="72.5"/>
    <n v="1700"/>
    <n v="160"/>
    <n v="1500"/>
    <n v="1"/>
    <n v="163260"/>
    <n v="32652"/>
    <n v="102000"/>
    <n v="109660"/>
    <n v="0.32831067009677817"/>
  </r>
  <r>
    <x v="0"/>
    <s v="Nashville"/>
    <s v="Vanderbilt University"/>
    <s v="Computer Engineering"/>
    <x v="1"/>
    <n v="4"/>
    <n v="50800"/>
    <n v="71.2"/>
    <n v="1600"/>
    <n v="160"/>
    <n v="1500"/>
    <n v="1"/>
    <n v="133760"/>
    <n v="33440"/>
    <n v="76800"/>
    <n v="82960"/>
    <n v="0.37978468899521534"/>
  </r>
  <r>
    <x v="0"/>
    <s v="Durham"/>
    <s v="Duke University"/>
    <s v="Software Engineering"/>
    <x v="0"/>
    <n v="2"/>
    <n v="51500"/>
    <n v="70.8"/>
    <n v="1500"/>
    <n v="160"/>
    <n v="1500"/>
    <n v="1"/>
    <n v="90660"/>
    <n v="45330"/>
    <n v="36000"/>
    <n v="39160"/>
    <n v="0.5680564747407898"/>
  </r>
  <r>
    <x v="0"/>
    <s v="Madison"/>
    <s v="University of Wisconsin"/>
    <s v="Computer Science"/>
    <x v="2"/>
    <n v="5"/>
    <n v="38200"/>
    <n v="69.5"/>
    <n v="1400"/>
    <n v="160"/>
    <n v="1500"/>
    <n v="1"/>
    <n v="129860"/>
    <n v="25972"/>
    <n v="84000"/>
    <n v="91660"/>
    <n v="0.29416294470968735"/>
  </r>
  <r>
    <x v="0"/>
    <s v="Tempe"/>
    <s v="Arizona State University"/>
    <s v="Information Technology"/>
    <x v="1"/>
    <n v="4"/>
    <n v="41200"/>
    <n v="70.2"/>
    <n v="1300"/>
    <n v="160"/>
    <n v="1500"/>
    <n v="1"/>
    <n v="109760"/>
    <n v="27440"/>
    <n v="62400"/>
    <n v="68560"/>
    <n v="0.37536443148688048"/>
  </r>
  <r>
    <x v="0"/>
    <s v="Boulder"/>
    <s v="University of Colorado"/>
    <s v="Data Science"/>
    <x v="0"/>
    <n v="2"/>
    <n v="39800"/>
    <n v="71.5"/>
    <n v="1600"/>
    <n v="160"/>
    <n v="1500"/>
    <n v="1"/>
    <n v="81360"/>
    <n v="40680"/>
    <n v="38400"/>
    <n v="41560"/>
    <n v="0.48918387413962633"/>
  </r>
  <r>
    <x v="0"/>
    <s v="Minneapolis"/>
    <s v="University of Minnesota"/>
    <s v="Computer Science"/>
    <x v="1"/>
    <n v="4"/>
    <n v="42500"/>
    <n v="72.8"/>
    <n v="1500"/>
    <n v="160"/>
    <n v="1500"/>
    <n v="1"/>
    <n v="120660"/>
    <n v="30165"/>
    <n v="72000"/>
    <n v="78160"/>
    <n v="0.35222940493949945"/>
  </r>
  <r>
    <x v="0"/>
    <s v="Davis"/>
    <s v="UC Davis"/>
    <s v="Computer Engineering"/>
    <x v="0"/>
    <n v="2"/>
    <n v="42800"/>
    <n v="73.5"/>
    <n v="1700"/>
    <n v="160"/>
    <n v="1500"/>
    <n v="1"/>
    <n v="86760"/>
    <n v="43380"/>
    <n v="40800"/>
    <n v="43960"/>
    <n v="0.49331489165514064"/>
  </r>
  <r>
    <x v="1"/>
    <s v="London"/>
    <s v="University College London"/>
    <s v="Computer Science"/>
    <x v="0"/>
    <n v="1"/>
    <n v="39200"/>
    <n v="76.2"/>
    <n v="1900"/>
    <n v="485"/>
    <n v="800"/>
    <n v="0.79"/>
    <n v="63285"/>
    <n v="63285"/>
    <n v="22800"/>
    <n v="24085"/>
    <n v="0.61942008374812352"/>
  </r>
  <r>
    <x v="1"/>
    <s v="Leeds"/>
    <s v="University of Leeds"/>
    <s v="Software Engineering"/>
    <x v="1"/>
    <n v="3"/>
    <n v="28500"/>
    <n v="65.8"/>
    <n v="950"/>
    <n v="485"/>
    <n v="800"/>
    <n v="0.79"/>
    <n v="65585"/>
    <n v="21861.666666666668"/>
    <n v="34200"/>
    <n v="37085"/>
    <n v="0.43455058321262485"/>
  </r>
  <r>
    <x v="1"/>
    <s v="Warwick"/>
    <s v="University of Warwick"/>
    <s v="Data Science"/>
    <x v="0"/>
    <n v="1"/>
    <n v="36800"/>
    <n v="67.2"/>
    <n v="1000"/>
    <n v="485"/>
    <n v="800"/>
    <n v="0.79"/>
    <n v="50085"/>
    <n v="50085"/>
    <n v="12000"/>
    <n v="13285"/>
    <n v="0.73475092343016868"/>
  </r>
  <r>
    <x v="1"/>
    <s v="Sheffield"/>
    <s v="University of Sheffield"/>
    <s v="Artificial Intelligence"/>
    <x v="2"/>
    <n v="3"/>
    <n v="27900"/>
    <n v="64.5"/>
    <n v="850"/>
    <n v="485"/>
    <n v="800"/>
    <n v="0.79"/>
    <n v="61385"/>
    <n v="20461.666666666668"/>
    <n v="30600"/>
    <n v="33485"/>
    <n v="0.4545084303983058"/>
  </r>
  <r>
    <x v="1"/>
    <s v="Birmingham"/>
    <s v="University of Birmingham"/>
    <s v="Computer Engineering"/>
    <x v="1"/>
    <n v="3"/>
    <n v="29500"/>
    <n v="66.8"/>
    <n v="950"/>
    <n v="485"/>
    <n v="800"/>
    <n v="0.79"/>
    <n v="66585"/>
    <n v="22195"/>
    <n v="34200"/>
    <n v="37085"/>
    <n v="0.4430427273409927"/>
  </r>
  <r>
    <x v="1"/>
    <s v="Southampton"/>
    <s v="University of Southampton"/>
    <s v="Cybersecurity"/>
    <x v="0"/>
    <n v="1"/>
    <n v="32400"/>
    <n v="65.900000000000006"/>
    <n v="900"/>
    <n v="485"/>
    <n v="800"/>
    <n v="0.79"/>
    <n v="44485"/>
    <n v="44485"/>
    <n v="10800"/>
    <n v="12085"/>
    <n v="0.72833539395301783"/>
  </r>
  <r>
    <x v="1"/>
    <s v="Nottingham"/>
    <s v="University of Nottingham"/>
    <s v="Computer Science"/>
    <x v="1"/>
    <n v="3"/>
    <n v="28900"/>
    <n v="64.8"/>
    <n v="850"/>
    <n v="485"/>
    <n v="800"/>
    <n v="0.79"/>
    <n v="62385"/>
    <n v="20795"/>
    <n v="30600"/>
    <n v="33485"/>
    <n v="0.46325238438727256"/>
  </r>
  <r>
    <x v="1"/>
    <s v="Cardiff"/>
    <s v="Cardiff University"/>
    <s v="Software Development"/>
    <x v="0"/>
    <n v="1"/>
    <n v="31200"/>
    <n v="64.2"/>
    <n v="800"/>
    <n v="485"/>
    <n v="800"/>
    <n v="0.79"/>
    <n v="42085"/>
    <n v="42085"/>
    <n v="9600"/>
    <n v="10885"/>
    <n v="0.74135677794938815"/>
  </r>
  <r>
    <x v="1"/>
    <s v="Belfast"/>
    <s v="Queen's University Belfast"/>
    <s v="Computing Systems"/>
    <x v="1"/>
    <n v="3"/>
    <n v="27500"/>
    <n v="63.5"/>
    <n v="750"/>
    <n v="485"/>
    <n v="800"/>
    <n v="0.79"/>
    <n v="57385"/>
    <n v="19128.333333333332"/>
    <n v="27000"/>
    <n v="29885"/>
    <n v="0.47921930818158054"/>
  </r>
  <r>
    <x v="1"/>
    <s v="Newcastle"/>
    <s v="Newcastle University"/>
    <s v="Data Analytics"/>
    <x v="0"/>
    <n v="1"/>
    <n v="30800"/>
    <n v="64.599999999999994"/>
    <n v="800"/>
    <n v="485"/>
    <n v="800"/>
    <n v="0.79"/>
    <n v="41685"/>
    <n v="41685"/>
    <n v="9600"/>
    <n v="10885"/>
    <n v="0.73887489504617965"/>
  </r>
  <r>
    <x v="2"/>
    <s v="Hamilton"/>
    <s v="McMaster University"/>
    <s v="Software Engineering"/>
    <x v="1"/>
    <n v="4"/>
    <n v="32500"/>
    <n v="68.5"/>
    <n v="1200"/>
    <n v="235"/>
    <n v="900"/>
    <n v="1.35"/>
    <n v="93935"/>
    <n v="23483.75"/>
    <n v="57600"/>
    <n v="61435"/>
    <n v="0.34598392505455899"/>
  </r>
  <r>
    <x v="2"/>
    <s v="London ON"/>
    <s v="Western University"/>
    <s v="Computer Science"/>
    <x v="0"/>
    <n v="2"/>
    <n v="29800"/>
    <n v="65.8"/>
    <n v="1100"/>
    <n v="235"/>
    <n v="900"/>
    <n v="1.35"/>
    <n v="58235"/>
    <n v="29117.5"/>
    <n v="26400"/>
    <n v="28435"/>
    <n v="0.51171975616038468"/>
  </r>
  <r>
    <x v="2"/>
    <s v="Halifax"/>
    <s v="Dalhousie University"/>
    <s v="Data Science"/>
    <x v="0"/>
    <n v="2"/>
    <n v="28500"/>
    <n v="64.5"/>
    <n v="1200"/>
    <n v="235"/>
    <n v="900"/>
    <n v="1.35"/>
    <n v="59335"/>
    <n v="29667.5"/>
    <n v="28800"/>
    <n v="30835"/>
    <n v="0.48032358641611189"/>
  </r>
  <r>
    <x v="2"/>
    <s v="Victoria"/>
    <s v="University of Victoria"/>
    <s v="Computer Engineering"/>
    <x v="1"/>
    <n v="4"/>
    <n v="27900"/>
    <n v="69.2"/>
    <n v="1300"/>
    <n v="235"/>
    <n v="900"/>
    <n v="1.35"/>
    <n v="94135"/>
    <n v="23533.75"/>
    <n v="62400"/>
    <n v="66235"/>
    <n v="0.29638285441121792"/>
  </r>
  <r>
    <x v="2"/>
    <s v="Quebec City"/>
    <s v="Laval University"/>
    <s v="Artificial Intelligence"/>
    <x v="0"/>
    <n v="2"/>
    <n v="21500"/>
    <n v="63.8"/>
    <n v="900"/>
    <n v="235"/>
    <n v="900"/>
    <n v="1.35"/>
    <n v="45135"/>
    <n v="22567.5"/>
    <n v="21600"/>
    <n v="23635"/>
    <n v="0.47634873158302871"/>
  </r>
  <r>
    <x v="2"/>
    <s v="Winnipeg"/>
    <s v="University of Manitoba"/>
    <s v="Computer Science"/>
    <x v="1"/>
    <n v="4"/>
    <n v="26800"/>
    <n v="62.5"/>
    <n v="950"/>
    <n v="235"/>
    <n v="900"/>
    <n v="1.35"/>
    <n v="76235"/>
    <n v="19058.75"/>
    <n v="45600"/>
    <n v="49435"/>
    <n v="0.35154456614415952"/>
  </r>
  <r>
    <x v="2"/>
    <s v="Regina"/>
    <s v="University of Regina"/>
    <s v="Software Systems"/>
    <x v="1"/>
    <n v="4"/>
    <n v="25500"/>
    <n v="61.8"/>
    <n v="900"/>
    <n v="235"/>
    <n v="900"/>
    <n v="1.35"/>
    <n v="72535"/>
    <n v="18133.75"/>
    <n v="43200"/>
    <n v="47035"/>
    <n v="0.35155442200317089"/>
  </r>
  <r>
    <x v="2"/>
    <s v="St. John's"/>
    <s v="Memorial University"/>
    <s v="Computer Science"/>
    <x v="0"/>
    <n v="2"/>
    <n v="19800"/>
    <n v="63.2"/>
    <n v="950"/>
    <n v="235"/>
    <n v="900"/>
    <n v="1.35"/>
    <n v="44635"/>
    <n v="22317.5"/>
    <n v="22800"/>
    <n v="24835"/>
    <n v="0.4435980732608939"/>
  </r>
  <r>
    <x v="2"/>
    <s v="Saskatoon"/>
    <s v="University of Saskatchewan"/>
    <s v="Data Analytics"/>
    <x v="0"/>
    <n v="2"/>
    <n v="24500"/>
    <n v="62.8"/>
    <n v="1000"/>
    <n v="235"/>
    <n v="900"/>
    <n v="1.35"/>
    <n v="50535"/>
    <n v="25267.5"/>
    <n v="24000"/>
    <n v="26035"/>
    <n v="0.48481250618383298"/>
  </r>
  <r>
    <x v="2"/>
    <s v="Sherbrooke"/>
    <s v="UniversitÃ© de Sherbrooke"/>
    <s v="Computer Engineering"/>
    <x v="2"/>
    <n v="4"/>
    <n v="20500"/>
    <n v="61.5"/>
    <n v="850"/>
    <n v="235"/>
    <n v="900"/>
    <n v="1.35"/>
    <n v="65135"/>
    <n v="16283.75"/>
    <n v="40800"/>
    <n v="44635"/>
    <n v="0.31473094342519381"/>
  </r>
  <r>
    <x v="0"/>
    <s v="Pittsburgh"/>
    <s v="Carnegie Mellon"/>
    <s v="Computer Science"/>
    <x v="0"/>
    <n v="2"/>
    <n v="51200"/>
    <n v="72.400000000000006"/>
    <n v="1800"/>
    <n v="160"/>
    <n v="1500"/>
    <n v="1"/>
    <n v="97560"/>
    <n v="48780"/>
    <n v="43200"/>
    <n v="46360"/>
    <n v="0.52480524805248052"/>
  </r>
  <r>
    <x v="0"/>
    <s v="Urbana-Champaign"/>
    <s v="UIUC"/>
    <s v="Computer Science"/>
    <x v="2"/>
    <n v="5"/>
    <n v="45800"/>
    <n v="68.5"/>
    <n v="1400"/>
    <n v="160"/>
    <n v="1500"/>
    <n v="1"/>
    <n v="137460"/>
    <n v="27492"/>
    <n v="84000"/>
    <n v="91660"/>
    <n v="0.33318783646151606"/>
  </r>
  <r>
    <x v="2"/>
    <s v="Calgary"/>
    <s v="University of Calgary"/>
    <s v="Software Engineering"/>
    <x v="1"/>
    <n v="4"/>
    <n v="26500"/>
    <n v="69.2"/>
    <n v="1300"/>
    <n v="235"/>
    <n v="900"/>
    <n v="1.35"/>
    <n v="92735"/>
    <n v="23183.75"/>
    <n v="62400"/>
    <n v="66235"/>
    <n v="0.28576050035046097"/>
  </r>
  <r>
    <x v="30"/>
    <s v="Sao Paulo"/>
    <s v="University of Sao Paulo"/>
    <s v="Computer Science"/>
    <x v="0"/>
    <n v="2"/>
    <n v="0"/>
    <n v="48.5"/>
    <n v="600"/>
    <n v="160"/>
    <n v="400"/>
    <n v="4.95"/>
    <n v="15360"/>
    <n v="7680"/>
    <n v="14400"/>
    <n v="15360"/>
    <n v="0"/>
  </r>
  <r>
    <x v="31"/>
    <s v="Istanbul"/>
    <s v="Bogazici University"/>
    <s v="Computer Engineering"/>
    <x v="1"/>
    <n v="4"/>
    <n v="1800"/>
    <n v="42.8"/>
    <n v="450"/>
    <n v="100"/>
    <n v="300"/>
    <n v="30.5"/>
    <n v="24700"/>
    <n v="6175"/>
    <n v="21600"/>
    <n v="22900"/>
    <n v="7.28744939271255E-2"/>
  </r>
  <r>
    <x v="32"/>
    <s v="Moscow"/>
    <s v="Moscow State University"/>
    <s v="Applied Mathematics"/>
    <x v="0"/>
    <n v="2"/>
    <n v="3900"/>
    <n v="51.2"/>
    <n v="700"/>
    <n v="120"/>
    <n v="350"/>
    <n v="92.8"/>
    <n v="21520"/>
    <n v="10760"/>
    <n v="16800"/>
    <n v="17620"/>
    <n v="0.18122676579925651"/>
  </r>
  <r>
    <x v="33"/>
    <s v="Mexico City"/>
    <s v="UNAM"/>
    <s v="Computer Engineering"/>
    <x v="1"/>
    <n v="4"/>
    <n v="800"/>
    <n v="44.6"/>
    <n v="500"/>
    <n v="160"/>
    <n v="400"/>
    <n v="17.2"/>
    <n v="26560"/>
    <n v="6640"/>
    <n v="24000"/>
    <n v="25760"/>
    <n v="3.0120481927710843E-2"/>
  </r>
  <r>
    <x v="34"/>
    <s v="Athens"/>
    <s v="National Technical University"/>
    <s v="Software Engineering"/>
    <x v="0"/>
    <n v="2"/>
    <n v="2500"/>
    <n v="54.8"/>
    <n v="550"/>
    <n v="120"/>
    <n v="400"/>
    <n v="0.92"/>
    <n v="16620"/>
    <n v="8310"/>
    <n v="13200"/>
    <n v="14120"/>
    <n v="0.15042117930204574"/>
  </r>
  <r>
    <x v="35"/>
    <s v="Bangkok"/>
    <s v="Chulalongkorn University"/>
    <s v="Computer Science"/>
    <x v="1"/>
    <n v="4"/>
    <n v="3800"/>
    <n v="46.5"/>
    <n v="450"/>
    <n v="140"/>
    <n v="300"/>
    <n v="35.200000000000003"/>
    <n v="26740"/>
    <n v="6685"/>
    <n v="21600"/>
    <n v="22940"/>
    <n v="0.14210919970082272"/>
  </r>
  <r>
    <x v="36"/>
    <s v="Dubai"/>
    <s v="American University in Dubai"/>
    <s v="Computer Science"/>
    <x v="1"/>
    <n v="4"/>
    <n v="29500"/>
    <n v="72.400000000000006"/>
    <n v="1200"/>
    <n v="270"/>
    <n v="800"/>
    <n v="3.67"/>
    <n v="90570"/>
    <n v="22642.5"/>
    <n v="57600"/>
    <n v="61070"/>
    <n v="0.32571491663906371"/>
  </r>
  <r>
    <x v="0"/>
    <s v="New York"/>
    <s v="Columbia University"/>
    <s v="Data Science"/>
    <x v="0"/>
    <n v="2"/>
    <n v="52800"/>
    <n v="100"/>
    <n v="2500"/>
    <n v="160"/>
    <n v="1500"/>
    <n v="1"/>
    <n v="115960"/>
    <n v="57980"/>
    <n v="60000"/>
    <n v="63160"/>
    <n v="0.45532942393928943"/>
  </r>
  <r>
    <x v="0"/>
    <s v="Ithaca"/>
    <s v="Cornell University"/>
    <s v="Computer Science"/>
    <x v="2"/>
    <n v="5"/>
    <n v="49800"/>
    <n v="70.5"/>
    <n v="1600"/>
    <n v="160"/>
    <n v="1500"/>
    <n v="1"/>
    <n v="153460"/>
    <n v="30692"/>
    <n v="96000"/>
    <n v="103660"/>
    <n v="0.32451453147399972"/>
  </r>
  <r>
    <x v="12"/>
    <s v="Shenzhen"/>
    <s v="SUSTech"/>
    <s v="Artificial Intelligence"/>
    <x v="0"/>
    <n v="2"/>
    <n v="8200"/>
    <n v="58.4"/>
    <n v="800"/>
    <n v="140"/>
    <n v="400"/>
    <n v="7.18"/>
    <n v="28340"/>
    <n v="14170"/>
    <n v="19200"/>
    <n v="20140"/>
    <n v="0.2893436838390967"/>
  </r>
  <r>
    <x v="37"/>
    <s v="Cape Town"/>
    <s v="University of Cape Town"/>
    <s v="Computer Science"/>
    <x v="1"/>
    <n v="3"/>
    <n v="5900"/>
    <n v="49.2"/>
    <n v="600"/>
    <n v="140"/>
    <n v="400"/>
    <n v="18.72"/>
    <n v="28840"/>
    <n v="9613.3333333333339"/>
    <n v="21600"/>
    <n v="22940"/>
    <n v="0.20457697642163661"/>
  </r>
  <r>
    <x v="38"/>
    <s v="Cairo"/>
    <s v="American University in Cairo"/>
    <s v="Computer Engineering"/>
    <x v="1"/>
    <n v="4"/>
    <n v="19800"/>
    <n v="38.4"/>
    <n v="450"/>
    <n v="130"/>
    <n v="350"/>
    <n v="30.9"/>
    <n v="42930"/>
    <n v="10732.5"/>
    <n v="21600"/>
    <n v="23130"/>
    <n v="0.46121593291404611"/>
  </r>
  <r>
    <x v="39"/>
    <s v="Buenos Aires"/>
    <s v="University of Buenos Aires"/>
    <s v="Software Engineering"/>
    <x v="1"/>
    <n v="5"/>
    <n v="0"/>
    <n v="42.6"/>
    <n v="400"/>
    <n v="150"/>
    <n v="300"/>
    <n v="821.5"/>
    <n v="25650"/>
    <n v="5130"/>
    <n v="24000"/>
    <n v="25650"/>
    <n v="0"/>
  </r>
  <r>
    <x v="40"/>
    <s v="Jakarta"/>
    <s v="University of Indonesia"/>
    <s v="Information Systems"/>
    <x v="1"/>
    <n v="4"/>
    <n v="4200"/>
    <n v="45.8"/>
    <n v="500"/>
    <n v="130"/>
    <n v="300"/>
    <n v="15640"/>
    <n v="29530"/>
    <n v="7382.5"/>
    <n v="24000"/>
    <n v="25330"/>
    <n v="0.14222824246528953"/>
  </r>
  <r>
    <x v="41"/>
    <s v="Riyadh"/>
    <s v="King Saud University"/>
    <s v="Computer Science"/>
    <x v="0"/>
    <n v="2"/>
    <n v="7800"/>
    <n v="52.4"/>
    <n v="800"/>
    <n v="250"/>
    <n v="600"/>
    <n v="3.75"/>
    <n v="28450"/>
    <n v="14225"/>
    <n v="19200"/>
    <n v="20650"/>
    <n v="0.27416520210896311"/>
  </r>
  <r>
    <x v="42"/>
    <s v="Lagos"/>
    <s v="University of Lagos"/>
    <s v="Computer Engineering"/>
    <x v="1"/>
    <n v="4"/>
    <n v="2500"/>
    <n v="40.200000000000003"/>
    <n v="400"/>
    <n v="180"/>
    <n v="300"/>
    <n v="860.2"/>
    <n v="23080"/>
    <n v="5770"/>
    <n v="19200"/>
    <n v="20580"/>
    <n v="0.10831889081455806"/>
  </r>
  <r>
    <x v="43"/>
    <s v="Ho Chi Minh City"/>
    <s v="HCMUT"/>
    <s v="Software Engineering"/>
    <x v="1"/>
    <n v="4"/>
    <n v="3200"/>
    <n v="43.6"/>
    <n v="450"/>
    <n v="120"/>
    <n v="250"/>
    <n v="24450"/>
    <n v="25920"/>
    <n v="6480"/>
    <n v="21600"/>
    <n v="22720"/>
    <n v="0.12345679012345678"/>
  </r>
  <r>
    <x v="6"/>
    <s v="Eindhoven"/>
    <s v="TU Eindhoven"/>
    <s v="Computer Science"/>
    <x v="0"/>
    <n v="2"/>
    <n v="15600"/>
    <n v="69.8"/>
    <n v="950"/>
    <n v="180"/>
    <n v="720"/>
    <n v="0.92"/>
    <n v="40020"/>
    <n v="20010"/>
    <n v="22800"/>
    <n v="24420"/>
    <n v="0.38980509745127434"/>
  </r>
  <r>
    <x v="6"/>
    <s v="Enschede"/>
    <s v="University of Twente"/>
    <s v="Artificial Intelligence"/>
    <x v="1"/>
    <n v="3"/>
    <n v="11200"/>
    <n v="65.400000000000006"/>
    <n v="750"/>
    <n v="180"/>
    <n v="720"/>
    <n v="0.92"/>
    <n v="40540"/>
    <n v="13513.333333333334"/>
    <n v="27000"/>
    <n v="29340"/>
    <n v="0.27627035027133695"/>
  </r>
  <r>
    <x v="6"/>
    <s v="Groningen"/>
    <s v="University of Groningen"/>
    <s v="Computing Science"/>
    <x v="0"/>
    <n v="2"/>
    <n v="14800"/>
    <n v="66.8"/>
    <n v="800"/>
    <n v="180"/>
    <n v="720"/>
    <n v="0.92"/>
    <n v="35620"/>
    <n v="17810"/>
    <n v="19200"/>
    <n v="20820"/>
    <n v="0.41549691184727683"/>
  </r>
  <r>
    <x v="6"/>
    <s v="Maastricht"/>
    <s v="Maastricht University"/>
    <s v="Data Science"/>
    <x v="1"/>
    <n v="3"/>
    <n v="11500"/>
    <n v="67.2"/>
    <n v="850"/>
    <n v="180"/>
    <n v="720"/>
    <n v="0.92"/>
    <n v="44440"/>
    <n v="14813.333333333334"/>
    <n v="30600"/>
    <n v="32940"/>
    <n v="0.25877587758775877"/>
  </r>
  <r>
    <x v="6"/>
    <s v="Nijmegen"/>
    <s v="Radboud University"/>
    <s v="Software Science"/>
    <x v="0"/>
    <n v="2"/>
    <n v="14500"/>
    <n v="66.5"/>
    <n v="800"/>
    <n v="180"/>
    <n v="720"/>
    <n v="0.92"/>
    <n v="35320"/>
    <n v="17660"/>
    <n v="19200"/>
    <n v="20820"/>
    <n v="0.41053227633069084"/>
  </r>
  <r>
    <x v="6"/>
    <s v="Tilburg"/>
    <s v="Tilburg University"/>
    <s v="Information Systems"/>
    <x v="1"/>
    <n v="3"/>
    <n v="11300"/>
    <n v="65.8"/>
    <n v="750"/>
    <n v="180"/>
    <n v="720"/>
    <n v="0.92"/>
    <n v="40640"/>
    <n v="13546.666666666666"/>
    <n v="27000"/>
    <n v="29340"/>
    <n v="0.27805118110236221"/>
  </r>
  <r>
    <x v="6"/>
    <s v="Utrecht"/>
    <s v="Utrecht University"/>
    <s v="Game Technology"/>
    <x v="0"/>
    <n v="2"/>
    <n v="15200"/>
    <n v="70.2"/>
    <n v="1000"/>
    <n v="180"/>
    <n v="720"/>
    <n v="0.92"/>
    <n v="40820"/>
    <n v="20410"/>
    <n v="24000"/>
    <n v="25620"/>
    <n v="0.37236648701616853"/>
  </r>
  <r>
    <x v="6"/>
    <s v="Leiden"/>
    <s v="Leiden University"/>
    <s v="Computer Engineering"/>
    <x v="1"/>
    <n v="3"/>
    <n v="11400"/>
    <n v="69.5"/>
    <n v="950"/>
    <n v="180"/>
    <n v="720"/>
    <n v="0.92"/>
    <n v="47940"/>
    <n v="15980"/>
    <n v="34200"/>
    <n v="36540"/>
    <n v="0.23779724655819776"/>
  </r>
  <r>
    <x v="6"/>
    <s v="Wageningen"/>
    <s v="Wageningen University"/>
    <s v="Bioinformatics"/>
    <x v="0"/>
    <n v="2"/>
    <n v="14900"/>
    <n v="65.2"/>
    <n v="750"/>
    <n v="180"/>
    <n v="720"/>
    <n v="0.92"/>
    <n v="34520"/>
    <n v="17260"/>
    <n v="18000"/>
    <n v="19620"/>
    <n v="0.43163383545770567"/>
  </r>
  <r>
    <x v="6"/>
    <s v="Amsterdam"/>
    <s v="VU Amsterdam"/>
    <s v="Business Analytics"/>
    <x v="0"/>
    <n v="2"/>
    <n v="15400"/>
    <n v="73.5"/>
    <n v="1100"/>
    <n v="180"/>
    <n v="720"/>
    <n v="0.92"/>
    <n v="43420"/>
    <n v="21710"/>
    <n v="26400"/>
    <n v="28020"/>
    <n v="0.35467526485490558"/>
  </r>
  <r>
    <x v="7"/>
    <s v="Singapore"/>
    <s v="Nanyang Technological University"/>
    <s v="Computer Science"/>
    <x v="1"/>
    <n v="4"/>
    <n v="32500"/>
    <n v="81.099999999999994"/>
    <n v="1500"/>
    <n v="90"/>
    <n v="800"/>
    <n v="1.34"/>
    <n v="107790"/>
    <n v="26947.5"/>
    <n v="72000"/>
    <n v="75290"/>
    <n v="0.30151219964746268"/>
  </r>
  <r>
    <x v="7"/>
    <s v="Singapore"/>
    <s v="Singapore Management University"/>
    <s v="Information Systems"/>
    <x v="1"/>
    <n v="4"/>
    <n v="31800"/>
    <n v="81.099999999999994"/>
    <n v="1500"/>
    <n v="90"/>
    <n v="800"/>
    <n v="1.34"/>
    <n v="107090"/>
    <n v="26772.5"/>
    <n v="72000"/>
    <n v="75290"/>
    <n v="0.29694649360351105"/>
  </r>
  <r>
    <x v="7"/>
    <s v="Singapore"/>
    <s v="SUTD"/>
    <s v="Computer Science &amp; Design"/>
    <x v="1"/>
    <n v="4"/>
    <n v="31200"/>
    <n v="81.099999999999994"/>
    <n v="1500"/>
    <n v="90"/>
    <n v="800"/>
    <n v="1.34"/>
    <n v="106490"/>
    <n v="26622.5"/>
    <n v="72000"/>
    <n v="75290"/>
    <n v="0.29298525683162741"/>
  </r>
  <r>
    <x v="7"/>
    <s v="Singapore"/>
    <s v="SIT"/>
    <s v="Software Engineering"/>
    <x v="1"/>
    <n v="4"/>
    <n v="29800"/>
    <n v="81.099999999999994"/>
    <n v="1500"/>
    <n v="90"/>
    <n v="800"/>
    <n v="1.34"/>
    <n v="105090"/>
    <n v="26272.5"/>
    <n v="72000"/>
    <n v="75290"/>
    <n v="0.28356646683794845"/>
  </r>
  <r>
    <x v="7"/>
    <s v="Singapore"/>
    <s v="NUS"/>
    <s v="Artificial Intelligence"/>
    <x v="0"/>
    <n v="2"/>
    <n v="35600"/>
    <n v="81.099999999999994"/>
    <n v="1500"/>
    <n v="90"/>
    <n v="800"/>
    <n v="1.34"/>
    <n v="73290"/>
    <n v="36645"/>
    <n v="36000"/>
    <n v="37690"/>
    <n v="0.48574157456678946"/>
  </r>
  <r>
    <x v="7"/>
    <s v="Singapore"/>
    <s v="NTU"/>
    <s v="Data Science &amp; AI"/>
    <x v="0"/>
    <n v="2"/>
    <n v="34900"/>
    <n v="81.099999999999994"/>
    <n v="1500"/>
    <n v="90"/>
    <n v="800"/>
    <n v="1.34"/>
    <n v="72590"/>
    <n v="36295"/>
    <n v="36000"/>
    <n v="37690"/>
    <n v="0.48078247692519632"/>
  </r>
  <r>
    <x v="7"/>
    <s v="Singapore"/>
    <s v="SUTD"/>
    <s v="Technology &amp; Innovation"/>
    <x v="0"/>
    <n v="2"/>
    <n v="33800"/>
    <n v="81.099999999999994"/>
    <n v="1500"/>
    <n v="90"/>
    <n v="800"/>
    <n v="1.34"/>
    <n v="71490"/>
    <n v="35745"/>
    <n v="36000"/>
    <n v="37690"/>
    <n v="0.47279339767799694"/>
  </r>
  <r>
    <x v="7"/>
    <s v="Singapore"/>
    <s v="SMU"/>
    <s v="Computing &amp; Innovation"/>
    <x v="0"/>
    <n v="2"/>
    <n v="34200"/>
    <n v="81.099999999999994"/>
    <n v="1500"/>
    <n v="90"/>
    <n v="800"/>
    <n v="1.34"/>
    <n v="71890"/>
    <n v="35945"/>
    <n v="36000"/>
    <n v="37690"/>
    <n v="0.47572680484072888"/>
  </r>
  <r>
    <x v="7"/>
    <s v="Singapore"/>
    <s v="NUS"/>
    <s v="Computer Engineering"/>
    <x v="2"/>
    <n v="4"/>
    <n v="38500"/>
    <n v="81.099999999999994"/>
    <n v="1500"/>
    <n v="90"/>
    <n v="800"/>
    <n v="1.34"/>
    <n v="113790"/>
    <n v="28447.5"/>
    <n v="72000"/>
    <n v="75290"/>
    <n v="0.33834256085772035"/>
  </r>
  <r>
    <x v="7"/>
    <s v="Singapore"/>
    <s v="NTU"/>
    <s v="Digital Systems &amp; AI"/>
    <x v="2"/>
    <n v="4"/>
    <n v="37900"/>
    <n v="81.099999999999994"/>
    <n v="1500"/>
    <n v="90"/>
    <n v="800"/>
    <n v="1.34"/>
    <n v="113190"/>
    <n v="28297.5"/>
    <n v="72000"/>
    <n v="75290"/>
    <n v="0.33483523279441646"/>
  </r>
  <r>
    <x v="8"/>
    <s v="Paris"/>
    <s v="Ã‰cole Polytechnique"/>
    <s v="Computer Science"/>
    <x v="0"/>
    <n v="2"/>
    <n v="15600"/>
    <n v="74.599999999999994"/>
    <n v="1500"/>
    <n v="99"/>
    <n v="650"/>
    <n v="0.92"/>
    <n v="52999"/>
    <n v="26499.5"/>
    <n v="36000"/>
    <n v="37399"/>
    <n v="0.29434517632408158"/>
  </r>
  <r>
    <x v="8"/>
    <s v="Toulouse"/>
    <s v="INSA Toulouse"/>
    <s v="Software Engineering"/>
    <x v="1"/>
    <n v="3"/>
    <n v="4200"/>
    <n v="65.8"/>
    <n v="750"/>
    <n v="99"/>
    <n v="650"/>
    <n v="0.92"/>
    <n v="33249"/>
    <n v="11083"/>
    <n v="27000"/>
    <n v="29049"/>
    <n v="0.1263195885590544"/>
  </r>
  <r>
    <x v="8"/>
    <s v="Lyon"/>
    <s v="Ã‰cole Normale SupÃ©rieure Lyon"/>
    <s v="Data Science"/>
    <x v="0"/>
    <n v="2"/>
    <n v="4800"/>
    <n v="68.5"/>
    <n v="850"/>
    <n v="99"/>
    <n v="650"/>
    <n v="0.92"/>
    <n v="26599"/>
    <n v="13299.5"/>
    <n v="20400"/>
    <n v="21799"/>
    <n v="0.18045791195157712"/>
  </r>
  <r>
    <x v="8"/>
    <s v="Grenoble"/>
    <s v="Grenoble INP"/>
    <s v="Artificial Intelligence"/>
    <x v="0"/>
    <n v="2"/>
    <n v="4500"/>
    <n v="66.400000000000006"/>
    <n v="800"/>
    <n v="99"/>
    <n v="650"/>
    <n v="0.92"/>
    <n v="25099"/>
    <n v="12549.5"/>
    <n v="19200"/>
    <n v="20599"/>
    <n v="0.17929001155424518"/>
  </r>
  <r>
    <x v="8"/>
    <s v="Nice"/>
    <s v="UniversitÃ© Nice Sophia Antipolis"/>
    <s v="Computer Engineering"/>
    <x v="1"/>
    <n v="3"/>
    <n v="3900"/>
    <n v="69.2"/>
    <n v="900"/>
    <n v="99"/>
    <n v="650"/>
    <n v="0.92"/>
    <n v="38349"/>
    <n v="12783"/>
    <n v="32400"/>
    <n v="34449"/>
    <n v="0.10169756708127982"/>
  </r>
  <r>
    <x v="8"/>
    <s v="Bordeaux"/>
    <s v="University of Bordeaux"/>
    <s v="Information Systems"/>
    <x v="0"/>
    <n v="2"/>
    <n v="4200"/>
    <n v="67.8"/>
    <n v="850"/>
    <n v="99"/>
    <n v="650"/>
    <n v="0.92"/>
    <n v="25999"/>
    <n v="12999.5"/>
    <n v="20400"/>
    <n v="21799"/>
    <n v="0.16154467479518442"/>
  </r>
  <r>
    <x v="8"/>
    <s v="Lille"/>
    <s v="UniversitÃ© de Lille"/>
    <s v="Software Development"/>
    <x v="1"/>
    <n v="3"/>
    <n v="3800"/>
    <n v="65.5"/>
    <n v="750"/>
    <n v="99"/>
    <n v="650"/>
    <n v="0.92"/>
    <n v="32849"/>
    <n v="10949.666666666666"/>
    <n v="27000"/>
    <n v="29049"/>
    <n v="0.11568084264361168"/>
  </r>
  <r>
    <x v="8"/>
    <s v="Rennes"/>
    <s v="INSA Rennes"/>
    <s v="Cybersecurity"/>
    <x v="0"/>
    <n v="2"/>
    <n v="4500"/>
    <n v="64.8"/>
    <n v="700"/>
    <n v="99"/>
    <n v="650"/>
    <n v="0.92"/>
    <n v="22699"/>
    <n v="11349.5"/>
    <n v="16800"/>
    <n v="18199"/>
    <n v="0.19824661879377947"/>
  </r>
  <r>
    <x v="8"/>
    <s v="Strasbourg"/>
    <s v="University of Strasbourg"/>
    <s v="Digital Systems"/>
    <x v="1"/>
    <n v="3"/>
    <n v="3900"/>
    <n v="66.2"/>
    <n v="800"/>
    <n v="99"/>
    <n v="650"/>
    <n v="0.92"/>
    <n v="34749"/>
    <n v="11583"/>
    <n v="28800"/>
    <n v="30849"/>
    <n v="0.1122334455667789"/>
  </r>
  <r>
    <x v="8"/>
    <s v="Montpellier"/>
    <s v="University of Montpellier"/>
    <s v="Data Engineering"/>
    <x v="0"/>
    <n v="2"/>
    <n v="4100"/>
    <n v="65.900000000000006"/>
    <n v="750"/>
    <n v="99"/>
    <n v="650"/>
    <n v="0.92"/>
    <n v="23499"/>
    <n v="11749.5"/>
    <n v="18000"/>
    <n v="19399"/>
    <n v="0.17447550959615302"/>
  </r>
  <r>
    <x v="9"/>
    <s v="Lausanne"/>
    <s v="EPFL"/>
    <s v="Computer Science"/>
    <x v="0"/>
    <n v="2"/>
    <n v="1460"/>
    <n v="89.8"/>
    <n v="1900"/>
    <n v="88"/>
    <n v="1200"/>
    <n v="0.89"/>
    <n v="49548"/>
    <n v="24774"/>
    <n v="45600"/>
    <n v="48088"/>
    <n v="2.9466376039396142E-2"/>
  </r>
  <r>
    <x v="9"/>
    <s v="Geneva"/>
    <s v="University of Geneva"/>
    <s v="Data Science"/>
    <x v="1"/>
    <n v="3"/>
    <n v="1380"/>
    <n v="90.5"/>
    <n v="2000"/>
    <n v="88"/>
    <n v="1200"/>
    <n v="0.89"/>
    <n v="77068"/>
    <n v="25689.333333333332"/>
    <n v="72000"/>
    <n v="75688"/>
    <n v="1.7906264597498313E-2"/>
  </r>
  <r>
    <x v="9"/>
    <s v="Bern"/>
    <s v="University of Bern"/>
    <s v="Software Engineering"/>
    <x v="0"/>
    <n v="2"/>
    <n v="1420"/>
    <n v="85.4"/>
    <n v="1700"/>
    <n v="88"/>
    <n v="1200"/>
    <n v="0.89"/>
    <n v="44708"/>
    <n v="22354"/>
    <n v="40800"/>
    <n v="43288"/>
    <n v="3.1761653395365484E-2"/>
  </r>
  <r>
    <x v="9"/>
    <s v="St. Gallen"/>
    <s v="University of St. Gallen"/>
    <s v="Business Informatics"/>
    <x v="1"/>
    <n v="3"/>
    <n v="1440"/>
    <n v="86.2"/>
    <n v="1600"/>
    <n v="88"/>
    <n v="1200"/>
    <n v="0.89"/>
    <n v="62728"/>
    <n v="20909.333333333332"/>
    <n v="57600"/>
    <n v="61288"/>
    <n v="2.2956255579645455E-2"/>
  </r>
  <r>
    <x v="9"/>
    <s v="Lugano"/>
    <s v="USI"/>
    <s v="Artificial Intelligence"/>
    <x v="0"/>
    <n v="2"/>
    <n v="1460"/>
    <n v="84.5"/>
    <n v="1500"/>
    <n v="88"/>
    <n v="1200"/>
    <n v="0.89"/>
    <n v="39948"/>
    <n v="19974"/>
    <n v="36000"/>
    <n v="38488"/>
    <n v="3.6547511765294881E-2"/>
  </r>
  <r>
    <x v="9"/>
    <s v="Fribourg"/>
    <s v="University of Fribourg"/>
    <s v="Computer Engineering"/>
    <x v="1"/>
    <n v="3"/>
    <n v="1380"/>
    <n v="83.8"/>
    <n v="1400"/>
    <n v="88"/>
    <n v="1200"/>
    <n v="0.89"/>
    <n v="55468"/>
    <n v="18489.333333333332"/>
    <n v="50400"/>
    <n v="54088"/>
    <n v="2.4879209634383788E-2"/>
  </r>
  <r>
    <x v="9"/>
    <s v="Neuchatel"/>
    <s v="University of Neuchatel"/>
    <s v="Information Systems"/>
    <x v="0"/>
    <n v="2"/>
    <n v="1420"/>
    <n v="84.2"/>
    <n v="1500"/>
    <n v="88"/>
    <n v="1200"/>
    <n v="0.89"/>
    <n v="39908"/>
    <n v="19954"/>
    <n v="36000"/>
    <n v="38488"/>
    <n v="3.5581838227924226E-2"/>
  </r>
  <r>
    <x v="9"/>
    <s v="Basel"/>
    <s v="University of Basel"/>
    <s v="Computational Science"/>
    <x v="0"/>
    <n v="2"/>
    <n v="1440"/>
    <n v="87.5"/>
    <n v="1800"/>
    <n v="88"/>
    <n v="1200"/>
    <n v="0.89"/>
    <n v="47128"/>
    <n v="23564"/>
    <n v="43200"/>
    <n v="45688"/>
    <n v="3.0555084026481074E-2"/>
  </r>
  <r>
    <x v="9"/>
    <s v="Lucerne"/>
    <s v="University of Lucerne"/>
    <s v="Digital Innovation"/>
    <x v="1"/>
    <n v="3"/>
    <n v="1380"/>
    <n v="85.8"/>
    <n v="1600"/>
    <n v="88"/>
    <n v="1200"/>
    <n v="0.89"/>
    <n v="62668"/>
    <n v="20889.333333333332"/>
    <n v="57600"/>
    <n v="61288"/>
    <n v="2.2020808067913449E-2"/>
  </r>
  <r>
    <x v="9"/>
    <s v="Winterthur"/>
    <s v="ZHAW"/>
    <s v="Data Engineering"/>
    <x v="0"/>
    <n v="2"/>
    <n v="1460"/>
    <n v="86.4"/>
    <n v="1700"/>
    <n v="88"/>
    <n v="1200"/>
    <n v="0.89"/>
    <n v="44748"/>
    <n v="22374"/>
    <n v="40800"/>
    <n v="43288"/>
    <n v="3.2627156520961834E-2"/>
  </r>
  <r>
    <x v="11"/>
    <s v="Copenhagen"/>
    <s v="University of Copenhagen"/>
    <s v="Computer Science"/>
    <x v="0"/>
    <n v="2"/>
    <n v="8800"/>
    <n v="83.2"/>
    <n v="1500"/>
    <n v="110"/>
    <n v="600"/>
    <n v="0.15"/>
    <n v="46110"/>
    <n v="23055"/>
    <n v="36000"/>
    <n v="37310"/>
    <n v="0.19084797224029496"/>
  </r>
  <r>
    <x v="11"/>
    <s v="Aarhus"/>
    <s v="Aarhus University"/>
    <s v="Data Science"/>
    <x v="0"/>
    <n v="2"/>
    <n v="8600"/>
    <n v="77.400000000000006"/>
    <n v="1200"/>
    <n v="110"/>
    <n v="600"/>
    <n v="0.15"/>
    <n v="38710"/>
    <n v="19355"/>
    <n v="28800"/>
    <n v="30110"/>
    <n v="0.22216481529320589"/>
  </r>
  <r>
    <x v="11"/>
    <s v="Aalborg"/>
    <s v="Aalborg University"/>
    <s v="Software Engineering"/>
    <x v="0"/>
    <n v="2"/>
    <n v="8400"/>
    <n v="75.099999999999994"/>
    <n v="1000"/>
    <n v="110"/>
    <n v="600"/>
    <n v="0.15"/>
    <n v="33710"/>
    <n v="16855"/>
    <n v="24000"/>
    <n v="25310"/>
    <n v="0.24918421833283891"/>
  </r>
  <r>
    <x v="12"/>
    <s v="Beijing"/>
    <s v="Tsinghua University"/>
    <s v="Computer Science"/>
    <x v="0"/>
    <n v="3"/>
    <n v="8900"/>
    <n v="51.2"/>
    <n v="800"/>
    <n v="140"/>
    <n v="400"/>
    <n v="7.15"/>
    <n v="39040"/>
    <n v="13013.333333333334"/>
    <n v="28800"/>
    <n v="30140"/>
    <n v="0.22797131147540983"/>
  </r>
  <r>
    <x v="12"/>
    <s v="Beijing"/>
    <s v="Peking University"/>
    <s v="Data Science"/>
    <x v="0"/>
    <n v="3"/>
    <n v="8500"/>
    <n v="51.2"/>
    <n v="750"/>
    <n v="140"/>
    <n v="400"/>
    <n v="7.15"/>
    <n v="36840"/>
    <n v="12280"/>
    <n v="27000"/>
    <n v="28340"/>
    <n v="0.23072747014115091"/>
  </r>
  <r>
    <x v="12"/>
    <s v="Shanghai"/>
    <s v="Fudan University"/>
    <s v="Software Engineering"/>
    <x v="0"/>
    <n v="2.5"/>
    <n v="7800"/>
    <n v="48.9"/>
    <n v="700"/>
    <n v="140"/>
    <n v="400"/>
    <n v="7.15"/>
    <n v="29940"/>
    <n v="11976"/>
    <n v="21000"/>
    <n v="22140"/>
    <n v="0.26052104208416832"/>
  </r>
  <r>
    <x v="12"/>
    <s v="Shanghai"/>
    <s v="Shanghai Jiao Tong University"/>
    <s v="Artificial Intelligence"/>
    <x v="0"/>
    <n v="2.5"/>
    <n v="8200"/>
    <n v="48.9"/>
    <n v="720"/>
    <n v="140"/>
    <n v="400"/>
    <n v="7.15"/>
    <n v="30940"/>
    <n v="12376"/>
    <n v="21600"/>
    <n v="22740"/>
    <n v="0.26502908855850033"/>
  </r>
  <r>
    <x v="12"/>
    <s v="Hangzhou"/>
    <s v="Zhejiang University"/>
    <s v="Computer Engineering"/>
    <x v="0"/>
    <n v="3"/>
    <n v="7500"/>
    <n v="45.3"/>
    <n v="550"/>
    <n v="140"/>
    <n v="400"/>
    <n v="7.15"/>
    <n v="28640"/>
    <n v="9546.6666666666661"/>
    <n v="19800"/>
    <n v="21140"/>
    <n v="0.26187150837988826"/>
  </r>
  <r>
    <x v="12"/>
    <s v="Nanjing"/>
    <s v="Nanjing University"/>
    <s v="Information Technology"/>
    <x v="0"/>
    <n v="3"/>
    <n v="7200"/>
    <n v="44.1"/>
    <n v="500"/>
    <n v="140"/>
    <n v="400"/>
    <n v="7.15"/>
    <n v="26540"/>
    <n v="8846.6666666666661"/>
    <n v="18000"/>
    <n v="19340"/>
    <n v="0.27128862094951017"/>
  </r>
  <r>
    <x v="12"/>
    <s v="Guangzhou"/>
    <s v="Sun Yat-sen University"/>
    <s v="Computer Science"/>
    <x v="0"/>
    <n v="3"/>
    <n v="6900"/>
    <n v="43.8"/>
    <n v="480"/>
    <n v="140"/>
    <n v="400"/>
    <n v="7.15"/>
    <n v="25520"/>
    <n v="8506.6666666666661"/>
    <n v="17280"/>
    <n v="18620"/>
    <n v="0.27037617554858934"/>
  </r>
  <r>
    <x v="12"/>
    <s v="Wuhan"/>
    <s v="Wuhan University"/>
    <s v="Software Engineering"/>
    <x v="0"/>
    <n v="3"/>
    <n v="6500"/>
    <n v="41.2"/>
    <n v="450"/>
    <n v="140"/>
    <n v="400"/>
    <n v="7.15"/>
    <n v="24040"/>
    <n v="8013.333333333333"/>
    <n v="16200"/>
    <n v="17540"/>
    <n v="0.2703826955074875"/>
  </r>
  <r>
    <x v="12"/>
    <s v="Xi'an"/>
    <s v="Xi'an Jiaotong University"/>
    <s v="Data Science"/>
    <x v="0"/>
    <n v="3"/>
    <n v="6300"/>
    <n v="40.5"/>
    <n v="420"/>
    <n v="140"/>
    <n v="400"/>
    <n v="7.15"/>
    <n v="22760"/>
    <n v="7586.666666666667"/>
    <n v="15120"/>
    <n v="16460"/>
    <n v="0.27680140597539543"/>
  </r>
  <r>
    <x v="12"/>
    <s v="Chengdu"/>
    <s v="Sichuan University"/>
    <s v="Computer Engineering"/>
    <x v="0"/>
    <n v="3"/>
    <n v="6100"/>
    <n v="39.799999999999997"/>
    <n v="400"/>
    <n v="140"/>
    <n v="400"/>
    <n v="7.15"/>
    <n v="21840"/>
    <n v="7280"/>
    <n v="14400"/>
    <n v="15740"/>
    <n v="0.27930402930402931"/>
  </r>
  <r>
    <x v="13"/>
    <s v="Seoul"/>
    <s v="Seoul National University"/>
    <s v="Computer Science"/>
    <x v="0"/>
    <n v="2"/>
    <n v="7200"/>
    <n v="85.1"/>
    <n v="950"/>
    <n v="90"/>
    <n v="800"/>
    <n v="1300"/>
    <n v="31690"/>
    <n v="15845"/>
    <n v="22800"/>
    <n v="24490"/>
    <n v="0.22720100978226571"/>
  </r>
  <r>
    <x v="13"/>
    <s v="Seoul"/>
    <s v="Korea University"/>
    <s v="Artificial Intelligence"/>
    <x v="0"/>
    <n v="2"/>
    <n v="7000"/>
    <n v="85.1"/>
    <n v="920"/>
    <n v="90"/>
    <n v="800"/>
    <n v="1300"/>
    <n v="30770"/>
    <n v="15385"/>
    <n v="22080"/>
    <n v="23770"/>
    <n v="0.22749431264218395"/>
  </r>
  <r>
    <x v="13"/>
    <s v="Seoul"/>
    <s v="Yonsei University"/>
    <s v="Data Science"/>
    <x v="0"/>
    <n v="2"/>
    <n v="6900"/>
    <n v="85.1"/>
    <n v="900"/>
    <n v="90"/>
    <n v="800"/>
    <n v="1300"/>
    <n v="30190"/>
    <n v="15095"/>
    <n v="21600"/>
    <n v="23290"/>
    <n v="0.22855250082808878"/>
  </r>
  <r>
    <x v="13"/>
    <s v="Seoul"/>
    <s v="Hanyang University"/>
    <s v="Software Engineering"/>
    <x v="0"/>
    <n v="2"/>
    <n v="6500"/>
    <n v="85.1"/>
    <n v="850"/>
    <n v="90"/>
    <n v="800"/>
    <n v="1300"/>
    <n v="28590"/>
    <n v="14295"/>
    <n v="20400"/>
    <n v="22090"/>
    <n v="0.22735222105631339"/>
  </r>
  <r>
    <x v="13"/>
    <s v="Seoul"/>
    <s v="Sungkyunkwan University"/>
    <s v="Computer Engineering"/>
    <x v="0"/>
    <n v="2"/>
    <n v="6400"/>
    <n v="85.1"/>
    <n v="840"/>
    <n v="90"/>
    <n v="800"/>
    <n v="1300"/>
    <n v="28250"/>
    <n v="14125"/>
    <n v="20160"/>
    <n v="21850"/>
    <n v="0.22654867256637168"/>
  </r>
  <r>
    <x v="13"/>
    <s v="Daejeon"/>
    <s v="KAIST"/>
    <s v="Robotics Engineering"/>
    <x v="0"/>
    <n v="2"/>
    <n v="6800"/>
    <n v="75.400000000000006"/>
    <n v="700"/>
    <n v="90"/>
    <n v="800"/>
    <n v="1300"/>
    <n v="25290"/>
    <n v="12645"/>
    <n v="16800"/>
    <n v="18490"/>
    <n v="0.26888098062475285"/>
  </r>
  <r>
    <x v="13"/>
    <s v="Daejeon"/>
    <s v="Chungnam National University"/>
    <s v="Information Systems"/>
    <x v="0"/>
    <n v="2"/>
    <n v="5900"/>
    <n v="75.400000000000006"/>
    <n v="650"/>
    <n v="90"/>
    <n v="800"/>
    <n v="1300"/>
    <n v="23190"/>
    <n v="11595"/>
    <n v="15600"/>
    <n v="17290"/>
    <n v="0.25442000862440706"/>
  </r>
  <r>
    <x v="13"/>
    <s v="Busan"/>
    <s v="Pusan National University"/>
    <s v="Computer Science"/>
    <x v="0"/>
    <n v="2"/>
    <n v="5800"/>
    <n v="73.2"/>
    <n v="600"/>
    <n v="90"/>
    <n v="800"/>
    <n v="1300"/>
    <n v="21890"/>
    <n v="10945"/>
    <n v="14400"/>
    <n v="16090"/>
    <n v="0.26496116948378257"/>
  </r>
  <r>
    <x v="13"/>
    <s v="Busan"/>
    <s v="Dong-A University"/>
    <s v="Software Engineering"/>
    <x v="0"/>
    <n v="2"/>
    <n v="5600"/>
    <n v="73.2"/>
    <n v="580"/>
    <n v="90"/>
    <n v="800"/>
    <n v="1300"/>
    <n v="21210"/>
    <n v="10605"/>
    <n v="13920"/>
    <n v="15610"/>
    <n v="0.264026402640264"/>
  </r>
  <r>
    <x v="13"/>
    <s v="Daegu"/>
    <s v="Kyungpook National University"/>
    <s v="Data Analytics"/>
    <x v="0"/>
    <n v="2"/>
    <n v="5500"/>
    <n v="71.8"/>
    <n v="550"/>
    <n v="90"/>
    <n v="800"/>
    <n v="1300"/>
    <n v="20390"/>
    <n v="10195"/>
    <n v="13200"/>
    <n v="14890"/>
    <n v="0.26974006866110839"/>
  </r>
  <r>
    <x v="13"/>
    <s v="Daegu"/>
    <s v="Yeungnam University"/>
    <s v="Computer Engineering"/>
    <x v="0"/>
    <n v="2"/>
    <n v="5400"/>
    <n v="71.8"/>
    <n v="530"/>
    <n v="90"/>
    <n v="800"/>
    <n v="1300"/>
    <n v="19810"/>
    <n v="9905"/>
    <n v="12720"/>
    <n v="14410"/>
    <n v="0.27258960121150932"/>
  </r>
  <r>
    <x v="13"/>
    <s v="Gwangju"/>
    <s v="Chonnam National University"/>
    <s v="Information Technology"/>
    <x v="0"/>
    <n v="2"/>
    <n v="5300"/>
    <n v="70.5"/>
    <n v="520"/>
    <n v="90"/>
    <n v="800"/>
    <n v="1300"/>
    <n v="19470"/>
    <n v="9735"/>
    <n v="12480"/>
    <n v="14170"/>
    <n v="0.27221366204417052"/>
  </r>
  <r>
    <x v="13"/>
    <s v="Gwangju"/>
    <s v="Chosun University"/>
    <s v="Computer Science"/>
    <x v="0"/>
    <n v="2"/>
    <n v="5200"/>
    <n v="70.5"/>
    <n v="500"/>
    <n v="90"/>
    <n v="800"/>
    <n v="1300"/>
    <n v="18890"/>
    <n v="9445"/>
    <n v="12000"/>
    <n v="13690"/>
    <n v="0.27527792482795127"/>
  </r>
  <r>
    <x v="13"/>
    <s v="Ulsan"/>
    <s v="Ulsan National Institute of Science and Technology"/>
    <s v="AI Engineering"/>
    <x v="0"/>
    <n v="2"/>
    <n v="6100"/>
    <n v="72.3"/>
    <n v="580"/>
    <n v="90"/>
    <n v="800"/>
    <n v="1300"/>
    <n v="21710"/>
    <n v="10855"/>
    <n v="13920"/>
    <n v="15610"/>
    <n v="0.2809765085214187"/>
  </r>
  <r>
    <x v="13"/>
    <s v="Ulsan"/>
    <s v="University of Ulsan"/>
    <s v="Software Systems"/>
    <x v="0"/>
    <n v="2"/>
    <n v="5100"/>
    <n v="72.3"/>
    <n v="550"/>
    <n v="90"/>
    <n v="800"/>
    <n v="1300"/>
    <n v="19990"/>
    <n v="9995"/>
    <n v="13200"/>
    <n v="14890"/>
    <n v="0.25512756378189094"/>
  </r>
  <r>
    <x v="13"/>
    <s v="Pohang"/>
    <s v="POSTECH"/>
    <s v="Computer Engineering"/>
    <x v="0"/>
    <n v="2"/>
    <n v="6300"/>
    <n v="71.2"/>
    <n v="570"/>
    <n v="90"/>
    <n v="800"/>
    <n v="1300"/>
    <n v="21670"/>
    <n v="10835"/>
    <n v="13680"/>
    <n v="15370"/>
    <n v="0.29072450392247345"/>
  </r>
  <r>
    <x v="13"/>
    <s v="Incheon"/>
    <s v="Incheon National University"/>
    <s v="Data Science"/>
    <x v="0"/>
    <n v="2"/>
    <n v="5000"/>
    <n v="76.400000000000006"/>
    <n v="600"/>
    <n v="90"/>
    <n v="800"/>
    <n v="1300"/>
    <n v="21090"/>
    <n v="10545"/>
    <n v="14400"/>
    <n v="16090"/>
    <n v="0.23707918444760551"/>
  </r>
  <r>
    <x v="13"/>
    <s v="Suwon"/>
    <s v="Sungkyunkwan University (Suwon)"/>
    <s v="Computer Systems"/>
    <x v="0"/>
    <n v="2"/>
    <n v="5900"/>
    <n v="77.8"/>
    <n v="650"/>
    <n v="90"/>
    <n v="800"/>
    <n v="1300"/>
    <n v="23190"/>
    <n v="11595"/>
    <n v="15600"/>
    <n v="17290"/>
    <n v="0.25442000862440706"/>
  </r>
  <r>
    <x v="13"/>
    <s v="Daejeon"/>
    <s v="Hanbat National University"/>
    <s v="Information Security"/>
    <x v="0"/>
    <n v="2"/>
    <n v="4900"/>
    <n v="75.400000000000006"/>
    <n v="540"/>
    <n v="90"/>
    <n v="800"/>
    <n v="1300"/>
    <n v="19550"/>
    <n v="9775"/>
    <n v="12960"/>
    <n v="14650"/>
    <n v="0.2506393861892583"/>
  </r>
  <r>
    <x v="13"/>
    <s v="Cheongju"/>
    <s v="Chungbuk National University"/>
    <s v="Computer Networks"/>
    <x v="0"/>
    <n v="2"/>
    <n v="4800"/>
    <n v="70.099999999999994"/>
    <n v="520"/>
    <n v="90"/>
    <n v="800"/>
    <n v="1300"/>
    <n v="18970"/>
    <n v="9485"/>
    <n v="12480"/>
    <n v="14170"/>
    <n v="0.25303110173958882"/>
  </r>
  <r>
    <x v="0"/>
    <s v="Stanford"/>
    <s v="Stanford University"/>
    <s v="Computer Science"/>
    <x v="1"/>
    <n v="4"/>
    <n v="57000"/>
    <n v="95.2"/>
    <n v="2400"/>
    <n v="160"/>
    <n v="1500"/>
    <n v="1"/>
    <n v="178360"/>
    <n v="44590"/>
    <n v="115200"/>
    <n v="121360"/>
    <n v="0.3195783808028706"/>
  </r>
  <r>
    <x v="0"/>
    <s v="Cambridge"/>
    <s v="MIT"/>
    <s v="Computer Science"/>
    <x v="1"/>
    <n v="4"/>
    <n v="55800"/>
    <n v="83.5"/>
    <n v="2300"/>
    <n v="160"/>
    <n v="1500"/>
    <n v="1"/>
    <n v="172360"/>
    <n v="43090"/>
    <n v="110400"/>
    <n v="116560"/>
    <n v="0.32374100719424459"/>
  </r>
  <r>
    <x v="0"/>
    <s v="New Haven"/>
    <s v="Yale University"/>
    <s v="Computer Science"/>
    <x v="1"/>
    <n v="4"/>
    <n v="54500"/>
    <n v="79.8"/>
    <n v="2100"/>
    <n v="160"/>
    <n v="1500"/>
    <n v="1"/>
    <n v="161460"/>
    <n v="40365"/>
    <n v="100800"/>
    <n v="106960"/>
    <n v="0.33754490276229404"/>
  </r>
  <r>
    <x v="0"/>
    <s v="Princeton"/>
    <s v="Princeton University"/>
    <s v="Computer Science"/>
    <x v="1"/>
    <n v="4"/>
    <n v="54000"/>
    <n v="81.2"/>
    <n v="2000"/>
    <n v="160"/>
    <n v="1500"/>
    <n v="1"/>
    <n v="156160"/>
    <n v="39040"/>
    <n v="96000"/>
    <n v="102160"/>
    <n v="0.34579918032786883"/>
  </r>
  <r>
    <x v="0"/>
    <s v="Philadelphia"/>
    <s v="University of Pennsylvania"/>
    <s v="Computer Science"/>
    <x v="1"/>
    <n v="4"/>
    <n v="53500"/>
    <n v="82.4"/>
    <n v="1900"/>
    <n v="160"/>
    <n v="1500"/>
    <n v="1"/>
    <n v="150860"/>
    <n v="37715"/>
    <n v="91200"/>
    <n v="97360"/>
    <n v="0.35463343497282246"/>
  </r>
  <r>
    <x v="0"/>
    <s v="Los Angeles"/>
    <s v="UCLA"/>
    <s v="Computer Science"/>
    <x v="1"/>
    <n v="4"/>
    <n v="43000"/>
    <n v="88.7"/>
    <n v="2200"/>
    <n v="160"/>
    <n v="1500"/>
    <n v="1"/>
    <n v="154760"/>
    <n v="38690"/>
    <n v="105600"/>
    <n v="111760"/>
    <n v="0.27784957353321271"/>
  </r>
  <r>
    <x v="0"/>
    <s v="Berkeley"/>
    <s v="UC Berkeley"/>
    <s v="Computer Science"/>
    <x v="1"/>
    <n v="4"/>
    <n v="43500"/>
    <n v="91.5"/>
    <n v="2300"/>
    <n v="160"/>
    <n v="1500"/>
    <n v="1"/>
    <n v="160060"/>
    <n v="40015"/>
    <n v="110400"/>
    <n v="116560"/>
    <n v="0.27177308509309012"/>
  </r>
  <r>
    <x v="0"/>
    <s v="Ann Arbor"/>
    <s v="University of Michigan"/>
    <s v="Computer Science"/>
    <x v="1"/>
    <n v="4"/>
    <n v="52000"/>
    <n v="75.400000000000006"/>
    <n v="1700"/>
    <n v="160"/>
    <n v="1500"/>
    <n v="1"/>
    <n v="139760"/>
    <n v="34940"/>
    <n v="81600"/>
    <n v="87760"/>
    <n v="0.3720663995420721"/>
  </r>
  <r>
    <x v="0"/>
    <s v="Austin"/>
    <s v="University of Texas Austin"/>
    <s v="Computer Science"/>
    <x v="1"/>
    <n v="4"/>
    <n v="40500"/>
    <n v="72.8"/>
    <n v="1800"/>
    <n v="160"/>
    <n v="1500"/>
    <n v="1"/>
    <n v="133060"/>
    <n v="33265"/>
    <n v="86400"/>
    <n v="92560"/>
    <n v="0.30437396663159477"/>
  </r>
  <r>
    <x v="0"/>
    <s v="Seattle"/>
    <s v="University of Washington"/>
    <s v="Computer Science"/>
    <x v="1"/>
    <n v="4"/>
    <n v="39800"/>
    <n v="85.6"/>
    <n v="2000"/>
    <n v="160"/>
    <n v="1500"/>
    <n v="1"/>
    <n v="141960"/>
    <n v="35490"/>
    <n v="96000"/>
    <n v="102160"/>
    <n v="0.28036066497604961"/>
  </r>
  <r>
    <x v="0"/>
    <s v="Madison"/>
    <s v="University of Wisconsin-Madison"/>
    <s v="Computer Science"/>
    <x v="1"/>
    <n v="4"/>
    <n v="37500"/>
    <n v="71.2"/>
    <n v="1600"/>
    <n v="160"/>
    <n v="1500"/>
    <n v="1"/>
    <n v="120460"/>
    <n v="30115"/>
    <n v="76800"/>
    <n v="82960"/>
    <n v="0.31130665781172173"/>
  </r>
  <r>
    <x v="0"/>
    <s v="Urbana"/>
    <s v="University of Illinois Urbana-Champaign"/>
    <s v="Computer Science"/>
    <x v="1"/>
    <n v="4"/>
    <n v="36800"/>
    <n v="70.5"/>
    <n v="1500"/>
    <n v="160"/>
    <n v="1500"/>
    <n v="1"/>
    <n v="114960"/>
    <n v="28740"/>
    <n v="72000"/>
    <n v="78160"/>
    <n v="0.32011134307585248"/>
  </r>
  <r>
    <x v="0"/>
    <s v="Atlanta"/>
    <s v="Georgia Tech"/>
    <s v="Computer Science"/>
    <x v="1"/>
    <n v="4"/>
    <n v="33500"/>
    <n v="76.8"/>
    <n v="1700"/>
    <n v="160"/>
    <n v="1500"/>
    <n v="1"/>
    <n v="121260"/>
    <n v="30315"/>
    <n v="81600"/>
    <n v="87760"/>
    <n v="0.27626587497938315"/>
  </r>
  <r>
    <x v="0"/>
    <s v="Columbus"/>
    <s v="Ohio State University"/>
    <s v="Computer Science"/>
    <x v="1"/>
    <n v="4"/>
    <n v="32800"/>
    <n v="71.400000000000006"/>
    <n v="1400"/>
    <n v="160"/>
    <n v="1500"/>
    <n v="1"/>
    <n v="106160"/>
    <n v="26540"/>
    <n v="67200"/>
    <n v="73360"/>
    <n v="0.30896759608138658"/>
  </r>
  <r>
    <x v="0"/>
    <s v="West Lafayette"/>
    <s v="Purdue University"/>
    <s v="Computer Science"/>
    <x v="1"/>
    <n v="4"/>
    <n v="31500"/>
    <n v="68.900000000000006"/>
    <n v="1300"/>
    <n v="160"/>
    <n v="1500"/>
    <n v="1"/>
    <n v="100060"/>
    <n v="25015"/>
    <n v="62400"/>
    <n v="68560"/>
    <n v="0.31481111333200079"/>
  </r>
  <r>
    <x v="0"/>
    <s v="Gainesville"/>
    <s v="University of Florida"/>
    <s v="Computer Science"/>
    <x v="1"/>
    <n v="4"/>
    <n v="28500"/>
    <n v="70.2"/>
    <n v="1400"/>
    <n v="160"/>
    <n v="1500"/>
    <n v="1"/>
    <n v="101860"/>
    <n v="25465"/>
    <n v="67200"/>
    <n v="73360"/>
    <n v="0.27979579815432948"/>
  </r>
  <r>
    <x v="0"/>
    <s v="Tempe"/>
    <s v="Arizona State University"/>
    <s v="Computer Science"/>
    <x v="1"/>
    <n v="4"/>
    <n v="28000"/>
    <n v="72.5"/>
    <n v="1500"/>
    <n v="160"/>
    <n v="1500"/>
    <n v="1"/>
    <n v="106160"/>
    <n v="26540"/>
    <n v="72000"/>
    <n v="78160"/>
    <n v="0.26375282592313487"/>
  </r>
  <r>
    <x v="0"/>
    <s v="Raleigh"/>
    <s v="NC State University"/>
    <s v="Computer Science"/>
    <x v="1"/>
    <n v="4"/>
    <n v="27500"/>
    <n v="71.8"/>
    <n v="1400"/>
    <n v="160"/>
    <n v="1500"/>
    <n v="1"/>
    <n v="100860"/>
    <n v="25215"/>
    <n v="67200"/>
    <n v="73360"/>
    <n v="0.27265516557604602"/>
  </r>
  <r>
    <x v="0"/>
    <s v="College Station"/>
    <s v="Texas A&amp;M University"/>
    <s v="Computer Science"/>
    <x v="1"/>
    <n v="4"/>
    <n v="27000"/>
    <n v="69.5"/>
    <n v="1300"/>
    <n v="160"/>
    <n v="1500"/>
    <n v="1"/>
    <n v="95560"/>
    <n v="23890"/>
    <n v="62400"/>
    <n v="68560"/>
    <n v="0.2825449979070741"/>
  </r>
  <r>
    <x v="0"/>
    <s v="Corvallis"/>
    <s v="Oregon State University"/>
    <s v="Computer Science"/>
    <x v="1"/>
    <n v="4"/>
    <n v="26500"/>
    <n v="70.099999999999994"/>
    <n v="1300"/>
    <n v="160"/>
    <n v="1500"/>
    <n v="1"/>
    <n v="95060"/>
    <n v="23765"/>
    <n v="62400"/>
    <n v="68560"/>
    <n v="0.27877130233536712"/>
  </r>
  <r>
    <x v="1"/>
    <s v="Cambridge"/>
    <s v="University of Cambridge"/>
    <s v="Computer Science"/>
    <x v="1"/>
    <n v="3"/>
    <n v="38500"/>
    <n v="78.5"/>
    <n v="1800"/>
    <n v="490"/>
    <n v="800"/>
    <n v="0.79"/>
    <n v="106190"/>
    <n v="35396.666666666664"/>
    <n v="64800"/>
    <n v="67690"/>
    <n v="0.36255767963085034"/>
  </r>
  <r>
    <x v="1"/>
    <s v="Oxford"/>
    <s v="University of Oxford"/>
    <s v="Computer Science"/>
    <x v="1"/>
    <n v="3"/>
    <n v="37900"/>
    <n v="77.8"/>
    <n v="1850"/>
    <n v="490"/>
    <n v="800"/>
    <n v="0.79"/>
    <n v="107390"/>
    <n v="35796.666666666664"/>
    <n v="66600"/>
    <n v="69490"/>
    <n v="0.35291926622590558"/>
  </r>
  <r>
    <x v="1"/>
    <s v="London"/>
    <s v="Imperial College London"/>
    <s v="Computer Science"/>
    <x v="1"/>
    <n v="3"/>
    <n v="37500"/>
    <n v="83.2"/>
    <n v="2200"/>
    <n v="490"/>
    <n v="800"/>
    <n v="0.79"/>
    <n v="119590"/>
    <n v="39863.333333333336"/>
    <n v="79200"/>
    <n v="82090"/>
    <n v="0.3135713688435488"/>
  </r>
  <r>
    <x v="1"/>
    <s v="London"/>
    <s v="University College London"/>
    <s v="Computer Science"/>
    <x v="1"/>
    <n v="3"/>
    <n v="36800"/>
    <n v="83.2"/>
    <n v="2100"/>
    <n v="490"/>
    <n v="800"/>
    <n v="0.79"/>
    <n v="115290"/>
    <n v="38430"/>
    <n v="75600"/>
    <n v="78490"/>
    <n v="0.31919507329343394"/>
  </r>
  <r>
    <x v="1"/>
    <s v="London"/>
    <s v="King's College London"/>
    <s v="Computer Science"/>
    <x v="1"/>
    <n v="3"/>
    <n v="35500"/>
    <n v="83.2"/>
    <n v="2000"/>
    <n v="490"/>
    <n v="800"/>
    <n v="0.79"/>
    <n v="110390"/>
    <n v="36796.666666666664"/>
    <n v="72000"/>
    <n v="74890"/>
    <n v="0.32158710028082255"/>
  </r>
  <r>
    <x v="1"/>
    <s v="Edinburgh"/>
    <s v="University of Edinburgh"/>
    <s v="Computer Science"/>
    <x v="1"/>
    <n v="4"/>
    <n v="32500"/>
    <n v="75.400000000000006"/>
    <n v="1600"/>
    <n v="490"/>
    <n v="800"/>
    <n v="0.79"/>
    <n v="112990"/>
    <n v="28247.5"/>
    <n v="76800"/>
    <n v="80490"/>
    <n v="0.28763607398884855"/>
  </r>
  <r>
    <x v="1"/>
    <s v="Manchester"/>
    <s v="University of Manchester"/>
    <s v="Computer Science"/>
    <x v="1"/>
    <n v="3"/>
    <n v="31800"/>
    <n v="72.099999999999994"/>
    <n v="1400"/>
    <n v="490"/>
    <n v="800"/>
    <n v="0.79"/>
    <n v="85090"/>
    <n v="28363.333333333332"/>
    <n v="50400"/>
    <n v="53290"/>
    <n v="0.37372194147373372"/>
  </r>
  <r>
    <x v="1"/>
    <s v="Bristol"/>
    <s v="University of Bristol"/>
    <s v="Computer Science"/>
    <x v="1"/>
    <n v="3"/>
    <n v="31500"/>
    <n v="74.8"/>
    <n v="1500"/>
    <n v="490"/>
    <n v="800"/>
    <n v="0.79"/>
    <n v="88390"/>
    <n v="29463.333333333332"/>
    <n v="54000"/>
    <n v="56890"/>
    <n v="0.3563751555605838"/>
  </r>
  <r>
    <x v="1"/>
    <s v="Warwick"/>
    <s v="University of Warwick"/>
    <s v="Computer Science"/>
    <x v="1"/>
    <n v="3"/>
    <n v="31200"/>
    <n v="71.5"/>
    <n v="1300"/>
    <n v="490"/>
    <n v="800"/>
    <n v="0.79"/>
    <n v="80890"/>
    <n v="26963.333333333332"/>
    <n v="46800"/>
    <n v="49690"/>
    <n v="0.38570898751390775"/>
  </r>
  <r>
    <x v="1"/>
    <s v="Glasgow"/>
    <s v="University of Glasgow"/>
    <s v="Computer Science"/>
    <x v="1"/>
    <n v="4"/>
    <n v="30800"/>
    <n v="73.2"/>
    <n v="1400"/>
    <n v="490"/>
    <n v="800"/>
    <n v="0.79"/>
    <n v="101690"/>
    <n v="25422.5"/>
    <n v="67200"/>
    <n v="70890"/>
    <n v="0.30288130592978663"/>
  </r>
  <r>
    <x v="1"/>
    <s v="Birmingham"/>
    <s v="University of Birmingham"/>
    <s v="Computer Science"/>
    <x v="1"/>
    <n v="3"/>
    <n v="30500"/>
    <n v="71.8"/>
    <n v="1300"/>
    <n v="490"/>
    <n v="800"/>
    <n v="0.79"/>
    <n v="80190"/>
    <n v="26730"/>
    <n v="46800"/>
    <n v="49690"/>
    <n v="0.38034667664297295"/>
  </r>
  <r>
    <x v="1"/>
    <s v="Leeds"/>
    <s v="University of Leeds"/>
    <s v="Computer Science"/>
    <x v="1"/>
    <n v="3"/>
    <n v="30200"/>
    <n v="71.2"/>
    <n v="1250"/>
    <n v="490"/>
    <n v="800"/>
    <n v="0.79"/>
    <n v="78090"/>
    <n v="26030"/>
    <n v="45000"/>
    <n v="47890"/>
    <n v="0.38673325649891149"/>
  </r>
  <r>
    <x v="1"/>
    <s v="Sheffield"/>
    <s v="University of Sheffield"/>
    <s v="Computer Science"/>
    <x v="1"/>
    <n v="3"/>
    <n v="29800"/>
    <n v="70.5"/>
    <n v="1200"/>
    <n v="490"/>
    <n v="800"/>
    <n v="0.79"/>
    <n v="75890"/>
    <n v="25296.666666666668"/>
    <n v="43200"/>
    <n v="46090"/>
    <n v="0.39267360653577549"/>
  </r>
  <r>
    <x v="1"/>
    <s v="Nottingham"/>
    <s v="University of Nottingham"/>
    <s v="Computer Science"/>
    <x v="1"/>
    <n v="3"/>
    <n v="29500"/>
    <n v="70.8"/>
    <n v="1150"/>
    <n v="490"/>
    <n v="800"/>
    <n v="0.79"/>
    <n v="73790"/>
    <n v="24596.666666666668"/>
    <n v="41400"/>
    <n v="44290"/>
    <n v="0.39978316845100964"/>
  </r>
  <r>
    <x v="1"/>
    <s v="Southampton"/>
    <s v="University of Southampton"/>
    <s v="Computer Science"/>
    <x v="1"/>
    <n v="3"/>
    <n v="29200"/>
    <n v="72.400000000000006"/>
    <n v="1300"/>
    <n v="490"/>
    <n v="800"/>
    <n v="0.79"/>
    <n v="78890"/>
    <n v="26296.666666666668"/>
    <n v="46800"/>
    <n v="49690"/>
    <n v="0.37013563189250853"/>
  </r>
  <r>
    <x v="1"/>
    <s v="Durham"/>
    <s v="Durham University"/>
    <s v="Computer Science"/>
    <x v="1"/>
    <n v="3"/>
    <n v="28900"/>
    <n v="71.599999999999994"/>
    <n v="1250"/>
    <n v="490"/>
    <n v="800"/>
    <n v="0.79"/>
    <n v="76790"/>
    <n v="25596.666666666668"/>
    <n v="45000"/>
    <n v="47890"/>
    <n v="0.3763510873811694"/>
  </r>
  <r>
    <x v="1"/>
    <s v="Liverpool"/>
    <s v="University of Liverpool"/>
    <s v="Computer Science"/>
    <x v="1"/>
    <n v="3"/>
    <n v="28600"/>
    <n v="70.2"/>
    <n v="1100"/>
    <n v="490"/>
    <n v="800"/>
    <n v="0.79"/>
    <n v="71090"/>
    <n v="23696.666666666668"/>
    <n v="39600"/>
    <n v="42490"/>
    <n v="0.40230693487128993"/>
  </r>
  <r>
    <x v="1"/>
    <s v="Cardiff"/>
    <s v="Cardiff University"/>
    <s v="Computer Science"/>
    <x v="1"/>
    <n v="3"/>
    <n v="28300"/>
    <n v="69.8"/>
    <n v="1050"/>
    <n v="490"/>
    <n v="800"/>
    <n v="0.79"/>
    <n v="68990"/>
    <n v="22996.666666666668"/>
    <n v="37800"/>
    <n v="40690"/>
    <n v="0.41020437744600668"/>
  </r>
  <r>
    <x v="1"/>
    <s v="Newcastle"/>
    <s v="Newcastle University"/>
    <s v="Computer Science"/>
    <x v="1"/>
    <n v="3"/>
    <n v="28000"/>
    <n v="70.099999999999994"/>
    <n v="1100"/>
    <n v="490"/>
    <n v="800"/>
    <n v="0.79"/>
    <n v="70490"/>
    <n v="23496.666666666668"/>
    <n v="39600"/>
    <n v="42490"/>
    <n v="0.39721946375372391"/>
  </r>
  <r>
    <x v="1"/>
    <s v="Aberdeen"/>
    <s v="University of Aberdeen"/>
    <s v="Computer Science"/>
    <x v="1"/>
    <n v="4"/>
    <n v="27700"/>
    <n v="69.5"/>
    <n v="1000"/>
    <n v="490"/>
    <n v="800"/>
    <n v="0.79"/>
    <n v="79390"/>
    <n v="19847.5"/>
    <n v="48000"/>
    <n v="51690"/>
    <n v="0.34891044212117395"/>
  </r>
  <r>
    <x v="1"/>
    <s v="Leicester"/>
    <s v="University of Leicester"/>
    <s v="Computer Science"/>
    <x v="1"/>
    <n v="3"/>
    <n v="27400"/>
    <n v="68.900000000000006"/>
    <n v="950"/>
    <n v="490"/>
    <n v="800"/>
    <n v="0.79"/>
    <n v="64490"/>
    <n v="21496.666666666668"/>
    <n v="34200"/>
    <n v="37090"/>
    <n v="0.42487207318964182"/>
  </r>
  <r>
    <x v="1"/>
    <s v="Reading"/>
    <s v="University of Reading"/>
    <s v="Computer Science"/>
    <x v="1"/>
    <n v="3"/>
    <n v="27100"/>
    <n v="71.2"/>
    <n v="1150"/>
    <n v="490"/>
    <n v="800"/>
    <n v="0.79"/>
    <n v="71390"/>
    <n v="23796.666666666668"/>
    <n v="41400"/>
    <n v="44290"/>
    <n v="0.37960498669281412"/>
  </r>
  <r>
    <x v="1"/>
    <s v="Sussex"/>
    <s v="University of Sussex"/>
    <s v="Computer Science"/>
    <x v="1"/>
    <n v="3"/>
    <n v="26800"/>
    <n v="72.5"/>
    <n v="1200"/>
    <n v="490"/>
    <n v="800"/>
    <n v="0.79"/>
    <n v="72890"/>
    <n v="24296.666666666668"/>
    <n v="43200"/>
    <n v="46090"/>
    <n v="0.36767732199204278"/>
  </r>
  <r>
    <x v="1"/>
    <s v="Essex"/>
    <s v="University of Essex"/>
    <s v="Computer Science"/>
    <x v="1"/>
    <n v="3"/>
    <n v="26500"/>
    <n v="69.8"/>
    <n v="1000"/>
    <n v="490"/>
    <n v="800"/>
    <n v="0.79"/>
    <n v="65390"/>
    <n v="21796.666666666668"/>
    <n v="36000"/>
    <n v="38890"/>
    <n v="0.40526074323291023"/>
  </r>
  <r>
    <x v="1"/>
    <s v="Bath"/>
    <s v="University of Bath"/>
    <s v="Computer Science"/>
    <x v="1"/>
    <n v="3"/>
    <n v="26200"/>
    <n v="73.400000000000006"/>
    <n v="1250"/>
    <n v="490"/>
    <n v="800"/>
    <n v="0.79"/>
    <n v="74090"/>
    <n v="24696.666666666668"/>
    <n v="45000"/>
    <n v="47890"/>
    <n v="0.35362397084626807"/>
  </r>
  <r>
    <x v="1"/>
    <s v="Surrey"/>
    <s v="University of Surrey"/>
    <s v="Computer Science"/>
    <x v="1"/>
    <n v="3"/>
    <n v="25900"/>
    <n v="71.8"/>
    <n v="1150"/>
    <n v="490"/>
    <n v="800"/>
    <n v="0.79"/>
    <n v="70190"/>
    <n v="23396.666666666668"/>
    <n v="41400"/>
    <n v="44290"/>
    <n v="0.36899843282518879"/>
  </r>
  <r>
    <x v="1"/>
    <s v="Exeter"/>
    <s v="University of Exeter"/>
    <s v="Computer Science"/>
    <x v="1"/>
    <n v="3"/>
    <n v="25600"/>
    <n v="72.099999999999994"/>
    <n v="1200"/>
    <n v="490"/>
    <n v="800"/>
    <n v="0.79"/>
    <n v="71690"/>
    <n v="23896.666666666668"/>
    <n v="43200"/>
    <n v="46090"/>
    <n v="0.35709303947551962"/>
  </r>
  <r>
    <x v="1"/>
    <s v="Kent"/>
    <s v="University of Kent"/>
    <s v="Computer Science"/>
    <x v="1"/>
    <n v="3"/>
    <n v="25300"/>
    <n v="70.5"/>
    <n v="1100"/>
    <n v="490"/>
    <n v="800"/>
    <n v="0.79"/>
    <n v="67790"/>
    <n v="22596.666666666668"/>
    <n v="39600"/>
    <n v="42490"/>
    <n v="0.37321138811034077"/>
  </r>
  <r>
    <x v="1"/>
    <s v="Dundee"/>
    <s v="University of Dundee"/>
    <s v="Computer Science"/>
    <x v="1"/>
    <n v="4"/>
    <n v="25000"/>
    <n v="68.900000000000006"/>
    <n v="950"/>
    <n v="490"/>
    <n v="800"/>
    <n v="0.79"/>
    <n v="74290"/>
    <n v="18572.5"/>
    <n v="45600"/>
    <n v="49290"/>
    <n v="0.33651904697805896"/>
  </r>
  <r>
    <x v="1"/>
    <s v="Strathclyde"/>
    <s v="University of Strathclyde"/>
    <s v="Computer Science"/>
    <x v="1"/>
    <n v="4"/>
    <n v="24700"/>
    <n v="69.2"/>
    <n v="1000"/>
    <n v="490"/>
    <n v="800"/>
    <n v="0.79"/>
    <n v="76390"/>
    <n v="19097.5"/>
    <n v="48000"/>
    <n v="51690"/>
    <n v="0.32334075140725227"/>
  </r>
  <r>
    <x v="1"/>
    <s v="Heriot-Watt"/>
    <s v="Heriot-Watt University"/>
    <s v="Computer Science"/>
    <x v="1"/>
    <n v="4"/>
    <n v="24400"/>
    <n v="69.5"/>
    <n v="1050"/>
    <n v="490"/>
    <n v="800"/>
    <n v="0.79"/>
    <n v="78490"/>
    <n v="19622.5"/>
    <n v="50400"/>
    <n v="54090"/>
    <n v="0.31086762644922922"/>
  </r>
  <r>
    <x v="1"/>
    <s v="Loughborough"/>
    <s v="Loughborough University"/>
    <s v="Computer Science"/>
    <x v="1"/>
    <n v="3"/>
    <n v="24100"/>
    <n v="68.5"/>
    <n v="900"/>
    <n v="490"/>
    <n v="800"/>
    <n v="0.79"/>
    <n v="59390"/>
    <n v="19796.666666666668"/>
    <n v="32400"/>
    <n v="35290"/>
    <n v="0.40579222091261152"/>
  </r>
  <r>
    <x v="1"/>
    <s v="Brunel"/>
    <s v="Brunel University London"/>
    <s v="Computer Science"/>
    <x v="1"/>
    <n v="3"/>
    <n v="23800"/>
    <n v="83.2"/>
    <n v="1800"/>
    <n v="490"/>
    <n v="800"/>
    <n v="0.79"/>
    <n v="91490"/>
    <n v="30496.666666666668"/>
    <n v="64800"/>
    <n v="67690"/>
    <n v="0.26013771996939555"/>
  </r>
  <r>
    <x v="1"/>
    <s v="Queen Mary"/>
    <s v="Queen Mary University of London"/>
    <s v="Computer Science"/>
    <x v="1"/>
    <n v="3"/>
    <n v="23500"/>
    <n v="83.2"/>
    <n v="1900"/>
    <n v="490"/>
    <n v="800"/>
    <n v="0.79"/>
    <n v="94790"/>
    <n v="31596.666666666668"/>
    <n v="68400"/>
    <n v="71290"/>
    <n v="0.24791644688258255"/>
  </r>
  <r>
    <x v="1"/>
    <s v="Royal Holloway"/>
    <s v="Royal Holloway University"/>
    <s v="Computer Science"/>
    <x v="1"/>
    <n v="3"/>
    <n v="23200"/>
    <n v="75.5"/>
    <n v="1400"/>
    <n v="490"/>
    <n v="800"/>
    <n v="0.79"/>
    <n v="76490"/>
    <n v="25496.666666666668"/>
    <n v="50400"/>
    <n v="53290"/>
    <n v="0.30330762191136096"/>
  </r>
  <r>
    <x v="1"/>
    <s v="Lancaster"/>
    <s v="Lancaster University"/>
    <s v="Computer Science"/>
    <x v="1"/>
    <n v="3"/>
    <n v="22900"/>
    <n v="69.8"/>
    <n v="1000"/>
    <n v="490"/>
    <n v="800"/>
    <n v="0.79"/>
    <n v="61790"/>
    <n v="20596.666666666668"/>
    <n v="36000"/>
    <n v="38890"/>
    <n v="0.37061013108917301"/>
  </r>
  <r>
    <x v="1"/>
    <s v="Swansea"/>
    <s v="Swansea University"/>
    <s v="Computer Science"/>
    <x v="1"/>
    <n v="3"/>
    <n v="22600"/>
    <n v="68.5"/>
    <n v="950"/>
    <n v="490"/>
    <n v="800"/>
    <n v="0.79"/>
    <n v="59690"/>
    <n v="19896.666666666668"/>
    <n v="34200"/>
    <n v="37090"/>
    <n v="0.37862288490534429"/>
  </r>
  <r>
    <x v="1"/>
    <s v="Aston"/>
    <s v="Aston University"/>
    <s v="Computer Science"/>
    <x v="1"/>
    <n v="3"/>
    <n v="22300"/>
    <n v="71.8"/>
    <n v="1200"/>
    <n v="490"/>
    <n v="800"/>
    <n v="0.79"/>
    <n v="68390"/>
    <n v="22796.666666666668"/>
    <n v="43200"/>
    <n v="46090"/>
    <n v="0.32607106302090949"/>
  </r>
  <r>
    <x v="1"/>
    <s v="Hull"/>
    <s v="University of Hull"/>
    <s v="Computer Science"/>
    <x v="1"/>
    <n v="3"/>
    <n v="22000"/>
    <n v="67.900000000000006"/>
    <n v="850"/>
    <n v="490"/>
    <n v="800"/>
    <n v="0.79"/>
    <n v="55490"/>
    <n v="18496.666666666668"/>
    <n v="30600"/>
    <n v="33490"/>
    <n v="0.39646783204180935"/>
  </r>
  <r>
    <x v="1"/>
    <s v="Keele"/>
    <s v="Keele University"/>
    <s v="Computer Science"/>
    <x v="1"/>
    <n v="3"/>
    <n v="21700"/>
    <n v="67.5"/>
    <n v="800"/>
    <n v="490"/>
    <n v="800"/>
    <n v="0.79"/>
    <n v="53390"/>
    <n v="17796.666666666668"/>
    <n v="28800"/>
    <n v="31690"/>
    <n v="0.40644315414871701"/>
  </r>
  <r>
    <x v="1"/>
    <s v="Plymouth"/>
    <s v="University of Plymouth"/>
    <s v="Computer Science"/>
    <x v="1"/>
    <n v="3"/>
    <n v="21400"/>
    <n v="69.2"/>
    <n v="950"/>
    <n v="490"/>
    <n v="800"/>
    <n v="0.79"/>
    <n v="58490"/>
    <n v="19496.666666666668"/>
    <n v="34200"/>
    <n v="37090"/>
    <n v="0.36587450846298514"/>
  </r>
  <r>
    <x v="1"/>
    <s v="Portsmouth"/>
    <s v="University of Portsmouth"/>
    <s v="Computer Science"/>
    <x v="1"/>
    <n v="3"/>
    <n v="21100"/>
    <n v="70.5"/>
    <n v="1000"/>
    <n v="490"/>
    <n v="800"/>
    <n v="0.79"/>
    <n v="59990"/>
    <n v="19996.666666666668"/>
    <n v="36000"/>
    <n v="38890"/>
    <n v="0.35172528754792465"/>
  </r>
  <r>
    <x v="1"/>
    <s v="Ulster"/>
    <s v="Ulster University"/>
    <s v="Computer Science"/>
    <x v="1"/>
    <n v="3"/>
    <n v="20800"/>
    <n v="67.2"/>
    <n v="800"/>
    <n v="490"/>
    <n v="800"/>
    <n v="0.79"/>
    <n v="52490"/>
    <n v="17496.666666666668"/>
    <n v="28800"/>
    <n v="31690"/>
    <n v="0.39626595542008003"/>
  </r>
  <r>
    <x v="1"/>
    <s v="Northumbria"/>
    <s v="Northumbria University"/>
    <s v="Computer Science"/>
    <x v="1"/>
    <n v="3"/>
    <n v="20500"/>
    <n v="68.5"/>
    <n v="900"/>
    <n v="490"/>
    <n v="800"/>
    <n v="0.79"/>
    <n v="55790"/>
    <n v="18596.666666666668"/>
    <n v="32400"/>
    <n v="35290"/>
    <n v="0.36744936368524828"/>
  </r>
  <r>
    <x v="1"/>
    <s v="Coventry"/>
    <s v="Coventry University"/>
    <s v="Computer Science"/>
    <x v="1"/>
    <n v="3"/>
    <n v="20200"/>
    <n v="69.8"/>
    <n v="950"/>
    <n v="490"/>
    <n v="800"/>
    <n v="0.79"/>
    <n v="57290"/>
    <n v="19096.666666666668"/>
    <n v="34200"/>
    <n v="37090"/>
    <n v="0.35259207540582999"/>
  </r>
  <r>
    <x v="1"/>
    <s v="Oxford Brookes"/>
    <s v="Oxford Brookes University"/>
    <s v="Computer Science"/>
    <x v="1"/>
    <n v="3"/>
    <n v="19900"/>
    <n v="77.8"/>
    <n v="1500"/>
    <n v="490"/>
    <n v="800"/>
    <n v="0.79"/>
    <n v="76790"/>
    <n v="25596.666666666668"/>
    <n v="54000"/>
    <n v="56890"/>
    <n v="0.25914832660502668"/>
  </r>
  <r>
    <x v="1"/>
    <s v="De Montfort"/>
    <s v="De Montfort University"/>
    <s v="Computer Science"/>
    <x v="1"/>
    <n v="3"/>
    <n v="19600"/>
    <n v="68.900000000000006"/>
    <n v="900"/>
    <n v="490"/>
    <n v="800"/>
    <n v="0.79"/>
    <n v="54890"/>
    <n v="18296.666666666668"/>
    <n v="32400"/>
    <n v="35290"/>
    <n v="0.35707779194753142"/>
  </r>
  <r>
    <x v="1"/>
    <s v="Westminster"/>
    <s v="University of Westminster"/>
    <s v="Computer Science"/>
    <x v="1"/>
    <n v="3"/>
    <n v="19300"/>
    <n v="83.2"/>
    <n v="1800"/>
    <n v="490"/>
    <n v="800"/>
    <n v="0.79"/>
    <n v="86990"/>
    <n v="28996.666666666668"/>
    <n v="64800"/>
    <n v="67690"/>
    <n v="0.22186458213587767"/>
  </r>
  <r>
    <x v="1"/>
    <s v="Greenwich"/>
    <s v="University of Greenwich"/>
    <s v="Computer Science"/>
    <x v="1"/>
    <n v="3"/>
    <n v="19000"/>
    <n v="83.2"/>
    <n v="1700"/>
    <n v="490"/>
    <n v="800"/>
    <n v="0.79"/>
    <n v="83090"/>
    <n v="27696.666666666668"/>
    <n v="61200"/>
    <n v="64090"/>
    <n v="0.22866770971236008"/>
  </r>
  <r>
    <x v="1"/>
    <s v="Kingston"/>
    <s v="Kingston University"/>
    <s v="Computer Science"/>
    <x v="1"/>
    <n v="3"/>
    <n v="18700"/>
    <n v="83.2"/>
    <n v="1600"/>
    <n v="490"/>
    <n v="800"/>
    <n v="0.79"/>
    <n v="79190"/>
    <n v="26396.666666666668"/>
    <n v="57600"/>
    <n v="60490"/>
    <n v="0.23614092688470767"/>
  </r>
  <r>
    <x v="2"/>
    <s v="Toronto"/>
    <s v="University of Toronto"/>
    <s v="Computer Science"/>
    <x v="1"/>
    <n v="4"/>
    <n v="45200"/>
    <n v="73.5"/>
    <n v="1800"/>
    <n v="235"/>
    <n v="600"/>
    <n v="1.35"/>
    <n v="134235"/>
    <n v="33558.75"/>
    <n v="86400"/>
    <n v="89035"/>
    <n v="0.33672291131225091"/>
  </r>
  <r>
    <x v="2"/>
    <s v="Toronto"/>
    <s v="University of Toronto"/>
    <s v="Computer Science"/>
    <x v="0"/>
    <n v="2"/>
    <n v="28500"/>
    <n v="73.5"/>
    <n v="1800"/>
    <n v="235"/>
    <n v="600"/>
    <n v="1.35"/>
    <n v="73135"/>
    <n v="36567.5"/>
    <n v="43200"/>
    <n v="44635"/>
    <n v="0.38969029876256239"/>
  </r>
  <r>
    <x v="2"/>
    <s v="Vancouver"/>
    <s v="University of British Columbia"/>
    <s v="Computer Science"/>
    <x v="1"/>
    <n v="4"/>
    <n v="43800"/>
    <n v="71.2"/>
    <n v="1900"/>
    <n v="235"/>
    <n v="600"/>
    <n v="1.35"/>
    <n v="137635"/>
    <n v="34408.75"/>
    <n v="91200"/>
    <n v="93835"/>
    <n v="0.31823300759254552"/>
  </r>
  <r>
    <x v="2"/>
    <s v="Vancouver"/>
    <s v="University of British Columbia"/>
    <s v="Computer Science"/>
    <x v="0"/>
    <n v="2"/>
    <n v="27900"/>
    <n v="71.2"/>
    <n v="1900"/>
    <n v="235"/>
    <n v="600"/>
    <n v="1.35"/>
    <n v="74935"/>
    <n v="37467.5"/>
    <n v="45600"/>
    <n v="47035"/>
    <n v="0.37232267965570159"/>
  </r>
  <r>
    <x v="2"/>
    <s v="Montreal"/>
    <s v="McGill University"/>
    <s v="Computer Science"/>
    <x v="1"/>
    <n v="4"/>
    <n v="41500"/>
    <n v="65.8"/>
    <n v="1500"/>
    <n v="235"/>
    <n v="600"/>
    <n v="1.35"/>
    <n v="116135"/>
    <n v="29033.75"/>
    <n v="72000"/>
    <n v="74635"/>
    <n v="0.35734274766435614"/>
  </r>
  <r>
    <x v="2"/>
    <s v="Montreal"/>
    <s v="McGill University"/>
    <s v="Computer Science"/>
    <x v="0"/>
    <n v="2"/>
    <n v="26800"/>
    <n v="65.8"/>
    <n v="1500"/>
    <n v="235"/>
    <n v="600"/>
    <n v="1.35"/>
    <n v="64235"/>
    <n v="32117.5"/>
    <n v="36000"/>
    <n v="37435"/>
    <n v="0.4172180275550712"/>
  </r>
  <r>
    <x v="2"/>
    <s v="Waterloo"/>
    <s v="University of Waterloo"/>
    <s v="Computer Science"/>
    <x v="1"/>
    <n v="4"/>
    <n v="40900"/>
    <n v="62.4"/>
    <n v="1300"/>
    <n v="235"/>
    <n v="600"/>
    <n v="1.35"/>
    <n v="105935"/>
    <n v="26483.75"/>
    <n v="62400"/>
    <n v="65035"/>
    <n v="0.38608580733468634"/>
  </r>
  <r>
    <x v="2"/>
    <s v="Waterloo"/>
    <s v="University of Waterloo"/>
    <s v="Computer Science"/>
    <x v="0"/>
    <n v="2"/>
    <n v="26200"/>
    <n v="62.4"/>
    <n v="1300"/>
    <n v="235"/>
    <n v="600"/>
    <n v="1.35"/>
    <n v="58835"/>
    <n v="29417.5"/>
    <n v="31200"/>
    <n v="32635"/>
    <n v="0.44531316393303305"/>
  </r>
  <r>
    <x v="2"/>
    <s v="Montreal"/>
    <s v="University of Montreal"/>
    <s v="Computer Science"/>
    <x v="1"/>
    <n v="4"/>
    <n v="39500"/>
    <n v="65.8"/>
    <n v="1400"/>
    <n v="235"/>
    <n v="600"/>
    <n v="1.35"/>
    <n v="109335"/>
    <n v="27333.75"/>
    <n v="67200"/>
    <n v="69835"/>
    <n v="0.36127498056432067"/>
  </r>
  <r>
    <x v="2"/>
    <s v="Montreal"/>
    <s v="University of Montreal"/>
    <s v="Computer Science"/>
    <x v="0"/>
    <n v="2"/>
    <n v="25800"/>
    <n v="65.8"/>
    <n v="1400"/>
    <n v="235"/>
    <n v="600"/>
    <n v="1.35"/>
    <n v="60835"/>
    <n v="30417.5"/>
    <n v="33600"/>
    <n v="35035"/>
    <n v="0.42409796991863236"/>
  </r>
  <r>
    <x v="2"/>
    <s v="Edmonton"/>
    <s v="University of Alberta"/>
    <s v="Computer Science"/>
    <x v="1"/>
    <n v="4"/>
    <n v="38200"/>
    <n v="61.9"/>
    <n v="1200"/>
    <n v="235"/>
    <n v="600"/>
    <n v="1.35"/>
    <n v="98435"/>
    <n v="24608.75"/>
    <n v="57600"/>
    <n v="60235"/>
    <n v="0.38807334789454973"/>
  </r>
  <r>
    <x v="2"/>
    <s v="Edmonton"/>
    <s v="University of Alberta"/>
    <s v="Computer Science"/>
    <x v="0"/>
    <n v="2"/>
    <n v="24900"/>
    <n v="61.9"/>
    <n v="1200"/>
    <n v="235"/>
    <n v="600"/>
    <n v="1.35"/>
    <n v="55135"/>
    <n v="27567.5"/>
    <n v="28800"/>
    <n v="30235"/>
    <n v="0.45161875396753426"/>
  </r>
  <r>
    <x v="2"/>
    <s v="Ottawa"/>
    <s v="University of Ottawa"/>
    <s v="Computer Science"/>
    <x v="1"/>
    <n v="4"/>
    <n v="37800"/>
    <n v="63.5"/>
    <n v="1400"/>
    <n v="235"/>
    <n v="600"/>
    <n v="1.35"/>
    <n v="107635"/>
    <n v="26908.75"/>
    <n v="67200"/>
    <n v="69835"/>
    <n v="0.35118688159056072"/>
  </r>
  <r>
    <x v="2"/>
    <s v="Ottawa"/>
    <s v="University of Ottawa"/>
    <s v="Computer Science"/>
    <x v="0"/>
    <n v="2"/>
    <n v="24500"/>
    <n v="63.5"/>
    <n v="1400"/>
    <n v="235"/>
    <n v="600"/>
    <n v="1.35"/>
    <n v="59535"/>
    <n v="29767.5"/>
    <n v="33600"/>
    <n v="35035"/>
    <n v="0.41152263374485598"/>
  </r>
  <r>
    <x v="2"/>
    <s v="Calgary"/>
    <s v="University of Calgary"/>
    <s v="Computer Science"/>
    <x v="1"/>
    <n v="4"/>
    <n v="37200"/>
    <n v="62.8"/>
    <n v="1300"/>
    <n v="235"/>
    <n v="600"/>
    <n v="1.35"/>
    <n v="102235"/>
    <n v="25558.75"/>
    <n v="62400"/>
    <n v="65035"/>
    <n v="0.36386756003325671"/>
  </r>
  <r>
    <x v="2"/>
    <s v="Calgary"/>
    <s v="University of Calgary"/>
    <s v="Computer Science"/>
    <x v="0"/>
    <n v="2"/>
    <n v="24100"/>
    <n v="62.8"/>
    <n v="1300"/>
    <n v="235"/>
    <n v="600"/>
    <n v="1.35"/>
    <n v="56735"/>
    <n v="28367.5"/>
    <n v="31200"/>
    <n v="32635"/>
    <n v="0.42478188067330575"/>
  </r>
  <r>
    <x v="2"/>
    <s v="Hamilton"/>
    <s v="McMaster University"/>
    <s v="Computer Science"/>
    <x v="1"/>
    <n v="4"/>
    <n v="36500"/>
    <n v="64.2"/>
    <n v="1250"/>
    <n v="235"/>
    <n v="600"/>
    <n v="1.35"/>
    <n v="99135"/>
    <n v="24783.75"/>
    <n v="60000"/>
    <n v="62635"/>
    <n v="0.3681847985070863"/>
  </r>
  <r>
    <x v="2"/>
    <s v="Hamilton"/>
    <s v="McMaster University"/>
    <s v="Computer Science"/>
    <x v="0"/>
    <n v="2"/>
    <n v="23800"/>
    <n v="64.2"/>
    <n v="1250"/>
    <n v="235"/>
    <n v="600"/>
    <n v="1.35"/>
    <n v="55235"/>
    <n v="27617.5"/>
    <n v="30000"/>
    <n v="31435"/>
    <n v="0.43088621345161582"/>
  </r>
  <r>
    <x v="2"/>
    <s v="London"/>
    <s v="Western University"/>
    <s v="Computer Science"/>
    <x v="1"/>
    <n v="4"/>
    <n v="35900"/>
    <n v="61.5"/>
    <n v="1200"/>
    <n v="235"/>
    <n v="600"/>
    <n v="1.35"/>
    <n v="96135"/>
    <n v="24033.75"/>
    <n v="57600"/>
    <n v="60235"/>
    <n v="0.37343319290580956"/>
  </r>
  <r>
    <x v="2"/>
    <s v="London"/>
    <s v="Western University"/>
    <s v="Computer Science"/>
    <x v="0"/>
    <n v="2"/>
    <n v="23500"/>
    <n v="61.5"/>
    <n v="1200"/>
    <n v="235"/>
    <n v="600"/>
    <n v="1.35"/>
    <n v="53735"/>
    <n v="26867.5"/>
    <n v="28800"/>
    <n v="30235"/>
    <n v="0.43733134828324183"/>
  </r>
  <r>
    <x v="2"/>
    <s v="Kingston"/>
    <s v="Queen's University"/>
    <s v="Computer Science"/>
    <x v="1"/>
    <n v="4"/>
    <n v="35400"/>
    <n v="62.1"/>
    <n v="1300"/>
    <n v="235"/>
    <n v="600"/>
    <n v="1.35"/>
    <n v="100435"/>
    <n v="25108.75"/>
    <n v="62400"/>
    <n v="65035"/>
    <n v="0.35246676955244688"/>
  </r>
  <r>
    <x v="2"/>
    <s v="Kingston"/>
    <s v="Queen's University"/>
    <s v="Computer Science"/>
    <x v="0"/>
    <n v="2"/>
    <n v="23200"/>
    <n v="62.1"/>
    <n v="1300"/>
    <n v="235"/>
    <n v="600"/>
    <n v="1.35"/>
    <n v="55835"/>
    <n v="27917.5"/>
    <n v="31200"/>
    <n v="32635"/>
    <n v="0.41550998477657386"/>
  </r>
  <r>
    <x v="2"/>
    <s v="Victoria"/>
    <s v="University of Victoria"/>
    <s v="Computer Science"/>
    <x v="1"/>
    <n v="4"/>
    <n v="34800"/>
    <n v="64.8"/>
    <n v="1400"/>
    <n v="235"/>
    <n v="600"/>
    <n v="1.35"/>
    <n v="104635"/>
    <n v="26158.75"/>
    <n v="67200"/>
    <n v="69835"/>
    <n v="0.33258469919243083"/>
  </r>
  <r>
    <x v="2"/>
    <s v="Victoria"/>
    <s v="University of Victoria"/>
    <s v="Computer Science"/>
    <x v="0"/>
    <n v="2"/>
    <n v="22900"/>
    <n v="64.8"/>
    <n v="1400"/>
    <n v="235"/>
    <n v="600"/>
    <n v="1.35"/>
    <n v="57935"/>
    <n v="28967.5"/>
    <n v="33600"/>
    <n v="35035"/>
    <n v="0.39527056183654097"/>
  </r>
  <r>
    <x v="2"/>
    <s v="Halifax"/>
    <s v="Dalhousie University"/>
    <s v="Computer Science"/>
    <x v="1"/>
    <n v="4"/>
    <n v="34200"/>
    <n v="61.2"/>
    <n v="1200"/>
    <n v="235"/>
    <n v="600"/>
    <n v="1.35"/>
    <n v="94435"/>
    <n v="23608.75"/>
    <n v="57600"/>
    <n v="60235"/>
    <n v="0.36215386244506803"/>
  </r>
  <r>
    <x v="2"/>
    <s v="Halifax"/>
    <s v="Dalhousie University"/>
    <s v="Computer Science"/>
    <x v="0"/>
    <n v="2"/>
    <n v="22600"/>
    <n v="61.2"/>
    <n v="1200"/>
    <n v="235"/>
    <n v="600"/>
    <n v="1.35"/>
    <n v="52835"/>
    <n v="26417.5"/>
    <n v="28800"/>
    <n v="30235"/>
    <n v="0.42774675877732565"/>
  </r>
  <r>
    <x v="2"/>
    <s v="Winnipeg"/>
    <s v="University of Manitoba"/>
    <s v="Computer Science"/>
    <x v="1"/>
    <n v="4"/>
    <n v="33600"/>
    <n v="59.8"/>
    <n v="1100"/>
    <n v="235"/>
    <n v="600"/>
    <n v="1.35"/>
    <n v="89035"/>
    <n v="22258.75"/>
    <n v="52800"/>
    <n v="55435"/>
    <n v="0.37737968214747009"/>
  </r>
  <r>
    <x v="2"/>
    <s v="Winnipeg"/>
    <s v="University of Manitoba"/>
    <s v="Computer Science"/>
    <x v="0"/>
    <n v="2"/>
    <n v="22300"/>
    <n v="59.8"/>
    <n v="1100"/>
    <n v="235"/>
    <n v="600"/>
    <n v="1.35"/>
    <n v="50135"/>
    <n v="25067.5"/>
    <n v="26400"/>
    <n v="27835"/>
    <n v="0.44479904258502045"/>
  </r>
  <r>
    <x v="2"/>
    <s v="Quebec City"/>
    <s v="Laval University"/>
    <s v="Computer Science"/>
    <x v="1"/>
    <n v="4"/>
    <n v="33000"/>
    <n v="58.5"/>
    <n v="1000"/>
    <n v="235"/>
    <n v="600"/>
    <n v="1.35"/>
    <n v="83635"/>
    <n v="20908.75"/>
    <n v="48000"/>
    <n v="50635"/>
    <n v="0.39457165062473842"/>
  </r>
  <r>
    <x v="2"/>
    <s v="Quebec City"/>
    <s v="Laval University"/>
    <s v="Computer Science"/>
    <x v="0"/>
    <n v="2"/>
    <n v="22000"/>
    <n v="58.5"/>
    <n v="1000"/>
    <n v="235"/>
    <n v="600"/>
    <n v="1.35"/>
    <n v="47435"/>
    <n v="23717.5"/>
    <n v="24000"/>
    <n v="25435"/>
    <n v="0.4637925582375883"/>
  </r>
  <r>
    <x v="2"/>
    <s v="Saskatoon"/>
    <s v="University of Saskatchewan"/>
    <s v="Computer Science"/>
    <x v="1"/>
    <n v="4"/>
    <n v="32400"/>
    <n v="58.2"/>
    <n v="950"/>
    <n v="235"/>
    <n v="600"/>
    <n v="1.35"/>
    <n v="80635"/>
    <n v="20158.75"/>
    <n v="45600"/>
    <n v="48235"/>
    <n v="0.40181062813914553"/>
  </r>
  <r>
    <x v="2"/>
    <s v="Saskatoon"/>
    <s v="University of Saskatchewan"/>
    <s v="Computer Science"/>
    <x v="0"/>
    <n v="2"/>
    <n v="21700"/>
    <n v="58.2"/>
    <n v="950"/>
    <n v="235"/>
    <n v="600"/>
    <n v="1.35"/>
    <n v="45935"/>
    <n v="22967.5"/>
    <n v="22800"/>
    <n v="24235"/>
    <n v="0.47240666158702516"/>
  </r>
  <r>
    <x v="2"/>
    <s v="St. John's"/>
    <s v="Memorial University"/>
    <s v="Computer Science"/>
    <x v="1"/>
    <n v="4"/>
    <n v="31800"/>
    <n v="57.9"/>
    <n v="900"/>
    <n v="235"/>
    <n v="600"/>
    <n v="1.35"/>
    <n v="77635"/>
    <n v="19408.75"/>
    <n v="43200"/>
    <n v="45835"/>
    <n v="0.40960906807496616"/>
  </r>
  <r>
    <x v="2"/>
    <s v="St. John's"/>
    <s v="Memorial University"/>
    <s v="Computer Science"/>
    <x v="0"/>
    <n v="2"/>
    <n v="21400"/>
    <n v="57.9"/>
    <n v="900"/>
    <n v="235"/>
    <n v="600"/>
    <n v="1.35"/>
    <n v="44435"/>
    <n v="22217.5"/>
    <n v="21600"/>
    <n v="23035"/>
    <n v="0.48160234049735567"/>
  </r>
  <r>
    <x v="2"/>
    <s v="Regina"/>
    <s v="University of Regina"/>
    <s v="Computer Science"/>
    <x v="1"/>
    <n v="4"/>
    <n v="31200"/>
    <n v="57.5"/>
    <n v="900"/>
    <n v="235"/>
    <n v="600"/>
    <n v="1.35"/>
    <n v="77035"/>
    <n v="19258.75"/>
    <n v="43200"/>
    <n v="45835"/>
    <n v="0.4050107094177971"/>
  </r>
  <r>
    <x v="2"/>
    <s v="Regina"/>
    <s v="University of Regina"/>
    <s v="Computer Science"/>
    <x v="0"/>
    <n v="2"/>
    <n v="21100"/>
    <n v="57.5"/>
    <n v="900"/>
    <n v="235"/>
    <n v="600"/>
    <n v="1.35"/>
    <n v="44135"/>
    <n v="22067.5"/>
    <n v="21600"/>
    <n v="23035"/>
    <n v="0.47807862240851934"/>
  </r>
  <r>
    <x v="2"/>
    <s v="Sherbrooke"/>
    <s v="University of Sherbrooke"/>
    <s v="Computer Science"/>
    <x v="1"/>
    <n v="4"/>
    <n v="30600"/>
    <n v="56.8"/>
    <n v="850"/>
    <n v="235"/>
    <n v="600"/>
    <n v="1.35"/>
    <n v="74035"/>
    <n v="18508.75"/>
    <n v="40800"/>
    <n v="43435"/>
    <n v="0.41331802525832378"/>
  </r>
  <r>
    <x v="2"/>
    <s v="Sherbrooke"/>
    <s v="University of Sherbrooke"/>
    <s v="Computer Science"/>
    <x v="0"/>
    <n v="2"/>
    <n v="20800"/>
    <n v="56.8"/>
    <n v="850"/>
    <n v="235"/>
    <n v="600"/>
    <n v="1.35"/>
    <n v="42635"/>
    <n v="21317.5"/>
    <n v="20400"/>
    <n v="21835"/>
    <n v="0.48786208514131579"/>
  </r>
  <r>
    <x v="2"/>
    <s v="Windsor"/>
    <s v="University of Windsor"/>
    <s v="Computer Science"/>
    <x v="1"/>
    <n v="4"/>
    <n v="30000"/>
    <n v="58.9"/>
    <n v="950"/>
    <n v="235"/>
    <n v="600"/>
    <n v="1.35"/>
    <n v="78235"/>
    <n v="19558.75"/>
    <n v="45600"/>
    <n v="48235"/>
    <n v="0.38346008819582028"/>
  </r>
  <r>
    <x v="2"/>
    <s v="Windsor"/>
    <s v="University of Windsor"/>
    <s v="Computer Science"/>
    <x v="0"/>
    <n v="2"/>
    <n v="20500"/>
    <n v="58.9"/>
    <n v="950"/>
    <n v="235"/>
    <n v="600"/>
    <n v="1.35"/>
    <n v="44735"/>
    <n v="22367.5"/>
    <n v="22800"/>
    <n v="24235"/>
    <n v="0.45825416340672853"/>
  </r>
  <r>
    <x v="2"/>
    <s v="Moncton"/>
    <s v="University of New Brunswick"/>
    <s v="Computer Science"/>
    <x v="1"/>
    <n v="4"/>
    <n v="29400"/>
    <n v="57.2"/>
    <n v="900"/>
    <n v="235"/>
    <n v="600"/>
    <n v="1.35"/>
    <n v="75235"/>
    <n v="18808.75"/>
    <n v="43200"/>
    <n v="45835"/>
    <n v="0.3907755698810394"/>
  </r>
  <r>
    <x v="2"/>
    <s v="Moncton"/>
    <s v="University of New Brunswick"/>
    <s v="Computer Science"/>
    <x v="0"/>
    <n v="2"/>
    <n v="20200"/>
    <n v="57.2"/>
    <n v="900"/>
    <n v="235"/>
    <n v="600"/>
    <n v="1.35"/>
    <n v="43235"/>
    <n v="21617.5"/>
    <n v="21600"/>
    <n v="23035"/>
    <n v="0.46721406268069848"/>
  </r>
  <r>
    <x v="2"/>
    <s v="Trois-Rivieres"/>
    <s v="UQTR"/>
    <s v="Computer Science"/>
    <x v="1"/>
    <n v="4"/>
    <n v="28800"/>
    <n v="56.5"/>
    <n v="850"/>
    <n v="235"/>
    <n v="600"/>
    <n v="1.35"/>
    <n v="72235"/>
    <n v="18058.75"/>
    <n v="40800"/>
    <n v="43435"/>
    <n v="0.39869869176991762"/>
  </r>
  <r>
    <x v="2"/>
    <s v="Trois-Rivieres"/>
    <s v="UQTR"/>
    <s v="Computer Science"/>
    <x v="0"/>
    <n v="2"/>
    <n v="19900"/>
    <n v="56.5"/>
    <n v="850"/>
    <n v="235"/>
    <n v="600"/>
    <n v="1.35"/>
    <n v="41735"/>
    <n v="20867.5"/>
    <n v="20400"/>
    <n v="21835"/>
    <n v="0.47681801844974242"/>
  </r>
  <r>
    <x v="2"/>
    <s v="Thunder Bay"/>
    <s v="Lakehead University"/>
    <s v="Computer Science"/>
    <x v="1"/>
    <n v="4"/>
    <n v="28200"/>
    <n v="56.2"/>
    <n v="800"/>
    <n v="235"/>
    <n v="600"/>
    <n v="1.35"/>
    <n v="69235"/>
    <n v="17308.75"/>
    <n v="38400"/>
    <n v="41035"/>
    <n v="0.4073084422618618"/>
  </r>
  <r>
    <x v="2"/>
    <s v="Thunder Bay"/>
    <s v="Lakehead University"/>
    <s v="Computer Science"/>
    <x v="0"/>
    <n v="2"/>
    <n v="19600"/>
    <n v="56.2"/>
    <n v="800"/>
    <n v="235"/>
    <n v="600"/>
    <n v="1.35"/>
    <n v="40235"/>
    <n v="20117.5"/>
    <n v="19200"/>
    <n v="20635"/>
    <n v="0.4871380638747359"/>
  </r>
  <r>
    <x v="2"/>
    <s v="Sudbury"/>
    <s v="Laurentian University"/>
    <s v="Computer Science"/>
    <x v="1"/>
    <n v="4"/>
    <n v="27600"/>
    <n v="55.8"/>
    <n v="800"/>
    <n v="235"/>
    <n v="600"/>
    <n v="1.35"/>
    <n v="68635"/>
    <n v="17158.75"/>
    <n v="38400"/>
    <n v="41035"/>
    <n v="0.40212719458002477"/>
  </r>
  <r>
    <x v="2"/>
    <s v="Sudbury"/>
    <s v="Laurentian University"/>
    <s v="Computer Science"/>
    <x v="0"/>
    <n v="2"/>
    <n v="19300"/>
    <n v="55.8"/>
    <n v="800"/>
    <n v="235"/>
    <n v="600"/>
    <n v="1.35"/>
    <n v="39935"/>
    <n v="19967.5"/>
    <n v="19200"/>
    <n v="20635"/>
    <n v="0.48328533867534745"/>
  </r>
  <r>
    <x v="2"/>
    <s v="Prince George"/>
    <s v="UNBC"/>
    <s v="Computer Science"/>
    <x v="1"/>
    <n v="4"/>
    <n v="27000"/>
    <n v="55.5"/>
    <n v="750"/>
    <n v="235"/>
    <n v="600"/>
    <n v="1.35"/>
    <n v="65635"/>
    <n v="16408.75"/>
    <n v="36000"/>
    <n v="38635"/>
    <n v="0.41136588710291766"/>
  </r>
  <r>
    <x v="2"/>
    <s v="Prince George"/>
    <s v="UNBC"/>
    <s v="Computer Science"/>
    <x v="0"/>
    <n v="2"/>
    <n v="19000"/>
    <n v="55.5"/>
    <n v="750"/>
    <n v="235"/>
    <n v="600"/>
    <n v="1.35"/>
    <n v="38435"/>
    <n v="19217.5"/>
    <n v="18000"/>
    <n v="19435"/>
    <n v="0.49434109535579551"/>
  </r>
  <r>
    <x v="3"/>
    <s v="Melbourne"/>
    <s v="University of Melbourne"/>
    <s v="Computer Science"/>
    <x v="1"/>
    <n v="3"/>
    <n v="42500"/>
    <n v="72.8"/>
    <n v="1800"/>
    <n v="450"/>
    <n v="650"/>
    <n v="1.52"/>
    <n v="109700"/>
    <n v="36566.666666666664"/>
    <n v="64800"/>
    <n v="67200"/>
    <n v="0.38742023701002737"/>
  </r>
  <r>
    <x v="3"/>
    <s v="Melbourne"/>
    <s v="University of Melbourne"/>
    <s v="Computer Science"/>
    <x v="0"/>
    <n v="2"/>
    <n v="45800"/>
    <n v="72.8"/>
    <n v="1800"/>
    <n v="450"/>
    <n v="650"/>
    <n v="1.52"/>
    <n v="90750"/>
    <n v="45375"/>
    <n v="43200"/>
    <n v="44950"/>
    <n v="0.50468319559228647"/>
  </r>
  <r>
    <x v="3"/>
    <s v="Melbourne"/>
    <s v="University of Melbourne"/>
    <s v="Computer Science"/>
    <x v="2"/>
    <n v="4"/>
    <n v="35000"/>
    <n v="72.8"/>
    <n v="1800"/>
    <n v="450"/>
    <n v="650"/>
    <n v="1.52"/>
    <n v="124450"/>
    <n v="31112.5"/>
    <n v="86400"/>
    <n v="89450"/>
    <n v="0.28123744475693052"/>
  </r>
  <r>
    <x v="3"/>
    <s v="Sydney"/>
    <s v="University of Sydney"/>
    <s v="Computer Science"/>
    <x v="1"/>
    <n v="3"/>
    <n v="41800"/>
    <n v="74.5"/>
    <n v="2000"/>
    <n v="450"/>
    <n v="650"/>
    <n v="1.52"/>
    <n v="116200"/>
    <n v="38733.333333333336"/>
    <n v="72000"/>
    <n v="74400"/>
    <n v="0.35972461273666095"/>
  </r>
  <r>
    <x v="3"/>
    <s v="Sydney"/>
    <s v="University of Sydney"/>
    <s v="Computer Science"/>
    <x v="0"/>
    <n v="2"/>
    <n v="44900"/>
    <n v="74.5"/>
    <n v="2000"/>
    <n v="450"/>
    <n v="650"/>
    <n v="1.52"/>
    <n v="94650"/>
    <n v="47325"/>
    <n v="48000"/>
    <n v="49750"/>
    <n v="0.47437929212889596"/>
  </r>
  <r>
    <x v="3"/>
    <s v="Sydney"/>
    <s v="University of Sydney"/>
    <s v="Computer Science"/>
    <x v="2"/>
    <n v="4"/>
    <n v="34500"/>
    <n v="74.5"/>
    <n v="2000"/>
    <n v="450"/>
    <n v="650"/>
    <n v="1.52"/>
    <n v="133550"/>
    <n v="33387.5"/>
    <n v="96000"/>
    <n v="99050"/>
    <n v="0.25833021340321977"/>
  </r>
  <r>
    <x v="3"/>
    <s v="Canberra"/>
    <s v="Australian National University"/>
    <s v="Computer Science"/>
    <x v="1"/>
    <n v="3"/>
    <n v="41200"/>
    <n v="68.900000000000006"/>
    <n v="1600"/>
    <n v="450"/>
    <n v="650"/>
    <n v="1.52"/>
    <n v="101200"/>
    <n v="33733.333333333336"/>
    <n v="57600"/>
    <n v="60000"/>
    <n v="0.40711462450592883"/>
  </r>
  <r>
    <x v="3"/>
    <s v="Canberra"/>
    <s v="Australian National University"/>
    <s v="Computer Science"/>
    <x v="0"/>
    <n v="2"/>
    <n v="44200"/>
    <n v="68.900000000000006"/>
    <n v="1600"/>
    <n v="450"/>
    <n v="650"/>
    <n v="1.52"/>
    <n v="84350"/>
    <n v="42175"/>
    <n v="38400"/>
    <n v="40150"/>
    <n v="0.5240071132187315"/>
  </r>
  <r>
    <x v="3"/>
    <s v="Canberra"/>
    <s v="Australian National University"/>
    <s v="Computer Science"/>
    <x v="2"/>
    <n v="4"/>
    <n v="34000"/>
    <n v="68.900000000000006"/>
    <n v="1600"/>
    <n v="450"/>
    <n v="650"/>
    <n v="1.52"/>
    <n v="113850"/>
    <n v="28462.5"/>
    <n v="76800"/>
    <n v="79850"/>
    <n v="0.29863855950812473"/>
  </r>
  <r>
    <x v="3"/>
    <s v="Brisbane"/>
    <s v="University of Queensland"/>
    <s v="Computer Science"/>
    <x v="1"/>
    <n v="3"/>
    <n v="40500"/>
    <n v="69.2"/>
    <n v="1500"/>
    <n v="450"/>
    <n v="650"/>
    <n v="1.52"/>
    <n v="96900"/>
    <n v="32300"/>
    <n v="54000"/>
    <n v="56400"/>
    <n v="0.41795665634674922"/>
  </r>
  <r>
    <x v="3"/>
    <s v="Brisbane"/>
    <s v="University of Queensland"/>
    <s v="Computer Science"/>
    <x v="0"/>
    <n v="2"/>
    <n v="43500"/>
    <n v="69.2"/>
    <n v="1500"/>
    <n v="450"/>
    <n v="650"/>
    <n v="1.52"/>
    <n v="81250"/>
    <n v="40625"/>
    <n v="36000"/>
    <n v="37750"/>
    <n v="0.53538461538461535"/>
  </r>
  <r>
    <x v="3"/>
    <s v="Brisbane"/>
    <s v="University of Queensland"/>
    <s v="Computer Science"/>
    <x v="2"/>
    <n v="4"/>
    <n v="33500"/>
    <n v="69.2"/>
    <n v="1500"/>
    <n v="450"/>
    <n v="650"/>
    <n v="1.52"/>
    <n v="108550"/>
    <n v="27137.5"/>
    <n v="72000"/>
    <n v="75050"/>
    <n v="0.30861354214647629"/>
  </r>
  <r>
    <x v="3"/>
    <s v="Sydney"/>
    <s v="University of New South Wales"/>
    <s v="Computer Science"/>
    <x v="1"/>
    <n v="3"/>
    <n v="40200"/>
    <n v="74.5"/>
    <n v="1900"/>
    <n v="450"/>
    <n v="650"/>
    <n v="1.52"/>
    <n v="111000"/>
    <n v="37000"/>
    <n v="68400"/>
    <n v="70800"/>
    <n v="0.36216216216216218"/>
  </r>
  <r>
    <x v="3"/>
    <s v="Sydney"/>
    <s v="University of New South Wales"/>
    <s v="Computer Science"/>
    <x v="0"/>
    <n v="2"/>
    <n v="43200"/>
    <n v="74.5"/>
    <n v="1900"/>
    <n v="450"/>
    <n v="650"/>
    <n v="1.52"/>
    <n v="90550"/>
    <n v="45275"/>
    <n v="45600"/>
    <n v="47350"/>
    <n v="0.47708448371065709"/>
  </r>
  <r>
    <x v="3"/>
    <s v="Sydney"/>
    <s v="University of New South Wales"/>
    <s v="Computer Science"/>
    <x v="2"/>
    <n v="4"/>
    <n v="33200"/>
    <n v="74.5"/>
    <n v="1900"/>
    <n v="450"/>
    <n v="650"/>
    <n v="1.52"/>
    <n v="127450"/>
    <n v="31862.5"/>
    <n v="91200"/>
    <n v="94250"/>
    <n v="0.26049431149470381"/>
  </r>
  <r>
    <x v="3"/>
    <s v="Melbourne"/>
    <s v="Monash University"/>
    <s v="Computer Science"/>
    <x v="1"/>
    <n v="3"/>
    <n v="39800"/>
    <n v="72.8"/>
    <n v="1700"/>
    <n v="450"/>
    <n v="650"/>
    <n v="1.52"/>
    <n v="103400"/>
    <n v="34466.666666666664"/>
    <n v="61200"/>
    <n v="63600"/>
    <n v="0.38491295938104447"/>
  </r>
  <r>
    <x v="3"/>
    <s v="Melbourne"/>
    <s v="Monash University"/>
    <s v="Computer Science"/>
    <x v="0"/>
    <n v="2"/>
    <n v="42800"/>
    <n v="72.8"/>
    <n v="1700"/>
    <n v="450"/>
    <n v="650"/>
    <n v="1.52"/>
    <n v="85350"/>
    <n v="42675"/>
    <n v="40800"/>
    <n v="42550"/>
    <n v="0.50146455770357357"/>
  </r>
  <r>
    <x v="3"/>
    <s v="Melbourne"/>
    <s v="Monash University"/>
    <s v="Computer Science"/>
    <x v="2"/>
    <n v="4"/>
    <n v="32800"/>
    <n v="72.8"/>
    <n v="1700"/>
    <n v="450"/>
    <n v="650"/>
    <n v="1.52"/>
    <n v="117450"/>
    <n v="29362.5"/>
    <n v="81600"/>
    <n v="84650"/>
    <n v="0.27926777352064708"/>
  </r>
  <r>
    <x v="3"/>
    <s v="Adelaide"/>
    <s v="University of Adelaide"/>
    <s v="Computer Science"/>
    <x v="1"/>
    <n v="3"/>
    <n v="39200"/>
    <n v="67.5"/>
    <n v="1400"/>
    <n v="450"/>
    <n v="650"/>
    <n v="1.52"/>
    <n v="92000"/>
    <n v="30666.666666666668"/>
    <n v="50400"/>
    <n v="52800"/>
    <n v="0.42608695652173911"/>
  </r>
  <r>
    <x v="3"/>
    <s v="Adelaide"/>
    <s v="University of Adelaide"/>
    <s v="Computer Science"/>
    <x v="0"/>
    <n v="2"/>
    <n v="42200"/>
    <n v="67.5"/>
    <n v="1400"/>
    <n v="450"/>
    <n v="650"/>
    <n v="1.52"/>
    <n v="77550"/>
    <n v="38775"/>
    <n v="33600"/>
    <n v="35350"/>
    <n v="0.54416505480335264"/>
  </r>
  <r>
    <x v="3"/>
    <s v="Adelaide"/>
    <s v="University of Adelaide"/>
    <s v="Computer Science"/>
    <x v="2"/>
    <n v="4"/>
    <n v="32200"/>
    <n v="67.5"/>
    <n v="1400"/>
    <n v="450"/>
    <n v="650"/>
    <n v="1.52"/>
    <n v="102450"/>
    <n v="25612.5"/>
    <n v="67200"/>
    <n v="70250"/>
    <n v="0.31429965836993656"/>
  </r>
  <r>
    <x v="3"/>
    <s v="Perth"/>
    <s v="University of Western Australia"/>
    <s v="Computer Science"/>
    <x v="1"/>
    <n v="3"/>
    <n v="38800"/>
    <n v="68.2"/>
    <n v="1500"/>
    <n v="450"/>
    <n v="650"/>
    <n v="1.52"/>
    <n v="95200"/>
    <n v="31733.333333333332"/>
    <n v="54000"/>
    <n v="56400"/>
    <n v="0.40756302521008403"/>
  </r>
  <r>
    <x v="3"/>
    <s v="Perth"/>
    <s v="University of Western Australia"/>
    <s v="Computer Science"/>
    <x v="0"/>
    <n v="2"/>
    <n v="41800"/>
    <n v="68.2"/>
    <n v="1500"/>
    <n v="450"/>
    <n v="650"/>
    <n v="1.52"/>
    <n v="79550"/>
    <n v="39775"/>
    <n v="36000"/>
    <n v="37750"/>
    <n v="0.52545568824638589"/>
  </r>
  <r>
    <x v="3"/>
    <s v="Perth"/>
    <s v="University of Western Australia"/>
    <s v="Computer Science"/>
    <x v="2"/>
    <n v="4"/>
    <n v="31800"/>
    <n v="68.2"/>
    <n v="1500"/>
    <n v="450"/>
    <n v="650"/>
    <n v="1.52"/>
    <n v="106850"/>
    <n v="26712.5"/>
    <n v="72000"/>
    <n v="75050"/>
    <n v="0.29761347683668693"/>
  </r>
  <r>
    <x v="3"/>
    <s v="Brisbane"/>
    <s v="Queensland University of Technology"/>
    <s v="Computer Science"/>
    <x v="1"/>
    <n v="3"/>
    <n v="38200"/>
    <n v="69.2"/>
    <n v="1400"/>
    <n v="450"/>
    <n v="650"/>
    <n v="1.52"/>
    <n v="91000"/>
    <n v="30333.333333333332"/>
    <n v="50400"/>
    <n v="52800"/>
    <n v="0.41978021978021979"/>
  </r>
  <r>
    <x v="3"/>
    <s v="Brisbane"/>
    <s v="Queensland University of Technology"/>
    <s v="Computer Science"/>
    <x v="0"/>
    <n v="2"/>
    <n v="41200"/>
    <n v="69.2"/>
    <n v="1400"/>
    <n v="450"/>
    <n v="650"/>
    <n v="1.52"/>
    <n v="76550"/>
    <n v="38275"/>
    <n v="33600"/>
    <n v="35350"/>
    <n v="0.53821032005225344"/>
  </r>
  <r>
    <x v="3"/>
    <s v="Brisbane"/>
    <s v="Queensland University of Technology"/>
    <s v="Computer Science"/>
    <x v="2"/>
    <n v="4"/>
    <n v="31200"/>
    <n v="69.2"/>
    <n v="1400"/>
    <n v="450"/>
    <n v="650"/>
    <n v="1.52"/>
    <n v="101450"/>
    <n v="25362.5"/>
    <n v="67200"/>
    <n v="70250"/>
    <n v="0.30754066042385414"/>
  </r>
  <r>
    <x v="3"/>
    <s v="Sydney"/>
    <s v="University of Technology Sydney"/>
    <s v="Computer Science"/>
    <x v="1"/>
    <n v="3"/>
    <n v="37800"/>
    <n v="74.5"/>
    <n v="1800"/>
    <n v="450"/>
    <n v="650"/>
    <n v="1.52"/>
    <n v="105000"/>
    <n v="35000"/>
    <n v="64800"/>
    <n v="67200"/>
    <n v="0.36"/>
  </r>
  <r>
    <x v="3"/>
    <s v="Sydney"/>
    <s v="University of Technology Sydney"/>
    <s v="Computer Science"/>
    <x v="0"/>
    <n v="2"/>
    <n v="40800"/>
    <n v="74.5"/>
    <n v="1800"/>
    <n v="450"/>
    <n v="650"/>
    <n v="1.52"/>
    <n v="85750"/>
    <n v="42875"/>
    <n v="43200"/>
    <n v="44950"/>
    <n v="0.47580174927113705"/>
  </r>
  <r>
    <x v="3"/>
    <s v="Sydney"/>
    <s v="University of Technology Sydney"/>
    <s v="Computer Science"/>
    <x v="2"/>
    <n v="4"/>
    <n v="30800"/>
    <n v="74.5"/>
    <n v="1800"/>
    <n v="450"/>
    <n v="650"/>
    <n v="1.52"/>
    <n v="120250"/>
    <n v="30062.5"/>
    <n v="86400"/>
    <n v="89450"/>
    <n v="0.25613305613305615"/>
  </r>
  <r>
    <x v="3"/>
    <s v="Melbourne"/>
    <s v="RMIT University"/>
    <s v="Computer Science"/>
    <x v="1"/>
    <n v="3"/>
    <n v="37200"/>
    <n v="72.8"/>
    <n v="1600"/>
    <n v="450"/>
    <n v="650"/>
    <n v="1.52"/>
    <n v="97200"/>
    <n v="32400"/>
    <n v="57600"/>
    <n v="60000"/>
    <n v="0.38271604938271603"/>
  </r>
  <r>
    <x v="3"/>
    <s v="Melbourne"/>
    <s v="RMIT University"/>
    <s v="Computer Science"/>
    <x v="0"/>
    <n v="2"/>
    <n v="40200"/>
    <n v="72.8"/>
    <n v="1600"/>
    <n v="450"/>
    <n v="650"/>
    <n v="1.52"/>
    <n v="80350"/>
    <n v="40175"/>
    <n v="38400"/>
    <n v="40150"/>
    <n v="0.50031113876789046"/>
  </r>
  <r>
    <x v="3"/>
    <s v="Melbourne"/>
    <s v="RMIT University"/>
    <s v="Computer Science"/>
    <x v="2"/>
    <n v="4"/>
    <n v="30200"/>
    <n v="72.8"/>
    <n v="1600"/>
    <n v="450"/>
    <n v="650"/>
    <n v="1.52"/>
    <n v="110050"/>
    <n v="27512.5"/>
    <n v="76800"/>
    <n v="79850"/>
    <n v="0.27442071785552019"/>
  </r>
  <r>
    <x v="3"/>
    <s v="Wollongong"/>
    <s v="University of Wollongong"/>
    <s v="Computer Science"/>
    <x v="1"/>
    <n v="3"/>
    <n v="36800"/>
    <n v="65.8"/>
    <n v="1300"/>
    <n v="450"/>
    <n v="650"/>
    <n v="1.52"/>
    <n v="86000"/>
    <n v="28666.666666666668"/>
    <n v="46800"/>
    <n v="49200"/>
    <n v="0.42790697674418604"/>
  </r>
  <r>
    <x v="3"/>
    <s v="Wollongong"/>
    <s v="University of Wollongong"/>
    <s v="Computer Science"/>
    <x v="0"/>
    <n v="2"/>
    <n v="39800"/>
    <n v="65.8"/>
    <n v="1300"/>
    <n v="450"/>
    <n v="650"/>
    <n v="1.52"/>
    <n v="72750"/>
    <n v="36375"/>
    <n v="31200"/>
    <n v="32950"/>
    <n v="0.54707903780068734"/>
  </r>
  <r>
    <x v="3"/>
    <s v="Wollongong"/>
    <s v="University of Wollongong"/>
    <s v="Computer Science"/>
    <x v="2"/>
    <n v="4"/>
    <n v="29800"/>
    <n v="65.8"/>
    <n v="1300"/>
    <n v="450"/>
    <n v="650"/>
    <n v="1.52"/>
    <n v="95250"/>
    <n v="23812.5"/>
    <n v="62400"/>
    <n v="65450"/>
    <n v="0.31286089238845144"/>
  </r>
  <r>
    <x v="3"/>
    <s v="Newcastle"/>
    <s v="University of Newcastle"/>
    <s v="Computer Science"/>
    <x v="1"/>
    <n v="3"/>
    <n v="36200"/>
    <n v="66.2"/>
    <n v="1300"/>
    <n v="450"/>
    <n v="650"/>
    <n v="1.52"/>
    <n v="85400"/>
    <n v="28466.666666666668"/>
    <n v="46800"/>
    <n v="49200"/>
    <n v="0.42388758782201408"/>
  </r>
  <r>
    <x v="3"/>
    <s v="Newcastle"/>
    <s v="University of Newcastle"/>
    <s v="Computer Science"/>
    <x v="0"/>
    <n v="2"/>
    <n v="39200"/>
    <n v="66.2"/>
    <n v="1300"/>
    <n v="450"/>
    <n v="650"/>
    <n v="1.52"/>
    <n v="72150"/>
    <n v="36075"/>
    <n v="31200"/>
    <n v="32950"/>
    <n v="0.54331254331254331"/>
  </r>
  <r>
    <x v="3"/>
    <s v="Newcastle"/>
    <s v="University of Newcastle"/>
    <s v="Computer Science"/>
    <x v="2"/>
    <n v="4"/>
    <n v="29200"/>
    <n v="66.2"/>
    <n v="1300"/>
    <n v="450"/>
    <n v="650"/>
    <n v="1.52"/>
    <n v="94650"/>
    <n v="23662.5"/>
    <n v="62400"/>
    <n v="65450"/>
    <n v="0.30850501848917061"/>
  </r>
  <r>
    <x v="3"/>
    <s v="Hobart"/>
    <s v="University of Tasmania"/>
    <s v="Computer Science"/>
    <x v="1"/>
    <n v="3"/>
    <n v="35800"/>
    <n v="64.5"/>
    <n v="1200"/>
    <n v="450"/>
    <n v="650"/>
    <n v="1.52"/>
    <n v="81400"/>
    <n v="27133.333333333332"/>
    <n v="43200"/>
    <n v="45600"/>
    <n v="0.43980343980343978"/>
  </r>
  <r>
    <x v="3"/>
    <s v="Hobart"/>
    <s v="University of Tasmania"/>
    <s v="Computer Science"/>
    <x v="0"/>
    <n v="2"/>
    <n v="38800"/>
    <n v="64.5"/>
    <n v="1200"/>
    <n v="450"/>
    <n v="650"/>
    <n v="1.52"/>
    <n v="69350"/>
    <n v="34675"/>
    <n v="28800"/>
    <n v="30550"/>
    <n v="0.55948089401586154"/>
  </r>
  <r>
    <x v="3"/>
    <s v="Hobart"/>
    <s v="University of Tasmania"/>
    <s v="Computer Science"/>
    <x v="2"/>
    <n v="4"/>
    <n v="28800"/>
    <n v="64.5"/>
    <n v="1200"/>
    <n v="450"/>
    <n v="650"/>
    <n v="1.52"/>
    <n v="89450"/>
    <n v="22362.5"/>
    <n v="57600"/>
    <n v="60650"/>
    <n v="0.3219675796534377"/>
  </r>
  <r>
    <x v="3"/>
    <s v="Gold Coast"/>
    <s v="Griffith University"/>
    <s v="Computer Science"/>
    <x v="1"/>
    <n v="3"/>
    <n v="35200"/>
    <n v="68.5"/>
    <n v="1400"/>
    <n v="450"/>
    <n v="650"/>
    <n v="1.52"/>
    <n v="88000"/>
    <n v="29333.333333333332"/>
    <n v="50400"/>
    <n v="52800"/>
    <n v="0.4"/>
  </r>
  <r>
    <x v="3"/>
    <s v="Gold Coast"/>
    <s v="Griffith University"/>
    <s v="Computer Science"/>
    <x v="0"/>
    <n v="2"/>
    <n v="38200"/>
    <n v="68.5"/>
    <n v="1400"/>
    <n v="450"/>
    <n v="650"/>
    <n v="1.52"/>
    <n v="73550"/>
    <n v="36775"/>
    <n v="33600"/>
    <n v="35350"/>
    <n v="0.51937457511896667"/>
  </r>
  <r>
    <x v="3"/>
    <s v="Gold Coast"/>
    <s v="Griffith University"/>
    <s v="Computer Science"/>
    <x v="2"/>
    <n v="4"/>
    <n v="28200"/>
    <n v="68.5"/>
    <n v="1400"/>
    <n v="450"/>
    <n v="650"/>
    <n v="1.52"/>
    <n v="98450"/>
    <n v="24612.5"/>
    <n v="67200"/>
    <n v="70250"/>
    <n v="0.28643981716607414"/>
  </r>
  <r>
    <x v="3"/>
    <s v="Canberra"/>
    <s v="University of Canberra"/>
    <s v="Computer Science"/>
    <x v="1"/>
    <n v="3"/>
    <n v="34800"/>
    <n v="68.900000000000006"/>
    <n v="1500"/>
    <n v="450"/>
    <n v="650"/>
    <n v="1.52"/>
    <n v="91200"/>
    <n v="30400"/>
    <n v="54000"/>
    <n v="56400"/>
    <n v="0.38157894736842107"/>
  </r>
  <r>
    <x v="3"/>
    <s v="Canberra"/>
    <s v="University of Canberra"/>
    <s v="Computer Science"/>
    <x v="0"/>
    <n v="2"/>
    <n v="37800"/>
    <n v="68.900000000000006"/>
    <n v="1500"/>
    <n v="450"/>
    <n v="650"/>
    <n v="1.52"/>
    <n v="75550"/>
    <n v="37775"/>
    <n v="36000"/>
    <n v="37750"/>
    <n v="0.50033090668431501"/>
  </r>
  <r>
    <x v="3"/>
    <s v="Canberra"/>
    <s v="University of Canberra"/>
    <s v="Computer Science"/>
    <x v="2"/>
    <n v="4"/>
    <n v="27800"/>
    <n v="68.900000000000006"/>
    <n v="1500"/>
    <n v="450"/>
    <n v="650"/>
    <n v="1.52"/>
    <n v="102850"/>
    <n v="25712.5"/>
    <n v="72000"/>
    <n v="75050"/>
    <n v="0.2702965483714147"/>
  </r>
  <r>
    <x v="3"/>
    <s v="Townsville"/>
    <s v="James Cook University"/>
    <s v="Computer Science"/>
    <x v="1"/>
    <n v="3"/>
    <n v="34200"/>
    <n v="65.2"/>
    <n v="1200"/>
    <n v="450"/>
    <n v="650"/>
    <n v="1.52"/>
    <n v="79800"/>
    <n v="26600"/>
    <n v="43200"/>
    <n v="45600"/>
    <n v="0.42857142857142855"/>
  </r>
  <r>
    <x v="3"/>
    <s v="Townsville"/>
    <s v="James Cook University"/>
    <s v="Computer Science"/>
    <x v="0"/>
    <n v="2"/>
    <n v="37200"/>
    <n v="65.2"/>
    <n v="1200"/>
    <n v="450"/>
    <n v="650"/>
    <n v="1.52"/>
    <n v="67750"/>
    <n v="33875"/>
    <n v="28800"/>
    <n v="30550"/>
    <n v="0.54907749077490775"/>
  </r>
  <r>
    <x v="3"/>
    <s v="Townsville"/>
    <s v="James Cook University"/>
    <s v="Computer Science"/>
    <x v="2"/>
    <n v="4"/>
    <n v="27200"/>
    <n v="65.2"/>
    <n v="1200"/>
    <n v="450"/>
    <n v="650"/>
    <n v="1.52"/>
    <n v="87850"/>
    <n v="21962.5"/>
    <n v="57600"/>
    <n v="60650"/>
    <n v="0.30961866818440525"/>
  </r>
  <r>
    <x v="3"/>
    <s v="Armidale"/>
    <s v="University of New England"/>
    <s v="Computer Science"/>
    <x v="1"/>
    <n v="3"/>
    <n v="33800"/>
    <n v="63.8"/>
    <n v="1100"/>
    <n v="450"/>
    <n v="650"/>
    <n v="1.52"/>
    <n v="75800"/>
    <n v="25266.666666666668"/>
    <n v="39600"/>
    <n v="42000"/>
    <n v="0.44591029023746703"/>
  </r>
  <r>
    <x v="3"/>
    <s v="Armidale"/>
    <s v="University of New England"/>
    <s v="Computer Science"/>
    <x v="0"/>
    <n v="2"/>
    <n v="36800"/>
    <n v="63.8"/>
    <n v="1100"/>
    <n v="450"/>
    <n v="650"/>
    <n v="1.52"/>
    <n v="64950"/>
    <n v="32475"/>
    <n v="26400"/>
    <n v="28150"/>
    <n v="0.56658968437259427"/>
  </r>
  <r>
    <x v="3"/>
    <s v="Armidale"/>
    <s v="University of New England"/>
    <s v="Computer Science"/>
    <x v="2"/>
    <n v="4"/>
    <n v="26800"/>
    <n v="63.8"/>
    <n v="1100"/>
    <n v="450"/>
    <n v="650"/>
    <n v="1.52"/>
    <n v="82650"/>
    <n v="20662.5"/>
    <n v="52800"/>
    <n v="55850"/>
    <n v="0.32425892316999394"/>
  </r>
  <r>
    <x v="3"/>
    <s v="Toowoomba"/>
    <s v="University of Southern Queensland"/>
    <s v="Computer Science"/>
    <x v="1"/>
    <n v="3"/>
    <n v="33200"/>
    <n v="64.2"/>
    <n v="1100"/>
    <n v="450"/>
    <n v="650"/>
    <n v="1.52"/>
    <n v="75200"/>
    <n v="25066.666666666668"/>
    <n v="39600"/>
    <n v="42000"/>
    <n v="0.44148936170212766"/>
  </r>
  <r>
    <x v="3"/>
    <s v="Toowoomba"/>
    <s v="University of Southern Queensland"/>
    <s v="Computer Science"/>
    <x v="0"/>
    <n v="2"/>
    <n v="36200"/>
    <n v="64.2"/>
    <n v="1100"/>
    <n v="450"/>
    <n v="650"/>
    <n v="1.52"/>
    <n v="64350"/>
    <n v="32175"/>
    <n v="26400"/>
    <n v="28150"/>
    <n v="0.56254856254856256"/>
  </r>
  <r>
    <x v="3"/>
    <s v="Toowoomba"/>
    <s v="University of Southern Queensland"/>
    <s v="Computer Science"/>
    <x v="2"/>
    <n v="4"/>
    <n v="26200"/>
    <n v="64.2"/>
    <n v="1100"/>
    <n v="450"/>
    <n v="650"/>
    <n v="1.52"/>
    <n v="82050"/>
    <n v="20512.5"/>
    <n v="52800"/>
    <n v="55850"/>
    <n v="0.31931748933577087"/>
  </r>
  <r>
    <x v="3"/>
    <s v="Ballarat"/>
    <s v="Federation University"/>
    <s v="Computer Science"/>
    <x v="1"/>
    <n v="3"/>
    <n v="32800"/>
    <n v="63.5"/>
    <n v="1000"/>
    <n v="450"/>
    <n v="650"/>
    <n v="1.52"/>
    <n v="71200"/>
    <n v="23733.333333333332"/>
    <n v="36000"/>
    <n v="38400"/>
    <n v="0.4606741573033708"/>
  </r>
  <r>
    <x v="3"/>
    <s v="Ballarat"/>
    <s v="Federation University"/>
    <s v="Computer Science"/>
    <x v="0"/>
    <n v="2"/>
    <n v="35800"/>
    <n v="63.5"/>
    <n v="1000"/>
    <n v="450"/>
    <n v="650"/>
    <n v="1.52"/>
    <n v="61550"/>
    <n v="30775"/>
    <n v="24000"/>
    <n v="25750"/>
    <n v="0.58164094232331442"/>
  </r>
  <r>
    <x v="3"/>
    <s v="Ballarat"/>
    <s v="Federation University"/>
    <s v="Computer Science"/>
    <x v="2"/>
    <n v="4"/>
    <n v="25800"/>
    <n v="63.5"/>
    <n v="1000"/>
    <n v="450"/>
    <n v="650"/>
    <n v="1.52"/>
    <n v="76850"/>
    <n v="19212.5"/>
    <n v="48000"/>
    <n v="51050"/>
    <n v="0.33571893298633704"/>
  </r>
  <r>
    <x v="3"/>
    <s v="Lismore"/>
    <s v="Southern Cross University"/>
    <s v="Computer Science"/>
    <x v="1"/>
    <n v="3"/>
    <n v="32200"/>
    <n v="63.2"/>
    <n v="1000"/>
    <n v="450"/>
    <n v="650"/>
    <n v="1.52"/>
    <n v="70600"/>
    <n v="23533.333333333332"/>
    <n v="36000"/>
    <n v="38400"/>
    <n v="0.45609065155807366"/>
  </r>
  <r>
    <x v="3"/>
    <s v="Lismore"/>
    <s v="Southern Cross University"/>
    <s v="Computer Science"/>
    <x v="0"/>
    <n v="2"/>
    <n v="35200"/>
    <n v="63.2"/>
    <n v="1000"/>
    <n v="450"/>
    <n v="650"/>
    <n v="1.52"/>
    <n v="60950"/>
    <n v="30475"/>
    <n v="24000"/>
    <n v="25750"/>
    <n v="0.57752255947497955"/>
  </r>
  <r>
    <x v="3"/>
    <s v="Lismore"/>
    <s v="Southern Cross University"/>
    <s v="Computer Science"/>
    <x v="2"/>
    <n v="4"/>
    <n v="25200"/>
    <n v="63.2"/>
    <n v="1000"/>
    <n v="450"/>
    <n v="650"/>
    <n v="1.52"/>
    <n v="76250"/>
    <n v="19062.5"/>
    <n v="48000"/>
    <n v="51050"/>
    <n v="0.33049180327868855"/>
  </r>
  <r>
    <x v="0"/>
    <s v="Boston"/>
    <s v="MIT"/>
    <s v="Computer Science"/>
    <x v="0"/>
    <n v="2"/>
    <n v="58000"/>
    <n v="82.1"/>
    <n v="2100"/>
    <n v="160"/>
    <n v="1500"/>
    <n v="1"/>
    <n v="111560"/>
    <n v="55780"/>
    <n v="50400"/>
    <n v="53560"/>
    <n v="0.51989960559340265"/>
  </r>
  <r>
    <x v="1"/>
    <s v="London"/>
    <s v="Imperial College London"/>
    <s v="Data Science"/>
    <x v="0"/>
    <n v="1"/>
    <n v="42000"/>
    <n v="75.3"/>
    <n v="1800"/>
    <n v="485"/>
    <n v="800"/>
    <n v="0.79"/>
    <n v="64885"/>
    <n v="64885"/>
    <n v="21600"/>
    <n v="22885"/>
    <n v="0.647299067581105"/>
  </r>
  <r>
    <x v="4"/>
    <s v="Munich"/>
    <s v="TU Munich"/>
    <s v="Mechanical Engineering"/>
    <x v="0"/>
    <n v="2"/>
    <n v="0"/>
    <n v="71.5"/>
    <n v="1200"/>
    <n v="110"/>
    <n v="900"/>
    <n v="0.92"/>
    <n v="30710"/>
    <n v="15355"/>
    <n v="28800"/>
    <n v="30710"/>
    <n v="0"/>
  </r>
  <r>
    <x v="2"/>
    <s v="Toronto"/>
    <s v="University of Toronto"/>
    <s v="Business Analytics"/>
    <x v="0"/>
    <n v="2"/>
    <n v="45000"/>
    <n v="73.8"/>
    <n v="1700"/>
    <n v="235"/>
    <n v="750"/>
    <n v="1.35"/>
    <n v="87535"/>
    <n v="43767.5"/>
    <n v="40800"/>
    <n v="42535"/>
    <n v="0.51408008225281321"/>
  </r>
  <r>
    <x v="3"/>
    <s v="Melbourne"/>
    <s v="University of Melbourne"/>
    <s v="Artificial Intelligence"/>
    <x v="2"/>
    <n v="4"/>
    <n v="29000"/>
    <n v="72.400000000000006"/>
    <n v="1500"/>
    <n v="450"/>
    <n v="650"/>
    <n v="1.52"/>
    <n v="104050"/>
    <n v="26012.5"/>
    <n v="72000"/>
    <n v="75050"/>
    <n v="0.27871215761653051"/>
  </r>
  <r>
    <x v="0"/>
    <s v="Stanford"/>
    <s v="Stanford University"/>
    <s v="Physics"/>
    <x v="2"/>
    <n v="5"/>
    <n v="52000"/>
    <n v="84.3"/>
    <n v="2300"/>
    <n v="160"/>
    <n v="1500"/>
    <n v="1"/>
    <n v="197660"/>
    <n v="39532"/>
    <n v="138000"/>
    <n v="145660"/>
    <n v="0.26307801274916526"/>
  </r>
  <r>
    <x v="1"/>
    <s v="Edinburgh"/>
    <s v="University of Edinburgh"/>
    <s v="Chemistry"/>
    <x v="0"/>
    <n v="2"/>
    <n v="38000"/>
    <n v="67.8"/>
    <n v="1100"/>
    <n v="485"/>
    <n v="800"/>
    <n v="0.79"/>
    <n v="66485"/>
    <n v="33242.5"/>
    <n v="26400"/>
    <n v="28485"/>
    <n v="0.57155749417161761"/>
  </r>
  <r>
    <x v="4"/>
    <s v="Berlin"/>
    <s v="Humboldt University"/>
    <s v="Computer Science"/>
    <x v="1"/>
    <n v="3"/>
    <n v="0"/>
    <n v="68.900000000000006"/>
    <n v="950"/>
    <n v="110"/>
    <n v="900"/>
    <n v="0.92"/>
    <n v="37010"/>
    <n v="12336.666666666666"/>
    <n v="34200"/>
    <n v="37010"/>
    <n v="0"/>
  </r>
  <r>
    <x v="2"/>
    <s v="Vancouver"/>
    <s v="University of British Columbia"/>
    <s v="Environmental Science"/>
    <x v="0"/>
    <n v="2"/>
    <n v="42000"/>
    <n v="71.2"/>
    <n v="1600"/>
    <n v="235"/>
    <n v="750"/>
    <n v="1.35"/>
    <n v="82135"/>
    <n v="41067.5"/>
    <n v="38400"/>
    <n v="40135"/>
    <n v="0.51135325987703173"/>
  </r>
  <r>
    <x v="3"/>
    <s v="Sydney"/>
    <s v="University of Sydney"/>
    <s v="Biotechnology"/>
    <x v="2"/>
    <n v="4"/>
    <n v="31000"/>
    <n v="75.599999999999994"/>
    <n v="1700"/>
    <n v="450"/>
    <n v="650"/>
    <n v="1.52"/>
    <n v="115650"/>
    <n v="28912.5"/>
    <n v="81600"/>
    <n v="84650"/>
    <n v="0.2680501513186338"/>
  </r>
  <r>
    <x v="0"/>
    <s v="Berkeley"/>
    <s v="UC Berkeley"/>
    <s v="Mathematics"/>
    <x v="0"/>
    <n v="2"/>
    <n v="54000"/>
    <n v="83.2"/>
    <n v="2000"/>
    <n v="160"/>
    <n v="1500"/>
    <n v="1"/>
    <n v="105160"/>
    <n v="52580"/>
    <n v="48000"/>
    <n v="51160"/>
    <n v="0.5135032331685051"/>
  </r>
  <r>
    <x v="1"/>
    <s v="Manchester"/>
    <s v="University of Manchester"/>
    <s v="Engineering"/>
    <x v="1"/>
    <n v="3"/>
    <n v="35000"/>
    <n v="65.400000000000006"/>
    <n v="900"/>
    <n v="485"/>
    <n v="800"/>
    <n v="0.79"/>
    <n v="70285"/>
    <n v="23428.333333333332"/>
    <n v="32400"/>
    <n v="35285"/>
    <n v="0.49797254037134525"/>
  </r>
  <r>
    <x v="4"/>
    <s v="Hamburg"/>
    <s v="University of Hamburg"/>
    <s v="Physics"/>
    <x v="0"/>
    <n v="2"/>
    <n v="0"/>
    <n v="69.8"/>
    <n v="1100"/>
    <n v="110"/>
    <n v="900"/>
    <n v="0.92"/>
    <n v="28310"/>
    <n v="14155"/>
    <n v="26400"/>
    <n v="28310"/>
    <n v="0"/>
  </r>
  <r>
    <x v="2"/>
    <s v="Montreal"/>
    <s v="McGill University"/>
    <s v="Computer Science"/>
    <x v="2"/>
    <n v="4"/>
    <n v="38000"/>
    <n v="68.900000000000006"/>
    <n v="1400"/>
    <n v="235"/>
    <n v="750"/>
    <n v="1.35"/>
    <n v="108435"/>
    <n v="27108.75"/>
    <n v="67200"/>
    <n v="70435"/>
    <n v="0.35044035597362477"/>
  </r>
  <r>
    <x v="3"/>
    <s v="Brisbane"/>
    <s v="University of Queensland"/>
    <s v="Data Science"/>
    <x v="0"/>
    <n v="2"/>
    <n v="32000"/>
    <n v="68.7"/>
    <n v="1200"/>
    <n v="450"/>
    <n v="650"/>
    <n v="1.52"/>
    <n v="62550"/>
    <n v="31275"/>
    <n v="28800"/>
    <n v="30550"/>
    <n v="0.51159072741806555"/>
  </r>
  <r>
    <x v="0"/>
    <s v="New York"/>
    <s v="Columbia University"/>
    <s v="Economics"/>
    <x v="0"/>
    <n v="2"/>
    <n v="62000"/>
    <n v="100"/>
    <n v="2500"/>
    <n v="160"/>
    <n v="1500"/>
    <n v="1"/>
    <n v="125160"/>
    <n v="62580"/>
    <n v="60000"/>
    <n v="63160"/>
    <n v="0.49536593160754233"/>
  </r>
  <r>
    <x v="1"/>
    <s v="Oxford"/>
    <s v="University of Oxford"/>
    <s v="Computer Science"/>
    <x v="2"/>
    <n v="4"/>
    <n v="40000"/>
    <n v="71.5"/>
    <n v="1400"/>
    <n v="485"/>
    <n v="800"/>
    <n v="0.79"/>
    <n v="110885"/>
    <n v="27721.25"/>
    <n v="67200"/>
    <n v="70885"/>
    <n v="0.36073409388104793"/>
  </r>
  <r>
    <x v="4"/>
    <s v="Dresden"/>
    <s v="TU Dresden"/>
    <s v="Mechanical Engineering"/>
    <x v="1"/>
    <n v="3"/>
    <n v="0"/>
    <n v="65.400000000000006"/>
    <n v="800"/>
    <n v="110"/>
    <n v="900"/>
    <n v="0.92"/>
    <n v="31610"/>
    <n v="10536.666666666666"/>
    <n v="28800"/>
    <n v="31610"/>
    <n v="0"/>
  </r>
  <r>
    <x v="2"/>
    <s v="Ottawa"/>
    <s v="University of Ottawa"/>
    <s v="Artificial Intelligence"/>
    <x v="0"/>
    <n v="2"/>
    <n v="40000"/>
    <n v="67.8"/>
    <n v="1300"/>
    <n v="235"/>
    <n v="750"/>
    <n v="1.35"/>
    <n v="72935"/>
    <n v="36467.5"/>
    <n v="31200"/>
    <n v="32935"/>
    <n v="0.54843353671076989"/>
  </r>
  <r>
    <x v="3"/>
    <s v="Perth"/>
    <s v="University of Western Australia"/>
    <s v="Physics"/>
    <x v="0"/>
    <n v="2"/>
    <n v="30000"/>
    <n v="67.2"/>
    <n v="1100"/>
    <n v="450"/>
    <n v="650"/>
    <n v="1.52"/>
    <n v="58150"/>
    <n v="29075"/>
    <n v="26400"/>
    <n v="28150"/>
    <n v="0.51590713671539123"/>
  </r>
  <r>
    <x v="0"/>
    <s v="Atlanta"/>
    <s v="Georgia Tech"/>
    <s v="Engineering"/>
    <x v="2"/>
    <n v="5"/>
    <n v="48000"/>
    <n v="71.2"/>
    <n v="1700"/>
    <n v="160"/>
    <n v="1500"/>
    <n v="1"/>
    <n v="157660"/>
    <n v="31532"/>
    <n v="102000"/>
    <n v="109660"/>
    <n v="0.30445261956108083"/>
  </r>
  <r>
    <x v="1"/>
    <s v="Bristol"/>
    <s v="University of Bristol"/>
    <s v="Data Science"/>
    <x v="0"/>
    <n v="2"/>
    <n v="36000"/>
    <n v="68.900000000000006"/>
    <n v="1200"/>
    <n v="485"/>
    <n v="800"/>
    <n v="0.79"/>
    <n v="66885"/>
    <n v="33442.5"/>
    <n v="28800"/>
    <n v="30885"/>
    <n v="0.53823727293115053"/>
  </r>
  <r>
    <x v="4"/>
    <s v="Frankfurt"/>
    <s v="Goethe University"/>
    <s v="Computer Science"/>
    <x v="0"/>
    <n v="2"/>
    <n v="0"/>
    <n v="72.3"/>
    <n v="1300"/>
    <n v="110"/>
    <n v="900"/>
    <n v="0.92"/>
    <n v="33110"/>
    <n v="16555"/>
    <n v="31200"/>
    <n v="33110"/>
    <n v="0"/>
  </r>
  <r>
    <x v="2"/>
    <s v="Calgary"/>
    <s v="University of Calgary"/>
    <s v="Mathematics"/>
    <x v="1"/>
    <n v="4"/>
    <n v="35000"/>
    <n v="65.400000000000006"/>
    <n v="1200"/>
    <n v="235"/>
    <n v="750"/>
    <n v="1.35"/>
    <n v="95835"/>
    <n v="23958.75"/>
    <n v="57600"/>
    <n v="60835"/>
    <n v="0.36521103980800335"/>
  </r>
  <r>
    <x v="3"/>
    <s v="Adelaide"/>
    <s v="University of Adelaide"/>
    <s v="Chemistry"/>
    <x v="2"/>
    <n v="4"/>
    <n v="28000"/>
    <n v="64.5"/>
    <n v="1000"/>
    <n v="450"/>
    <n v="650"/>
    <n v="1.52"/>
    <n v="79050"/>
    <n v="19762.5"/>
    <n v="48000"/>
    <n v="51050"/>
    <n v="0.35420619860847563"/>
  </r>
  <r>
    <x v="0"/>
    <s v="Los Angeles"/>
    <s v="UCLA"/>
    <s v="Computer Science"/>
    <x v="0"/>
    <n v="2"/>
    <n v="52000"/>
    <n v="79.8"/>
    <n v="2200"/>
    <n v="160"/>
    <n v="1500"/>
    <n v="1"/>
    <n v="107960"/>
    <n v="53980"/>
    <n v="52800"/>
    <n v="55960"/>
    <n v="0.48165987402741756"/>
  </r>
  <r>
    <x v="1"/>
    <s v="Glasgow"/>
    <s v="University of Glasgow"/>
    <s v="Physics"/>
    <x v="1"/>
    <n v="3"/>
    <n v="34000"/>
    <n v="64.5"/>
    <n v="950"/>
    <n v="485"/>
    <n v="800"/>
    <n v="0.79"/>
    <n v="71085"/>
    <n v="23695"/>
    <n v="34200"/>
    <n v="37085"/>
    <n v="0.47830062601111345"/>
  </r>
  <r>
    <x v="4"/>
    <s v="Stuttgart"/>
    <s v="University of Stuttgart"/>
    <s v="Engineering"/>
    <x v="0"/>
    <n v="2"/>
    <n v="0"/>
    <n v="68.7"/>
    <n v="1100"/>
    <n v="110"/>
    <n v="900"/>
    <n v="0.92"/>
    <n v="28310"/>
    <n v="14155"/>
    <n v="26400"/>
    <n v="28310"/>
    <n v="0"/>
  </r>
  <r>
    <x v="2"/>
    <s v="Edmonton"/>
    <s v="University of Alberta"/>
    <s v="Data Science"/>
    <x v="0"/>
    <n v="2"/>
    <n v="37000"/>
    <n v="64.3"/>
    <n v="1100"/>
    <n v="235"/>
    <n v="750"/>
    <n v="1.35"/>
    <n v="65135"/>
    <n v="32567.5"/>
    <n v="26400"/>
    <n v="28135"/>
    <n v="0.56805097106010594"/>
  </r>
  <r>
    <x v="3"/>
    <s v="Canberra"/>
    <s v="Australian National University"/>
    <s v="Computer Science"/>
    <x v="2"/>
    <n v="4"/>
    <n v="33000"/>
    <n v="69.8"/>
    <n v="1300"/>
    <n v="450"/>
    <n v="650"/>
    <n v="1.52"/>
    <n v="98450"/>
    <n v="24612.5"/>
    <n v="62400"/>
    <n v="65450"/>
    <n v="0.33519553072625696"/>
  </r>
  <r>
    <x v="0"/>
    <s v="Austin"/>
    <s v="UT Austin"/>
    <s v="Mathematics"/>
    <x v="0"/>
    <n v="2"/>
    <n v="45000"/>
    <n v="68.900000000000006"/>
    <n v="1600"/>
    <n v="160"/>
    <n v="1500"/>
    <n v="1"/>
    <n v="86560"/>
    <n v="43280"/>
    <n v="38400"/>
    <n v="41560"/>
    <n v="0.51987060998151569"/>
  </r>
  <r>
    <x v="1"/>
    <s v="Leeds"/>
    <s v="University of Leeds"/>
    <s v="Chemistry"/>
    <x v="2"/>
    <n v="4"/>
    <n v="35000"/>
    <n v="63.2"/>
    <n v="900"/>
    <n v="485"/>
    <n v="800"/>
    <n v="0.79"/>
    <n v="81885"/>
    <n v="20471.25"/>
    <n v="43200"/>
    <n v="46885"/>
    <n v="0.42742871099713015"/>
  </r>
  <r>
    <x v="4"/>
    <s v="Heidelberg"/>
    <s v="Heidelberg University"/>
    <s v="Physics"/>
    <x v="1"/>
    <n v="3"/>
    <n v="0"/>
    <n v="67.8"/>
    <n v="1000"/>
    <n v="110"/>
    <n v="900"/>
    <n v="0.92"/>
    <n v="38810"/>
    <n v="12936.666666666666"/>
    <n v="36000"/>
    <n v="38810"/>
    <n v="0"/>
  </r>
  <r>
    <x v="2"/>
    <s v="Halifax"/>
    <s v="Dalhousie University"/>
    <s v="Engineering"/>
    <x v="0"/>
    <n v="2"/>
    <n v="36000"/>
    <n v="63.4"/>
    <n v="1000"/>
    <n v="235"/>
    <n v="750"/>
    <n v="1.35"/>
    <n v="61735"/>
    <n v="30867.5"/>
    <n v="24000"/>
    <n v="25735"/>
    <n v="0.58313760427634243"/>
  </r>
  <r>
    <x v="3"/>
    <s v="Gold Coast"/>
    <s v="Griffith University"/>
    <s v="Data Science"/>
    <x v="0"/>
    <n v="2"/>
    <n v="29000"/>
    <n v="65.400000000000006"/>
    <n v="1100"/>
    <n v="450"/>
    <n v="650"/>
    <n v="1.52"/>
    <n v="57150"/>
    <n v="28575"/>
    <n v="26400"/>
    <n v="28150"/>
    <n v="0.50743657042869639"/>
  </r>
  <r>
    <x v="0"/>
    <s v="Seattle"/>
    <s v="University of Washington"/>
    <s v="Computer Science"/>
    <x v="2"/>
    <n v="5"/>
    <n v="50000"/>
    <n v="77.8"/>
    <n v="2000"/>
    <n v="160"/>
    <n v="1500"/>
    <n v="1"/>
    <n v="177660"/>
    <n v="35532"/>
    <n v="120000"/>
    <n v="127660"/>
    <n v="0.2814364516492176"/>
  </r>
  <r>
    <x v="1"/>
    <s v="Sheffield"/>
    <s v="University of Sheffield"/>
    <s v="Engineering"/>
    <x v="0"/>
    <n v="2"/>
    <n v="33000"/>
    <n v="62.3"/>
    <n v="850"/>
    <n v="485"/>
    <n v="800"/>
    <n v="0.79"/>
    <n v="55485"/>
    <n v="27742.5"/>
    <n v="20400"/>
    <n v="22485"/>
    <n v="0.59475533928088675"/>
  </r>
  <r>
    <x v="4"/>
    <s v="Cologne"/>
    <s v="University of Cologne"/>
    <s v="Mathematics"/>
    <x v="0"/>
    <n v="2"/>
    <n v="0"/>
    <n v="69.8"/>
    <n v="1200"/>
    <n v="110"/>
    <n v="900"/>
    <n v="0.92"/>
    <n v="30710"/>
    <n v="15355"/>
    <n v="28800"/>
    <n v="30710"/>
    <n v="0"/>
  </r>
  <r>
    <x v="2"/>
    <s v="Quebec City"/>
    <s v="Laval University"/>
    <s v="Physics"/>
    <x v="1"/>
    <n v="3"/>
    <n v="34000"/>
    <n v="62.1"/>
    <n v="900"/>
    <n v="235"/>
    <n v="750"/>
    <n v="1.35"/>
    <n v="68885"/>
    <n v="22961.666666666668"/>
    <n v="32400"/>
    <n v="34885"/>
    <n v="0.49357625027219276"/>
  </r>
  <r>
    <x v="3"/>
    <s v="Newcastle"/>
    <s v="University of Newcastle"/>
    <s v="Chemistry"/>
    <x v="0"/>
    <n v="2"/>
    <n v="27000"/>
    <n v="63.2"/>
    <n v="950"/>
    <n v="450"/>
    <n v="650"/>
    <n v="1.52"/>
    <n v="51550"/>
    <n v="25775"/>
    <n v="22800"/>
    <n v="24550"/>
    <n v="0.52376333656644036"/>
  </r>
  <r>
    <x v="0"/>
    <s v="Pittsburgh"/>
    <s v="Carnegie Mellon"/>
    <s v="Data Science"/>
    <x v="0"/>
    <n v="2"/>
    <n v="56000"/>
    <n v="65.400000000000006"/>
    <n v="1500"/>
    <n v="160"/>
    <n v="1500"/>
    <n v="1"/>
    <n v="95160"/>
    <n v="47580"/>
    <n v="36000"/>
    <n v="39160"/>
    <n v="0.58848255569567043"/>
  </r>
  <r>
    <x v="1"/>
    <s v="Nottingham"/>
    <s v="University of Nottingham"/>
    <s v="Computer Science"/>
    <x v="2"/>
    <n v="4"/>
    <n v="34000"/>
    <n v="61.2"/>
    <n v="800"/>
    <n v="485"/>
    <n v="800"/>
    <n v="0.79"/>
    <n v="76085"/>
    <n v="19021.25"/>
    <n v="38400"/>
    <n v="42085"/>
    <n v="0.44686863376486824"/>
  </r>
  <r>
    <x v="4"/>
    <s v="Bonn"/>
    <s v="University of Bonn"/>
    <s v="Engineering"/>
    <x v="0"/>
    <n v="2"/>
    <n v="0"/>
    <n v="67.8"/>
    <n v="1100"/>
    <n v="110"/>
    <n v="900"/>
    <n v="0.92"/>
    <n v="28310"/>
    <n v="14155"/>
    <n v="26400"/>
    <n v="28310"/>
    <n v="0"/>
  </r>
  <r>
    <x v="2"/>
    <s v="Victoria"/>
    <s v="University of Victoria"/>
    <s v="Mathematics"/>
    <x v="0"/>
    <n v="2"/>
    <n v="35000"/>
    <n v="64.5"/>
    <n v="1100"/>
    <n v="235"/>
    <n v="750"/>
    <n v="1.35"/>
    <n v="63135"/>
    <n v="31567.5"/>
    <n v="26400"/>
    <n v="28135"/>
    <n v="0.55436762493070402"/>
  </r>
  <r>
    <x v="3"/>
    <s v="Hobart"/>
    <s v="University of Tasmania"/>
    <s v="Physics"/>
    <x v="1"/>
    <n v="3"/>
    <n v="26000"/>
    <n v="62.1"/>
    <n v="900"/>
    <n v="450"/>
    <n v="650"/>
    <n v="1.52"/>
    <n v="60800"/>
    <n v="20266.666666666668"/>
    <n v="32400"/>
    <n v="34800"/>
    <n v="0.42763157894736842"/>
  </r>
  <r>
    <x v="0"/>
    <s v="San Diego"/>
    <s v="UC San Diego"/>
    <s v="Chemistry"/>
    <x v="2"/>
    <n v="5"/>
    <n v="49000"/>
    <n v="75.599999999999994"/>
    <n v="1900"/>
    <n v="160"/>
    <n v="1500"/>
    <n v="1"/>
    <n v="170660"/>
    <n v="34132"/>
    <n v="114000"/>
    <n v="121660"/>
    <n v="0.28712059064807222"/>
  </r>
  <r>
    <x v="1"/>
    <s v="Durham"/>
    <s v="Durham University"/>
    <s v="Engineering"/>
    <x v="0"/>
    <n v="2"/>
    <n v="35000"/>
    <n v="63.4"/>
    <n v="900"/>
    <n v="485"/>
    <n v="800"/>
    <n v="0.79"/>
    <n v="58685"/>
    <n v="29342.5"/>
    <n v="21600"/>
    <n v="23685"/>
    <n v="0.59640453267444837"/>
  </r>
  <r>
    <x v="4"/>
    <s v="Aachen"/>
    <s v="RWTH Aachen"/>
    <s v="Computer Science"/>
    <x v="1"/>
    <n v="3"/>
    <n v="0"/>
    <n v="68.900000000000006"/>
    <n v="1000"/>
    <n v="110"/>
    <n v="900"/>
    <n v="0.92"/>
    <n v="38810"/>
    <n v="12936.666666666666"/>
    <n v="36000"/>
    <n v="38810"/>
    <n v="0"/>
  </r>
  <r>
    <x v="2"/>
    <s v="Winnipeg"/>
    <s v="University of Manitoba"/>
    <s v="Data Science"/>
    <x v="0"/>
    <n v="2"/>
    <n v="33000"/>
    <n v="61.2"/>
    <n v="900"/>
    <n v="235"/>
    <n v="750"/>
    <n v="1.35"/>
    <n v="56335"/>
    <n v="28167.5"/>
    <n v="21600"/>
    <n v="23335"/>
    <n v="0.58578148575485933"/>
  </r>
  <r>
    <x v="3"/>
    <s v="Wollongong"/>
    <s v="University of Wollongong"/>
    <s v="Mathematics"/>
    <x v="2"/>
    <n v="4"/>
    <n v="28000"/>
    <n v="63.4"/>
    <n v="950"/>
    <n v="450"/>
    <n v="650"/>
    <n v="1.52"/>
    <n v="76650"/>
    <n v="19162.5"/>
    <n v="45600"/>
    <n v="48650"/>
    <n v="0.36529680365296802"/>
  </r>
  <r>
    <x v="0"/>
    <s v="San Francisco"/>
    <s v="UC Berkeley Extension"/>
    <s v="Data Science"/>
    <x v="0"/>
    <n v="2"/>
    <n v="52000"/>
    <n v="95.2"/>
    <n v="2400"/>
    <n v="160"/>
    <n v="1500"/>
    <n v="1"/>
    <n v="112760"/>
    <n v="56380"/>
    <n v="57600"/>
    <n v="60760"/>
    <n v="0.46115643845335225"/>
  </r>
  <r>
    <x v="1"/>
    <s v="London"/>
    <s v="King's College London"/>
    <s v="Computer Science"/>
    <x v="0"/>
    <n v="1"/>
    <n v="39000"/>
    <n v="75.3"/>
    <n v="1900"/>
    <n v="485"/>
    <n v="800"/>
    <n v="0.79"/>
    <n v="63085"/>
    <n v="63085"/>
    <n v="22800"/>
    <n v="24085"/>
    <n v="0.61821352143932784"/>
  </r>
  <r>
    <x v="9"/>
    <s v="Zurich"/>
    <s v="ETH Zurich"/>
    <s v="Computer Science"/>
    <x v="0"/>
    <n v="2"/>
    <n v="1500"/>
    <n v="122.4"/>
    <n v="2000"/>
    <n v="140"/>
    <n v="1200"/>
    <n v="0.89"/>
    <n v="52040"/>
    <n v="26020"/>
    <n v="48000"/>
    <n v="50540"/>
    <n v="2.8823981552651805E-2"/>
  </r>
  <r>
    <x v="8"/>
    <s v="Paris"/>
    <s v="Sorbonne University"/>
    <s v="Data Analytics"/>
    <x v="0"/>
    <n v="2"/>
    <n v="4500"/>
    <n v="84.3"/>
    <n v="1800"/>
    <n v="99"/>
    <n v="850"/>
    <n v="0.92"/>
    <n v="49499"/>
    <n v="24749.5"/>
    <n v="43200"/>
    <n v="44999"/>
    <n v="9.0910927493484714E-2"/>
  </r>
  <r>
    <x v="14"/>
    <s v="Dublin"/>
    <s v="Trinity College Dublin"/>
    <s v="Computer Science"/>
    <x v="2"/>
    <n v="4"/>
    <n v="18900"/>
    <n v="83.6"/>
    <n v="1700"/>
    <n v="150"/>
    <n v="750"/>
    <n v="0.92"/>
    <n v="103650"/>
    <n v="25912.5"/>
    <n v="81600"/>
    <n v="84750"/>
    <n v="0.18234442836468887"/>
  </r>
  <r>
    <x v="0"/>
    <s v="Chicago"/>
    <s v="University of Chicago"/>
    <s v="Data Science"/>
    <x v="0"/>
    <n v="2"/>
    <n v="58000"/>
    <n v="84.1"/>
    <n v="1900"/>
    <n v="160"/>
    <n v="1500"/>
    <n v="1"/>
    <n v="106760"/>
    <n v="53380"/>
    <n v="45600"/>
    <n v="48760"/>
    <n v="0.54327463469464221"/>
  </r>
  <r>
    <x v="1"/>
    <s v="Cambridge"/>
    <s v="Anglia Ruskin University"/>
    <s v="Data Analytics"/>
    <x v="1"/>
    <n v="3"/>
    <n v="35000"/>
    <n v="71.2"/>
    <n v="1500"/>
    <n v="485"/>
    <n v="800"/>
    <n v="0.79"/>
    <n v="91885"/>
    <n v="30628.333333333332"/>
    <n v="54000"/>
    <n v="56885"/>
    <n v="0.38091092126027098"/>
  </r>
  <r>
    <x v="9"/>
    <s v="Lausanne"/>
    <s v="EPFL"/>
    <s v="Computer Science"/>
    <x v="2"/>
    <n v="4"/>
    <n v="1500"/>
    <n v="119.8"/>
    <n v="1900"/>
    <n v="140"/>
    <n v="1200"/>
    <n v="0.89"/>
    <n v="97640"/>
    <n v="24410"/>
    <n v="91200"/>
    <n v="96140"/>
    <n v="1.5362556329373207E-2"/>
  </r>
  <r>
    <x v="8"/>
    <s v="Lyon"/>
    <s v="University of Lyon"/>
    <s v="Data Science"/>
    <x v="0"/>
    <n v="2"/>
    <n v="4200"/>
    <n v="75.599999999999994"/>
    <n v="1200"/>
    <n v="99"/>
    <n v="850"/>
    <n v="0.92"/>
    <n v="34799"/>
    <n v="17399.5"/>
    <n v="28800"/>
    <n v="30599"/>
    <n v="0.12069312336561396"/>
  </r>
  <r>
    <x v="14"/>
    <s v="Cork"/>
    <s v="University College Cork"/>
    <s v="Computer Science"/>
    <x v="0"/>
    <n v="2"/>
    <n v="16800"/>
    <n v="75.400000000000006"/>
    <n v="1300"/>
    <n v="150"/>
    <n v="750"/>
    <n v="0.92"/>
    <n v="49650"/>
    <n v="24825"/>
    <n v="31200"/>
    <n v="32850"/>
    <n v="0.33836858006042297"/>
  </r>
  <r>
    <x v="0"/>
    <s v="Boston"/>
    <s v="Northeastern University"/>
    <s v="Data Analytics"/>
    <x v="0"/>
    <n v="2"/>
    <n v="54000"/>
    <n v="82.1"/>
    <n v="2200"/>
    <n v="160"/>
    <n v="1500"/>
    <n v="1"/>
    <n v="109960"/>
    <n v="54980"/>
    <n v="52800"/>
    <n v="55960"/>
    <n v="0.49108766824299743"/>
  </r>
  <r>
    <x v="1"/>
    <s v="Edinburgh"/>
    <s v="Heriot-Watt University"/>
    <s v="Computer Science"/>
    <x v="0"/>
    <n v="1"/>
    <n v="37000"/>
    <n v="67.8"/>
    <n v="1200"/>
    <n v="485"/>
    <n v="800"/>
    <n v="0.79"/>
    <n v="52685"/>
    <n v="52685"/>
    <n v="14400"/>
    <n v="15685"/>
    <n v="0.70228717851380851"/>
  </r>
  <r>
    <x v="9"/>
    <s v="Geneva"/>
    <s v="University of Geneva"/>
    <s v="Data Science"/>
    <x v="0"/>
    <n v="2"/>
    <n v="1500"/>
    <n v="116.5"/>
    <n v="1800"/>
    <n v="140"/>
    <n v="1200"/>
    <n v="0.89"/>
    <n v="47240"/>
    <n v="23620"/>
    <n v="43200"/>
    <n v="45740"/>
    <n v="3.1752751905165112E-2"/>
  </r>
  <r>
    <x v="8"/>
    <s v="Toulouse"/>
    <s v="University of Toulouse"/>
    <s v="Computer Science"/>
    <x v="1"/>
    <n v="3"/>
    <n v="4000"/>
    <n v="71.2"/>
    <n v="900"/>
    <n v="99"/>
    <n v="850"/>
    <n v="0.92"/>
    <n v="39049"/>
    <n v="13016.333333333334"/>
    <n v="32400"/>
    <n v="35049"/>
    <n v="0.10243540167481882"/>
  </r>
  <r>
    <x v="14"/>
    <s v="Galway"/>
    <s v="NUI Galway"/>
    <s v="Data Analytics"/>
    <x v="0"/>
    <n v="2"/>
    <n v="15900"/>
    <n v="72.3"/>
    <n v="1100"/>
    <n v="150"/>
    <n v="750"/>
    <n v="0.92"/>
    <n v="43950"/>
    <n v="21975"/>
    <n v="26400"/>
    <n v="28050"/>
    <n v="0.36177474402730375"/>
  </r>
  <r>
    <x v="0"/>
    <s v="Seattle"/>
    <s v="University of Washington"/>
    <s v="Data Science"/>
    <x v="2"/>
    <n v="4"/>
    <n v="51000"/>
    <n v="77.8"/>
    <n v="2100"/>
    <n v="160"/>
    <n v="1500"/>
    <n v="1"/>
    <n v="157960"/>
    <n v="39490"/>
    <n v="100800"/>
    <n v="106960"/>
    <n v="0.32286654849328944"/>
  </r>
  <r>
    <x v="1"/>
    <s v="Birmingham"/>
    <s v="University of Birmingham"/>
    <s v="Computer Science"/>
    <x v="0"/>
    <n v="1"/>
    <n v="36000"/>
    <n v="65.400000000000006"/>
    <n v="1100"/>
    <n v="485"/>
    <n v="800"/>
    <n v="0.79"/>
    <n v="50485"/>
    <n v="50485"/>
    <n v="13200"/>
    <n v="14485"/>
    <n v="0.71308309398831338"/>
  </r>
  <r>
    <x v="9"/>
    <s v="Basel"/>
    <s v="University of Basel"/>
    <s v="Data Science"/>
    <x v="0"/>
    <n v="2"/>
    <n v="1500"/>
    <n v="114.3"/>
    <n v="1700"/>
    <n v="140"/>
    <n v="1200"/>
    <n v="0.89"/>
    <n v="44840"/>
    <n v="22420"/>
    <n v="40800"/>
    <n v="43340"/>
    <n v="3.345227475468332E-2"/>
  </r>
  <r>
    <x v="8"/>
    <s v="Bordeaux"/>
    <s v="University of Bordeaux"/>
    <s v="Data Analytics"/>
    <x v="0"/>
    <n v="2"/>
    <n v="4300"/>
    <n v="72.099999999999994"/>
    <n v="1000"/>
    <n v="99"/>
    <n v="850"/>
    <n v="0.92"/>
    <n v="30099"/>
    <n v="15049.5"/>
    <n v="24000"/>
    <n v="25799"/>
    <n v="0.14286188909930561"/>
  </r>
  <r>
    <x v="14"/>
    <s v="Limerick"/>
    <s v="University of Limerick"/>
    <s v="Computer Science"/>
    <x v="1"/>
    <n v="4"/>
    <n v="15400"/>
    <n v="71.2"/>
    <n v="1000"/>
    <n v="150"/>
    <n v="750"/>
    <n v="0.92"/>
    <n v="66550"/>
    <n v="16637.5"/>
    <n v="48000"/>
    <n v="51150"/>
    <n v="0.23140495867768596"/>
  </r>
  <r>
    <x v="0"/>
    <s v="Austin"/>
    <s v="UT Austin"/>
    <s v="Computer Science"/>
    <x v="0"/>
    <n v="2"/>
    <n v="49000"/>
    <n v="68.900000000000006"/>
    <n v="1800"/>
    <n v="160"/>
    <n v="1500"/>
    <n v="1"/>
    <n v="95360"/>
    <n v="47680"/>
    <n v="43200"/>
    <n v="46360"/>
    <n v="0.51384228187919467"/>
  </r>
  <r>
    <x v="1"/>
    <s v="Manchester"/>
    <s v="University of Salford"/>
    <s v="Data Science"/>
    <x v="0"/>
    <n v="1"/>
    <n v="35000"/>
    <n v="65.400000000000006"/>
    <n v="1000"/>
    <n v="485"/>
    <n v="800"/>
    <n v="0.79"/>
    <n v="48285"/>
    <n v="48285"/>
    <n v="12000"/>
    <n v="13285"/>
    <n v="0.72486279382831109"/>
  </r>
  <r>
    <x v="9"/>
    <s v="St. Gallen"/>
    <s v="University of St. Gallen"/>
    <s v="Data Analytics"/>
    <x v="0"/>
    <n v="2"/>
    <n v="1500"/>
    <n v="112.1"/>
    <n v="1600"/>
    <n v="140"/>
    <n v="1200"/>
    <n v="0.89"/>
    <n v="42440"/>
    <n v="21220"/>
    <n v="38400"/>
    <n v="40940"/>
    <n v="3.5344015080113103E-2"/>
  </r>
  <r>
    <x v="8"/>
    <s v="Nice"/>
    <s v="University of Nice"/>
    <s v="Computer Science"/>
    <x v="0"/>
    <n v="2"/>
    <n v="4100"/>
    <n v="76.5"/>
    <n v="1300"/>
    <n v="99"/>
    <n v="850"/>
    <n v="0.92"/>
    <n v="37099"/>
    <n v="18549.5"/>
    <n v="31200"/>
    <n v="32999"/>
    <n v="0.11051510822394135"/>
  </r>
  <r>
    <x v="14"/>
    <s v="Maynooth"/>
    <s v="Maynooth University"/>
    <s v="Data Science"/>
    <x v="2"/>
    <n v="4"/>
    <n v="14900"/>
    <n v="70.099999999999994"/>
    <n v="950"/>
    <n v="150"/>
    <n v="750"/>
    <n v="0.92"/>
    <n v="63650"/>
    <n v="15912.5"/>
    <n v="45600"/>
    <n v="48750"/>
    <n v="0.23409269442262373"/>
  </r>
  <r>
    <x v="0"/>
    <s v="Denver"/>
    <s v="University of Denver"/>
    <s v="Data Analytics"/>
    <x v="0"/>
    <n v="2"/>
    <n v="47000"/>
    <n v="69.8"/>
    <n v="1700"/>
    <n v="160"/>
    <n v="1500"/>
    <n v="1"/>
    <n v="90960"/>
    <n v="45480"/>
    <n v="40800"/>
    <n v="43960"/>
    <n v="0.51671064204045736"/>
  </r>
  <r>
    <x v="1"/>
    <s v="Leeds"/>
    <s v="Leeds Beckett University"/>
    <s v="Computer Science"/>
    <x v="1"/>
    <n v="3"/>
    <n v="34000"/>
    <n v="63.2"/>
    <n v="900"/>
    <n v="485"/>
    <n v="800"/>
    <n v="0.79"/>
    <n v="69285"/>
    <n v="23095"/>
    <n v="32400"/>
    <n v="35285"/>
    <n v="0.49072670852276828"/>
  </r>
  <r>
    <x v="9"/>
    <s v="Bern"/>
    <s v="University of Bern"/>
    <s v="Data Science"/>
    <x v="0"/>
    <n v="2"/>
    <n v="1500"/>
    <n v="110.4"/>
    <n v="1500"/>
    <n v="140"/>
    <n v="1200"/>
    <n v="0.89"/>
    <n v="40040"/>
    <n v="20020"/>
    <n v="36000"/>
    <n v="38540"/>
    <n v="3.7462537462537464E-2"/>
  </r>
  <r>
    <x v="8"/>
    <s v="Lille"/>
    <s v="University of Lille"/>
    <s v="Data Analytics"/>
    <x v="2"/>
    <n v="4"/>
    <n v="4200"/>
    <n v="69.8"/>
    <n v="950"/>
    <n v="99"/>
    <n v="850"/>
    <n v="0.92"/>
    <n v="53299"/>
    <n v="13324.75"/>
    <n v="45600"/>
    <n v="49099"/>
    <n v="7.8800727968629802E-2"/>
  </r>
  <r>
    <x v="14"/>
    <s v="Waterford"/>
    <s v="Waterford IT"/>
    <s v="Computer Science"/>
    <x v="0"/>
    <n v="2"/>
    <n v="14500"/>
    <n v="68.900000000000006"/>
    <n v="900"/>
    <n v="150"/>
    <n v="750"/>
    <n v="0.92"/>
    <n v="37750"/>
    <n v="18875"/>
    <n v="21600"/>
    <n v="23250"/>
    <n v="0.38410596026490068"/>
  </r>
  <r>
    <x v="0"/>
    <s v="Portland"/>
    <s v="Portland State University"/>
    <s v="Data Science"/>
    <x v="0"/>
    <n v="2"/>
    <n v="45000"/>
    <n v="71.2"/>
    <n v="1600"/>
    <n v="160"/>
    <n v="1500"/>
    <n v="1"/>
    <n v="86560"/>
    <n v="43280"/>
    <n v="38400"/>
    <n v="41560"/>
    <n v="0.51987060998151569"/>
  </r>
  <r>
    <x v="1"/>
    <s v="Bristol"/>
    <s v="UWE Bristol"/>
    <s v="Computer Science"/>
    <x v="0"/>
    <n v="1"/>
    <n v="33000"/>
    <n v="68.900000000000006"/>
    <n v="1100"/>
    <n v="485"/>
    <n v="800"/>
    <n v="0.79"/>
    <n v="47485"/>
    <n v="47485"/>
    <n v="13200"/>
    <n v="14485"/>
    <n v="0.69495630199010217"/>
  </r>
  <r>
    <x v="9"/>
    <s v="Lugano"/>
    <s v="USI Lugano"/>
    <s v="Data Analytics"/>
    <x v="0"/>
    <n v="2"/>
    <n v="1500"/>
    <n v="108.9"/>
    <n v="1400"/>
    <n v="140"/>
    <n v="1200"/>
    <n v="0.89"/>
    <n v="37640"/>
    <n v="18820"/>
    <n v="33600"/>
    <n v="36140"/>
    <n v="3.9851222104144525E-2"/>
  </r>
  <r>
    <x v="8"/>
    <s v="Strasbourg"/>
    <s v="University of Strasbourg"/>
    <s v="Computer Science"/>
    <x v="0"/>
    <n v="2"/>
    <n v="4000"/>
    <n v="70.2"/>
    <n v="1000"/>
    <n v="99"/>
    <n v="850"/>
    <n v="0.92"/>
    <n v="29799"/>
    <n v="14899.5"/>
    <n v="24000"/>
    <n v="25799"/>
    <n v="0.13423269237222726"/>
  </r>
  <r>
    <x v="14"/>
    <s v="Sligo"/>
    <s v="IT Sligo"/>
    <s v="Data Science"/>
    <x v="1"/>
    <n v="4"/>
    <n v="14000"/>
    <n v="67.5"/>
    <n v="850"/>
    <n v="150"/>
    <n v="750"/>
    <n v="0.92"/>
    <n v="57950"/>
    <n v="14487.5"/>
    <n v="40800"/>
    <n v="43950"/>
    <n v="0.24158757549611734"/>
  </r>
  <r>
    <x v="0"/>
    <s v="Minneapolis"/>
    <s v="University of Minnesota"/>
    <s v="Computer Science"/>
    <x v="2"/>
    <n v="4"/>
    <n v="48000"/>
    <n v="72.3"/>
    <n v="1700"/>
    <n v="160"/>
    <n v="1500"/>
    <n v="1"/>
    <n v="135760"/>
    <n v="33940"/>
    <n v="81600"/>
    <n v="87760"/>
    <n v="0.35356511490866233"/>
  </r>
  <r>
    <x v="1"/>
    <s v="Cardiff"/>
    <s v="Cardiff University"/>
    <s v="Data Analytics"/>
    <x v="0"/>
    <n v="1"/>
    <n v="34000"/>
    <n v="64.5"/>
    <n v="950"/>
    <n v="485"/>
    <n v="800"/>
    <n v="0.79"/>
    <n v="46685"/>
    <n v="46685"/>
    <n v="11400"/>
    <n v="12685"/>
    <n v="0.72828531648281036"/>
  </r>
  <r>
    <x v="9"/>
    <s v="Fribourg"/>
    <s v="University of Fribourg"/>
    <s v="Computer Science"/>
    <x v="0"/>
    <n v="2"/>
    <n v="1500"/>
    <n v="107.8"/>
    <n v="1300"/>
    <n v="140"/>
    <n v="1200"/>
    <n v="0.89"/>
    <n v="35240"/>
    <n v="17620"/>
    <n v="31200"/>
    <n v="33740"/>
    <n v="4.2565266742338251E-2"/>
  </r>
  <r>
    <x v="8"/>
    <s v="Grenoble"/>
    <s v="Grenoble INP"/>
    <s v="Data Science"/>
    <x v="0"/>
    <n v="2"/>
    <n v="4100"/>
    <n v="71.5"/>
    <n v="1100"/>
    <n v="99"/>
    <n v="850"/>
    <n v="0.92"/>
    <n v="32299"/>
    <n v="16149.5"/>
    <n v="26400"/>
    <n v="28199"/>
    <n v="0.12693891451747732"/>
  </r>
  <r>
    <x v="14"/>
    <s v="Athlone"/>
    <s v="Athlone IT"/>
    <s v="Data Analytics"/>
    <x v="0"/>
    <n v="2"/>
    <n v="13800"/>
    <n v="66.7"/>
    <n v="800"/>
    <n v="150"/>
    <n v="750"/>
    <n v="0.92"/>
    <n v="34650"/>
    <n v="17325"/>
    <n v="19200"/>
    <n v="20850"/>
    <n v="0.39826839826839827"/>
  </r>
  <r>
    <x v="29"/>
    <s v="Oslo"/>
    <s v="University of Oslo"/>
    <s v="Computer Science"/>
    <x v="0"/>
    <n v="2"/>
    <n v="0"/>
    <n v="83.2"/>
    <n v="1400"/>
    <n v="275"/>
    <n v="700"/>
    <n v="10.45"/>
    <n v="35275"/>
    <n v="17637.5"/>
    <n v="33600"/>
    <n v="35275"/>
    <n v="0"/>
  </r>
  <r>
    <x v="28"/>
    <s v="Helsinki"/>
    <s v="University of Helsinki"/>
    <s v="Data Science"/>
    <x v="0"/>
    <n v="2"/>
    <n v="0"/>
    <n v="79.400000000000006"/>
    <n v="1200"/>
    <n v="350"/>
    <n v="650"/>
    <n v="0.92"/>
    <n v="30450"/>
    <n v="15225"/>
    <n v="28800"/>
    <n v="30450"/>
    <n v="0"/>
  </r>
  <r>
    <x v="4"/>
    <s v="Berlin"/>
    <s v="Technical University Berlin"/>
    <s v="Mechanical Engineering"/>
    <x v="0"/>
    <n v="2"/>
    <n v="0"/>
    <n v="68.900000000000006"/>
    <n v="1100"/>
    <n v="110"/>
    <n v="900"/>
    <n v="0.92"/>
    <n v="28310"/>
    <n v="14155"/>
    <n v="26400"/>
    <n v="28310"/>
    <n v="0"/>
  </r>
  <r>
    <x v="11"/>
    <s v="Copenhagen"/>
    <s v="University of Copenhagen"/>
    <s v="Physics"/>
    <x v="2"/>
    <n v="4"/>
    <n v="0"/>
    <n v="82.1"/>
    <n v="1500"/>
    <n v="450"/>
    <n v="800"/>
    <n v="7.45"/>
    <n v="75650"/>
    <n v="18912.5"/>
    <n v="72000"/>
    <n v="75650"/>
    <n v="0"/>
  </r>
  <r>
    <x v="29"/>
    <s v="Trondheim"/>
    <s v="NTNU"/>
    <s v="Robotics"/>
    <x v="0"/>
    <n v="2"/>
    <n v="0"/>
    <n v="75.599999999999994"/>
    <n v="1100"/>
    <n v="275"/>
    <n v="700"/>
    <n v="10.45"/>
    <n v="28075"/>
    <n v="14037.5"/>
    <n v="26400"/>
    <n v="28075"/>
    <n v="0"/>
  </r>
  <r>
    <x v="28"/>
    <s v="Espoo"/>
    <s v="Aalto University"/>
    <s v="Computer Engineering"/>
    <x v="1"/>
    <n v="3"/>
    <n v="0"/>
    <n v="77.8"/>
    <n v="1000"/>
    <n v="350"/>
    <n v="650"/>
    <n v="0.92"/>
    <n v="38300"/>
    <n v="12766.666666666666"/>
    <n v="36000"/>
    <n v="38300"/>
    <n v="0"/>
  </r>
  <r>
    <x v="4"/>
    <s v="Munich"/>
    <s v="LMU Munich"/>
    <s v="Mathematics"/>
    <x v="2"/>
    <n v="4"/>
    <n v="0"/>
    <n v="71.5"/>
    <n v="1300"/>
    <n v="110"/>
    <n v="900"/>
    <n v="0.92"/>
    <n v="66110"/>
    <n v="16527.5"/>
    <n v="62400"/>
    <n v="66110"/>
    <n v="0"/>
  </r>
  <r>
    <x v="11"/>
    <s v="Aarhus"/>
    <s v="Aarhus University"/>
    <s v="Data Analytics"/>
    <x v="0"/>
    <n v="2"/>
    <n v="0"/>
    <n v="76.5"/>
    <n v="1200"/>
    <n v="450"/>
    <n v="800"/>
    <n v="7.45"/>
    <n v="30850"/>
    <n v="15425"/>
    <n v="28800"/>
    <n v="30850"/>
    <n v="0"/>
  </r>
  <r>
    <x v="29"/>
    <s v="Bergen"/>
    <s v="University of Bergen"/>
    <s v="Artificial Intelligence"/>
    <x v="0"/>
    <n v="2"/>
    <n v="0"/>
    <n v="74.3"/>
    <n v="1200"/>
    <n v="275"/>
    <n v="700"/>
    <n v="10.45"/>
    <n v="30475"/>
    <n v="15237.5"/>
    <n v="28800"/>
    <n v="30475"/>
    <n v="0"/>
  </r>
  <r>
    <x v="28"/>
    <s v="Tampere"/>
    <s v="Tampere University"/>
    <s v="Software Engineering"/>
    <x v="0"/>
    <n v="2"/>
    <n v="0"/>
    <n v="72.099999999999994"/>
    <n v="900"/>
    <n v="350"/>
    <n v="650"/>
    <n v="0.92"/>
    <n v="23250"/>
    <n v="11625"/>
    <n v="21600"/>
    <n v="23250"/>
    <n v="0"/>
  </r>
  <r>
    <x v="4"/>
    <s v="Dresden"/>
    <s v="TU Dresden"/>
    <s v="Computer Science"/>
    <x v="1"/>
    <n v="3"/>
    <n v="0"/>
    <n v="65.400000000000006"/>
    <n v="900"/>
    <n v="110"/>
    <n v="900"/>
    <n v="0.92"/>
    <n v="35210"/>
    <n v="11736.666666666666"/>
    <n v="32400"/>
    <n v="35210"/>
    <n v="0"/>
  </r>
  <r>
    <x v="11"/>
    <s v="Odense"/>
    <s v="University of Southern Denmark"/>
    <s v="Biotechnology"/>
    <x v="0"/>
    <n v="2"/>
    <n v="0"/>
    <n v="73.2"/>
    <n v="1100"/>
    <n v="450"/>
    <n v="800"/>
    <n v="7.45"/>
    <n v="28450"/>
    <n v="14225"/>
    <n v="26400"/>
    <n v="28450"/>
    <n v="0"/>
  </r>
  <r>
    <x v="29"/>
    <s v="TromsÃ¸"/>
    <s v="UiT Arctic University"/>
    <s v="Marine Technology"/>
    <x v="2"/>
    <n v="4"/>
    <n v="0"/>
    <n v="71.2"/>
    <n v="1000"/>
    <n v="275"/>
    <n v="700"/>
    <n v="10.45"/>
    <n v="51075"/>
    <n v="12768.75"/>
    <n v="48000"/>
    <n v="51075"/>
    <n v="0"/>
  </r>
  <r>
    <x v="28"/>
    <s v="Turku"/>
    <s v="University of Turku"/>
    <s v="Bioinformatics"/>
    <x v="0"/>
    <n v="2"/>
    <n v="0"/>
    <n v="71.8"/>
    <n v="850"/>
    <n v="350"/>
    <n v="650"/>
    <n v="0.92"/>
    <n v="22050"/>
    <n v="11025"/>
    <n v="20400"/>
    <n v="22050"/>
    <n v="0"/>
  </r>
  <r>
    <x v="4"/>
    <s v="Hamburg"/>
    <s v="TU Hamburg"/>
    <s v="Electrical Engineering"/>
    <x v="0"/>
    <n v="2"/>
    <n v="0"/>
    <n v="69.8"/>
    <n v="1200"/>
    <n v="110"/>
    <n v="900"/>
    <n v="0.92"/>
    <n v="30710"/>
    <n v="15355"/>
    <n v="28800"/>
    <n v="30710"/>
    <n v="0"/>
  </r>
  <r>
    <x v="11"/>
    <s v="Aalborg"/>
    <s v="Aalborg University"/>
    <s v="Energy Engineering"/>
    <x v="1"/>
    <n v="3"/>
    <n v="0"/>
    <n v="71.5"/>
    <n v="1000"/>
    <n v="450"/>
    <n v="800"/>
    <n v="7.45"/>
    <n v="38850"/>
    <n v="12950"/>
    <n v="36000"/>
    <n v="38850"/>
    <n v="0"/>
  </r>
  <r>
    <x v="29"/>
    <s v="Stavanger"/>
    <s v="University of Stavanger"/>
    <s v="Petroleum Engineering"/>
    <x v="0"/>
    <n v="2"/>
    <n v="0"/>
    <n v="72.400000000000006"/>
    <n v="1100"/>
    <n v="275"/>
    <n v="700"/>
    <n v="10.45"/>
    <n v="28075"/>
    <n v="14037.5"/>
    <n v="26400"/>
    <n v="28075"/>
    <n v="0"/>
  </r>
  <r>
    <x v="28"/>
    <s v="Oulu"/>
    <s v="University of Oulu"/>
    <s v="Computer Science"/>
    <x v="2"/>
    <n v="4"/>
    <n v="0"/>
    <n v="70.2"/>
    <n v="800"/>
    <n v="350"/>
    <n v="650"/>
    <n v="0.92"/>
    <n v="41350"/>
    <n v="10337.5"/>
    <n v="38400"/>
    <n v="41350"/>
    <n v="0"/>
  </r>
  <r>
    <x v="4"/>
    <s v="Stuttgart"/>
    <s v="University of Stuttgart"/>
    <s v="Aerospace Engineering"/>
    <x v="0"/>
    <n v="2"/>
    <n v="0"/>
    <n v="68.7"/>
    <n v="1100"/>
    <n v="110"/>
    <n v="900"/>
    <n v="0.92"/>
    <n v="28310"/>
    <n v="14155"/>
    <n v="26400"/>
    <n v="28310"/>
    <n v="0"/>
  </r>
  <r>
    <x v="11"/>
    <s v="Roskilde"/>
    <s v="Roskilde University"/>
    <s v="Environmental Science"/>
    <x v="0"/>
    <n v="2"/>
    <n v="0"/>
    <n v="70.8"/>
    <n v="1000"/>
    <n v="450"/>
    <n v="800"/>
    <n v="7.45"/>
    <n v="26050"/>
    <n v="13025"/>
    <n v="24000"/>
    <n v="26050"/>
    <n v="0"/>
  </r>
  <r>
    <x v="29"/>
    <s v="Ã…s"/>
    <s v="Norwegian University of Life Sciences"/>
    <s v="Biotechnology"/>
    <x v="0"/>
    <n v="2"/>
    <n v="0"/>
    <n v="70.5"/>
    <n v="900"/>
    <n v="275"/>
    <n v="700"/>
    <n v="10.45"/>
    <n v="23275"/>
    <n v="11637.5"/>
    <n v="21600"/>
    <n v="23275"/>
    <n v="0"/>
  </r>
  <r>
    <x v="28"/>
    <s v="Vaasa"/>
    <s v="University of Vaasa"/>
    <s v="Industrial Management"/>
    <x v="0"/>
    <n v="2"/>
    <n v="0"/>
    <n v="69.8"/>
    <n v="800"/>
    <n v="350"/>
    <n v="650"/>
    <n v="0.92"/>
    <n v="20850"/>
    <n v="10425"/>
    <n v="19200"/>
    <n v="20850"/>
    <n v="0"/>
  </r>
  <r>
    <x v="4"/>
    <s v="Karlsruhe"/>
    <s v="KIT"/>
    <s v="Mechatronics"/>
    <x v="2"/>
    <n v="4"/>
    <n v="0"/>
    <n v="67.900000000000006"/>
    <n v="1000"/>
    <n v="110"/>
    <n v="900"/>
    <n v="0.92"/>
    <n v="51710"/>
    <n v="12927.5"/>
    <n v="48000"/>
    <n v="51710"/>
    <n v="0"/>
  </r>
  <r>
    <x v="11"/>
    <s v="Lyngby"/>
    <s v="Technical University of Denmark"/>
    <s v="Quantum Engineering"/>
    <x v="0"/>
    <n v="2"/>
    <n v="0"/>
    <n v="81.2"/>
    <n v="1400"/>
    <n v="450"/>
    <n v="800"/>
    <n v="7.45"/>
    <n v="35650"/>
    <n v="17825"/>
    <n v="33600"/>
    <n v="35650"/>
    <n v="0"/>
  </r>
  <r>
    <x v="29"/>
    <s v="BodÃ¸"/>
    <s v="Nord University"/>
    <s v="Marine Biology"/>
    <x v="1"/>
    <n v="3"/>
    <n v="0"/>
    <n v="69.400000000000006"/>
    <n v="850"/>
    <n v="275"/>
    <n v="700"/>
    <n v="10.45"/>
    <n v="32975"/>
    <n v="10991.666666666666"/>
    <n v="30600"/>
    <n v="32975"/>
    <n v="0"/>
  </r>
  <r>
    <x v="28"/>
    <s v="JyvÃ¤skylÃ¤"/>
    <s v="University of JyvÃ¤skylÃ¤"/>
    <s v="Data Science"/>
    <x v="0"/>
    <n v="2"/>
    <n v="0"/>
    <n v="68.7"/>
    <n v="750"/>
    <n v="350"/>
    <n v="650"/>
    <n v="0.92"/>
    <n v="19650"/>
    <n v="9825"/>
    <n v="18000"/>
    <n v="19650"/>
    <n v="0"/>
  </r>
  <r>
    <x v="4"/>
    <s v="Darmstadt"/>
    <s v="TU Darmstadt"/>
    <s v="Computer Engineering"/>
    <x v="0"/>
    <n v="2"/>
    <n v="0"/>
    <n v="66.8"/>
    <n v="950"/>
    <n v="110"/>
    <n v="900"/>
    <n v="0.92"/>
    <n v="24710"/>
    <n v="12355"/>
    <n v="22800"/>
    <n v="24710"/>
    <n v="0"/>
  </r>
  <r>
    <x v="11"/>
    <s v="Kolding"/>
    <s v="University of Southern Denmark"/>
    <s v="Software Engineering"/>
    <x v="2"/>
    <n v="4"/>
    <n v="0"/>
    <n v="69.5"/>
    <n v="900"/>
    <n v="450"/>
    <n v="800"/>
    <n v="7.45"/>
    <n v="46850"/>
    <n v="11712.5"/>
    <n v="43200"/>
    <n v="46850"/>
    <n v="0"/>
  </r>
  <r>
    <x v="29"/>
    <s v="GjÃ¸vik"/>
    <s v="NTNU GjÃ¸vik"/>
    <s v="Information Security"/>
    <x v="0"/>
    <n v="2"/>
    <n v="0"/>
    <n v="68.900000000000006"/>
    <n v="800"/>
    <n v="275"/>
    <n v="700"/>
    <n v="10.45"/>
    <n v="20875"/>
    <n v="10437.5"/>
    <n v="19200"/>
    <n v="20875"/>
    <n v="0"/>
  </r>
  <r>
    <x v="28"/>
    <s v="Lappeenranta"/>
    <s v="LUT University"/>
    <s v="Industrial Engineering"/>
    <x v="0"/>
    <n v="2"/>
    <n v="0"/>
    <n v="67.5"/>
    <n v="700"/>
    <n v="350"/>
    <n v="650"/>
    <n v="0.92"/>
    <n v="18450"/>
    <n v="9225"/>
    <n v="16800"/>
    <n v="18450"/>
    <n v="0"/>
  </r>
  <r>
    <x v="4"/>
    <s v="Bremen"/>
    <s v="University of Bremen"/>
    <s v="Robotics"/>
    <x v="0"/>
    <n v="2"/>
    <n v="0"/>
    <n v="66.5"/>
    <n v="900"/>
    <n v="110"/>
    <n v="900"/>
    <n v="0.92"/>
    <n v="23510"/>
    <n v="11755"/>
    <n v="21600"/>
    <n v="23510"/>
    <n v="0"/>
  </r>
  <r>
    <x v="11"/>
    <s v="Esbjerg"/>
    <s v="University of Southern Denmark"/>
    <s v="Environmental Engineering"/>
    <x v="0"/>
    <n v="2"/>
    <n v="0"/>
    <n v="68.400000000000006"/>
    <n v="850"/>
    <n v="450"/>
    <n v="800"/>
    <n v="7.45"/>
    <n v="22450"/>
    <n v="11225"/>
    <n v="20400"/>
    <n v="22450"/>
    <n v="0"/>
  </r>
  <r>
    <x v="29"/>
    <s v="Kristiansand"/>
    <s v="University of Agder"/>
    <s v="Renewable Energy"/>
    <x v="2"/>
    <n v="4"/>
    <n v="0"/>
    <n v="67.8"/>
    <n v="850"/>
    <n v="275"/>
    <n v="700"/>
    <n v="10.45"/>
    <n v="43875"/>
    <n v="10968.75"/>
    <n v="40800"/>
    <n v="43875"/>
    <n v="0"/>
  </r>
  <r>
    <x v="28"/>
    <s v="Kuopio"/>
    <s v="University of Eastern Finland"/>
    <s v="Environmental Science"/>
    <x v="1"/>
    <n v="3"/>
    <n v="0"/>
    <n v="66.900000000000006"/>
    <n v="700"/>
    <n v="350"/>
    <n v="650"/>
    <n v="0.92"/>
    <n v="27500"/>
    <n v="9166.6666666666661"/>
    <n v="25200"/>
    <n v="27500"/>
    <n v="0"/>
  </r>
  <r>
    <x v="4"/>
    <s v="Aachen"/>
    <s v="RWTH Aachen"/>
    <s v="Materials Science"/>
    <x v="0"/>
    <n v="2"/>
    <n v="0"/>
    <n v="68.900000000000006"/>
    <n v="1000"/>
    <n v="110"/>
    <n v="900"/>
    <n v="0.92"/>
    <n v="25910"/>
    <n v="12955"/>
    <n v="24000"/>
    <n v="25910"/>
    <n v="0"/>
  </r>
  <r>
    <x v="11"/>
    <s v="Slagelse"/>
    <s v="University of Copenhagen"/>
    <s v="Bioinformatics"/>
    <x v="0"/>
    <n v="2"/>
    <n v="0"/>
    <n v="67.5"/>
    <n v="900"/>
    <n v="450"/>
    <n v="800"/>
    <n v="7.45"/>
    <n v="23650"/>
    <n v="11825"/>
    <n v="21600"/>
    <n v="23650"/>
    <n v="0"/>
  </r>
  <r>
    <x v="29"/>
    <s v="Horten"/>
    <s v="University of South-Eastern Norway"/>
    <s v="Systems Engineering"/>
    <x v="0"/>
    <n v="2"/>
    <n v="0"/>
    <n v="66.7"/>
    <n v="800"/>
    <n v="275"/>
    <n v="700"/>
    <n v="10.45"/>
    <n v="20875"/>
    <n v="10437.5"/>
    <n v="19200"/>
    <n v="20875"/>
    <n v="0"/>
  </r>
  <r>
    <x v="28"/>
    <s v="Joensuu"/>
    <s v="University of Eastern Finland"/>
    <s v="Forestry Sciences"/>
    <x v="2"/>
    <n v="4"/>
    <n v="0"/>
    <n v="65.8"/>
    <n v="650"/>
    <n v="350"/>
    <n v="650"/>
    <n v="0.92"/>
    <n v="34150"/>
    <n v="8537.5"/>
    <n v="31200"/>
    <n v="34150"/>
    <n v="0"/>
  </r>
  <r>
    <x v="4"/>
    <s v="Jena"/>
    <s v="University of Jena"/>
    <s v="Photonics"/>
    <x v="0"/>
    <n v="2"/>
    <n v="0"/>
    <n v="65.400000000000006"/>
    <n v="850"/>
    <n v="110"/>
    <n v="900"/>
    <n v="0.92"/>
    <n v="22310"/>
    <n v="11155"/>
    <n v="20400"/>
    <n v="22310"/>
    <n v="0"/>
  </r>
  <r>
    <x v="11"/>
    <s v="Herning"/>
    <s v="Aarhus University"/>
    <s v="Engineering Management"/>
    <x v="0"/>
    <n v="2"/>
    <n v="0"/>
    <n v="66.2"/>
    <n v="800"/>
    <n v="450"/>
    <n v="800"/>
    <n v="7.45"/>
    <n v="21250"/>
    <n v="10625"/>
    <n v="19200"/>
    <n v="21250"/>
    <n v="0"/>
  </r>
  <r>
    <x v="15"/>
    <s v="Auckland"/>
    <s v="University of Auckland"/>
    <s v="Computer Science"/>
    <x v="0"/>
    <n v="2"/>
    <n v="32000"/>
    <n v="79.5"/>
    <n v="1200"/>
    <n v="330"/>
    <n v="600"/>
    <n v="1.65"/>
    <n v="62330"/>
    <n v="31165"/>
    <n v="28800"/>
    <n v="30330"/>
    <n v="0.51339643831220916"/>
  </r>
  <r>
    <x v="0"/>
    <s v="Boston"/>
    <s v="Northeastern University"/>
    <s v="Data Science"/>
    <x v="0"/>
    <n v="2"/>
    <n v="54000"/>
    <n v="82.1"/>
    <n v="2000"/>
    <n v="160"/>
    <n v="1500"/>
    <n v="1"/>
    <n v="105160"/>
    <n v="52580"/>
    <n v="48000"/>
    <n v="51160"/>
    <n v="0.5135032331685051"/>
  </r>
  <r>
    <x v="10"/>
    <s v="Stockholm"/>
    <s v="KTH Royal Institute"/>
    <s v="Engineering Physics"/>
    <x v="0"/>
    <n v="2"/>
    <n v="0"/>
    <n v="78.400000000000006"/>
    <n v="1100"/>
    <n v="120"/>
    <n v="750"/>
    <n v="10.45"/>
    <n v="28020"/>
    <n v="14010"/>
    <n v="26400"/>
    <n v="28020"/>
    <n v="0"/>
  </r>
  <r>
    <x v="6"/>
    <s v="Amsterdam"/>
    <s v="University of Amsterdam"/>
    <s v="Artificial Intelligence"/>
    <x v="2"/>
    <n v="4"/>
    <n v="15000"/>
    <n v="81.2"/>
    <n v="1300"/>
    <n v="171"/>
    <n v="720"/>
    <n v="0.92"/>
    <n v="80451"/>
    <n v="20112.75"/>
    <n v="62400"/>
    <n v="65451"/>
    <n v="0.18644889435805645"/>
  </r>
  <r>
    <x v="19"/>
    <s v="Lisbon"/>
    <s v="University of Lisbon"/>
    <s v="Computer Engineering"/>
    <x v="0"/>
    <n v="2"/>
    <n v="7000"/>
    <n v="65.8"/>
    <n v="800"/>
    <n v="75"/>
    <n v="400"/>
    <n v="0.92"/>
    <n v="27075"/>
    <n v="13537.5"/>
    <n v="19200"/>
    <n v="20075"/>
    <n v="0.25854108956602029"/>
  </r>
  <r>
    <x v="15"/>
    <s v="Wellington"/>
    <s v="Victoria University"/>
    <s v="Data Analytics"/>
    <x v="0"/>
    <n v="2"/>
    <n v="30000"/>
    <n v="75.599999999999994"/>
    <n v="1100"/>
    <n v="330"/>
    <n v="600"/>
    <n v="1.65"/>
    <n v="57930"/>
    <n v="28965"/>
    <n v="26400"/>
    <n v="27930"/>
    <n v="0.51786639047125838"/>
  </r>
  <r>
    <x v="0"/>
    <s v="Austin"/>
    <s v="UT Austin"/>
    <s v="Robotics"/>
    <x v="2"/>
    <n v="5"/>
    <n v="48000"/>
    <n v="68.900000000000006"/>
    <n v="1600"/>
    <n v="160"/>
    <n v="1500"/>
    <n v="1"/>
    <n v="151660"/>
    <n v="30332"/>
    <n v="96000"/>
    <n v="103660"/>
    <n v="0.31649742845839379"/>
  </r>
  <r>
    <x v="10"/>
    <s v="Uppsala"/>
    <s v="Uppsala University"/>
    <s v="Mathematics"/>
    <x v="1"/>
    <n v="3"/>
    <n v="0"/>
    <n v="72.3"/>
    <n v="900"/>
    <n v="120"/>
    <n v="750"/>
    <n v="10.45"/>
    <n v="34770"/>
    <n v="11590"/>
    <n v="32400"/>
    <n v="34770"/>
    <n v="0"/>
  </r>
  <r>
    <x v="6"/>
    <s v="Rotterdam"/>
    <s v="Erasmus University"/>
    <s v="Business Analytics"/>
    <x v="0"/>
    <n v="2"/>
    <n v="14500"/>
    <n v="77.8"/>
    <n v="1200"/>
    <n v="171"/>
    <n v="720"/>
    <n v="0.92"/>
    <n v="44911"/>
    <n v="22455.5"/>
    <n v="28800"/>
    <n v="30411"/>
    <n v="0.3228607690766182"/>
  </r>
  <r>
    <x v="19"/>
    <s v="Porto"/>
    <s v="University of Porto"/>
    <s v="Software Engineering"/>
    <x v="0"/>
    <n v="2"/>
    <n v="6500"/>
    <n v="62.4"/>
    <n v="700"/>
    <n v="75"/>
    <n v="400"/>
    <n v="0.92"/>
    <n v="24175"/>
    <n v="12087.5"/>
    <n v="16800"/>
    <n v="17675"/>
    <n v="0.26887280248190282"/>
  </r>
  <r>
    <x v="15"/>
    <s v="Christchurch"/>
    <s v="University of Canterbury"/>
    <s v="Mechanical Engineering"/>
    <x v="2"/>
    <n v="4"/>
    <n v="31000"/>
    <n v="72.400000000000006"/>
    <n v="950"/>
    <n v="330"/>
    <n v="600"/>
    <n v="1.65"/>
    <n v="79330"/>
    <n v="19832.5"/>
    <n v="45600"/>
    <n v="48330"/>
    <n v="0.39077272154292197"/>
  </r>
  <r>
    <x v="0"/>
    <s v="San Diego"/>
    <s v="UC San Diego"/>
    <s v="Biotechnology"/>
    <x v="0"/>
    <n v="2"/>
    <n v="49000"/>
    <n v="75.599999999999994"/>
    <n v="1900"/>
    <n v="160"/>
    <n v="1500"/>
    <n v="1"/>
    <n v="97760"/>
    <n v="48880"/>
    <n v="45600"/>
    <n v="48760"/>
    <n v="0.50122749590834692"/>
  </r>
  <r>
    <x v="10"/>
    <s v="Gothenburg"/>
    <s v="Chalmers University"/>
    <s v="Sustainable Energy"/>
    <x v="0"/>
    <n v="2"/>
    <n v="0"/>
    <n v="71.2"/>
    <n v="950"/>
    <n v="120"/>
    <n v="750"/>
    <n v="10.45"/>
    <n v="24420"/>
    <n v="12210"/>
    <n v="22800"/>
    <n v="24420"/>
    <n v="0"/>
  </r>
  <r>
    <x v="6"/>
    <s v="Delft"/>
    <s v="TU Delft"/>
    <s v="Computer Science"/>
    <x v="0"/>
    <n v="2"/>
    <n v="15500"/>
    <n v="76.5"/>
    <n v="1100"/>
    <n v="171"/>
    <n v="720"/>
    <n v="0.92"/>
    <n v="43511"/>
    <n v="21755.5"/>
    <n v="26400"/>
    <n v="28011"/>
    <n v="0.35623175748661257"/>
  </r>
  <r>
    <x v="19"/>
    <s v="Coimbra"/>
    <s v="University of Coimbra"/>
    <s v="Data Science"/>
    <x v="1"/>
    <n v="3"/>
    <n v="6000"/>
    <n v="58.9"/>
    <n v="600"/>
    <n v="75"/>
    <n v="400"/>
    <n v="0.92"/>
    <n v="28875"/>
    <n v="9625"/>
    <n v="21600"/>
    <n v="22875"/>
    <n v="0.20779220779220781"/>
  </r>
  <r>
    <x v="15"/>
    <s v="Dunedin"/>
    <s v="University of Otago"/>
    <s v="Information Systems"/>
    <x v="0"/>
    <n v="2"/>
    <n v="29000"/>
    <n v="70.2"/>
    <n v="900"/>
    <n v="330"/>
    <n v="600"/>
    <n v="1.65"/>
    <n v="52130"/>
    <n v="26065"/>
    <n v="21600"/>
    <n v="23130"/>
    <n v="0.55630155380778823"/>
  </r>
  <r>
    <x v="0"/>
    <s v="Seattle"/>
    <s v="University of Washington"/>
    <s v="Computer Engineering"/>
    <x v="0"/>
    <n v="2"/>
    <n v="51000"/>
    <n v="77.8"/>
    <n v="2100"/>
    <n v="160"/>
    <n v="1500"/>
    <n v="1"/>
    <n v="104560"/>
    <n v="52280"/>
    <n v="50400"/>
    <n v="53560"/>
    <n v="0.48775822494261667"/>
  </r>
  <r>
    <x v="10"/>
    <s v="Lund"/>
    <s v="Lund University"/>
    <s v="Physics"/>
    <x v="2"/>
    <n v="4"/>
    <n v="0"/>
    <n v="73.400000000000006"/>
    <n v="1000"/>
    <n v="120"/>
    <n v="750"/>
    <n v="10.45"/>
    <n v="51120"/>
    <n v="12780"/>
    <n v="48000"/>
    <n v="51120"/>
    <n v="0"/>
  </r>
  <r>
    <x v="6"/>
    <s v="Eindhoven"/>
    <s v="TU Eindhoven"/>
    <s v="Artificial Intelligence"/>
    <x v="0"/>
    <n v="2"/>
    <n v="14800"/>
    <n v="72.3"/>
    <n v="950"/>
    <n v="171"/>
    <n v="720"/>
    <n v="0.92"/>
    <n v="39211"/>
    <n v="19605.5"/>
    <n v="22800"/>
    <n v="24411"/>
    <n v="0.37744510469001047"/>
  </r>
  <r>
    <x v="19"/>
    <s v="Braga"/>
    <s v="University of Minho"/>
    <s v="Computer Science"/>
    <x v="0"/>
    <n v="2"/>
    <n v="6200"/>
    <n v="57.8"/>
    <n v="550"/>
    <n v="75"/>
    <n v="400"/>
    <n v="0.92"/>
    <n v="20275"/>
    <n v="10137.5"/>
    <n v="13200"/>
    <n v="14075"/>
    <n v="0.30579531442663377"/>
  </r>
  <r>
    <x v="15"/>
    <s v="Hamilton"/>
    <s v="University of Waikato"/>
    <s v="Environmental Science"/>
    <x v="0"/>
    <n v="2"/>
    <n v="28500"/>
    <n v="68.900000000000006"/>
    <n v="850"/>
    <n v="330"/>
    <n v="600"/>
    <n v="1.65"/>
    <n v="50430"/>
    <n v="25215"/>
    <n v="20400"/>
    <n v="21930"/>
    <n v="0.56513979773944079"/>
  </r>
  <r>
    <x v="0"/>
    <s v="Atlanta"/>
    <s v="Georgia Tech"/>
    <s v="Machine Learning"/>
    <x v="2"/>
    <n v="5"/>
    <n v="48000"/>
    <n v="71.2"/>
    <n v="1700"/>
    <n v="160"/>
    <n v="1500"/>
    <n v="1"/>
    <n v="157660"/>
    <n v="31532"/>
    <n v="102000"/>
    <n v="109660"/>
    <n v="0.30445261956108083"/>
  </r>
  <r>
    <x v="10"/>
    <s v="LinkÃ¶ping"/>
    <s v="LinkÃ¶ping University"/>
    <s v="Computer Science"/>
    <x v="0"/>
    <n v="2"/>
    <n v="0"/>
    <n v="69.8"/>
    <n v="850"/>
    <n v="120"/>
    <n v="750"/>
    <n v="10.45"/>
    <n v="22020"/>
    <n v="11010"/>
    <n v="20400"/>
    <n v="22020"/>
    <n v="0"/>
  </r>
  <r>
    <x v="6"/>
    <s v="Utrecht"/>
    <s v="Utrecht University"/>
    <s v="Data Science"/>
    <x v="1"/>
    <n v="3"/>
    <n v="13900"/>
    <n v="75.400000000000006"/>
    <n v="1100"/>
    <n v="171"/>
    <n v="720"/>
    <n v="0.92"/>
    <n v="55831"/>
    <n v="18610.333333333332"/>
    <n v="39600"/>
    <n v="41931"/>
    <n v="0.24896562841432179"/>
  </r>
  <r>
    <x v="19"/>
    <s v="Aveiro"/>
    <s v="University of Aveiro"/>
    <s v="Robotics"/>
    <x v="2"/>
    <n v="4"/>
    <n v="6800"/>
    <n v="56.7"/>
    <n v="500"/>
    <n v="75"/>
    <n v="400"/>
    <n v="0.92"/>
    <n v="32475"/>
    <n v="8118.75"/>
    <n v="24000"/>
    <n v="25675"/>
    <n v="0.20939183987682833"/>
  </r>
  <r>
    <x v="15"/>
    <s v="Palmerston North"/>
    <s v="Massey University"/>
    <s v="Computer Engineering"/>
    <x v="1"/>
    <n v="3"/>
    <n v="27500"/>
    <n v="67.5"/>
    <n v="800"/>
    <n v="330"/>
    <n v="600"/>
    <n v="1.65"/>
    <n v="58430"/>
    <n v="19476.666666666668"/>
    <n v="28800"/>
    <n v="30930"/>
    <n v="0.47064863939756973"/>
  </r>
  <r>
    <x v="0"/>
    <s v="Pittsburgh"/>
    <s v="Carnegie Mellon"/>
    <s v="Software Engineering"/>
    <x v="0"/>
    <n v="2"/>
    <n v="56000"/>
    <n v="65.400000000000006"/>
    <n v="1500"/>
    <n v="160"/>
    <n v="1500"/>
    <n v="1"/>
    <n v="95160"/>
    <n v="47580"/>
    <n v="36000"/>
    <n v="39160"/>
    <n v="0.58848255569567043"/>
  </r>
  <r>
    <x v="10"/>
    <s v="UmeÃ¥"/>
    <s v="UmeÃ¥ University"/>
    <s v="Artificial Intelligence"/>
    <x v="0"/>
    <n v="2"/>
    <n v="0"/>
    <n v="68.5"/>
    <n v="800"/>
    <n v="120"/>
    <n v="750"/>
    <n v="10.45"/>
    <n v="20820"/>
    <n v="10410"/>
    <n v="19200"/>
    <n v="20820"/>
    <n v="0"/>
  </r>
  <r>
    <x v="6"/>
    <s v="Groningen"/>
    <s v="University of Groningen"/>
    <s v="Computing Science"/>
    <x v="2"/>
    <n v="4"/>
    <n v="14200"/>
    <n v="71.2"/>
    <n v="900"/>
    <n v="171"/>
    <n v="720"/>
    <n v="0.92"/>
    <n v="60451"/>
    <n v="15112.75"/>
    <n v="43200"/>
    <n v="46251"/>
    <n v="0.23490099419364444"/>
  </r>
  <r>
    <x v="19"/>
    <s v="Faro"/>
    <s v="University of Algarve"/>
    <s v="Information Systems"/>
    <x v="0"/>
    <n v="2"/>
    <n v="5900"/>
    <n v="55.4"/>
    <n v="480"/>
    <n v="75"/>
    <n v="400"/>
    <n v="0.92"/>
    <n v="18295"/>
    <n v="9147.5"/>
    <n v="11520"/>
    <n v="12395"/>
    <n v="0.32249248428532384"/>
  </r>
  <r>
    <x v="15"/>
    <s v="Auckland"/>
    <s v="AUT University"/>
    <s v="Data Analytics"/>
    <x v="0"/>
    <n v="2"/>
    <n v="29500"/>
    <n v="79.5"/>
    <n v="1150"/>
    <n v="330"/>
    <n v="600"/>
    <n v="1.65"/>
    <n v="58630"/>
    <n v="29315"/>
    <n v="27600"/>
    <n v="29130"/>
    <n v="0.5031553812041617"/>
  </r>
  <r>
    <x v="0"/>
    <s v="Raleigh"/>
    <s v="NC State University"/>
    <s v="Computer Science"/>
    <x v="0"/>
    <n v="2"/>
    <n v="47000"/>
    <n v="67.8"/>
    <n v="1400"/>
    <n v="160"/>
    <n v="1500"/>
    <n v="1"/>
    <n v="83760"/>
    <n v="41880"/>
    <n v="33600"/>
    <n v="36760"/>
    <n v="0.56112702960840499"/>
  </r>
  <r>
    <x v="10"/>
    <s v="Karlstad"/>
    <s v="Karlstad University"/>
    <s v="Information Systems"/>
    <x v="1"/>
    <n v="3"/>
    <n v="0"/>
    <n v="67.2"/>
    <n v="750"/>
    <n v="120"/>
    <n v="750"/>
    <n v="10.45"/>
    <n v="29370"/>
    <n v="9790"/>
    <n v="27000"/>
    <n v="29370"/>
    <n v="0"/>
  </r>
  <r>
    <x v="6"/>
    <s v="Tilburg"/>
    <s v="Tilburg University"/>
    <s v="Data Science"/>
    <x v="0"/>
    <n v="2"/>
    <n v="14000"/>
    <n v="70.5"/>
    <n v="950"/>
    <n v="171"/>
    <n v="720"/>
    <n v="0.92"/>
    <n v="38411"/>
    <n v="19205.5"/>
    <n v="22800"/>
    <n v="24411"/>
    <n v="0.36447892530785453"/>
  </r>
  <r>
    <x v="19"/>
    <s v="Vila Real"/>
    <s v="UTAD"/>
    <s v="Computer Engineering"/>
    <x v="0"/>
    <n v="2"/>
    <n v="5700"/>
    <n v="54.3"/>
    <n v="450"/>
    <n v="75"/>
    <n v="400"/>
    <n v="0.92"/>
    <n v="17375"/>
    <n v="8687.5"/>
    <n v="10800"/>
    <n v="11675"/>
    <n v="0.32805755395683456"/>
  </r>
  <r>
    <x v="15"/>
    <s v="Christchurch"/>
    <s v="Lincoln University"/>
    <s v="Environmental Computing"/>
    <x v="2"/>
    <n v="4"/>
    <n v="28000"/>
    <n v="72.400000000000006"/>
    <n v="900"/>
    <n v="330"/>
    <n v="600"/>
    <n v="1.65"/>
    <n v="73930"/>
    <n v="18482.5"/>
    <n v="43200"/>
    <n v="45930"/>
    <n v="0.37873664277018804"/>
  </r>
  <r>
    <x v="0"/>
    <s v="Davis"/>
    <s v="UC Davis"/>
    <s v="Data Science"/>
    <x v="0"/>
    <n v="2"/>
    <n v="48000"/>
    <n v="73.2"/>
    <n v="1600"/>
    <n v="160"/>
    <n v="1500"/>
    <n v="1"/>
    <n v="89560"/>
    <n v="44780"/>
    <n v="38400"/>
    <n v="41560"/>
    <n v="0.53595355069227335"/>
  </r>
  <r>
    <x v="10"/>
    <s v="VÃ¤xjÃ¶"/>
    <s v="Linnaeus University"/>
    <s v="Software Engineering"/>
    <x v="0"/>
    <n v="2"/>
    <n v="0"/>
    <n v="66.5"/>
    <n v="700"/>
    <n v="120"/>
    <n v="750"/>
    <n v="10.45"/>
    <n v="18420"/>
    <n v="9210"/>
    <n v="16800"/>
    <n v="18420"/>
    <n v="0"/>
  </r>
  <r>
    <x v="6"/>
    <s v="Wageningen"/>
    <s v="Wageningen University"/>
    <s v="Bioinformatics"/>
    <x v="0"/>
    <n v="2"/>
    <n v="14500"/>
    <n v="69.8"/>
    <n v="900"/>
    <n v="171"/>
    <n v="720"/>
    <n v="0.92"/>
    <n v="37711"/>
    <n v="18855.5"/>
    <n v="21600"/>
    <n v="23211"/>
    <n v="0.38450319535414068"/>
  </r>
  <r>
    <x v="19"/>
    <s v="Funchal"/>
    <s v="University of Madeira"/>
    <s v="Computing"/>
    <x v="1"/>
    <n v="3"/>
    <n v="5500"/>
    <n v="53.2"/>
    <n v="400"/>
    <n v="75"/>
    <n v="400"/>
    <n v="0.92"/>
    <n v="21175"/>
    <n v="7058.333333333333"/>
    <n v="14400"/>
    <n v="15675"/>
    <n v="0.25974025974025972"/>
  </r>
  <r>
    <x v="26"/>
    <s v="Madrid"/>
    <s v="Universidad PolitÃ©cnica de Madrid"/>
    <s v="Computer Science"/>
    <x v="0"/>
    <n v="2"/>
    <n v="3500"/>
    <n v="71.400000000000006"/>
    <n v="1100"/>
    <n v="80"/>
    <n v="750"/>
    <n v="0.92"/>
    <n v="31480"/>
    <n v="15740"/>
    <n v="26400"/>
    <n v="27980"/>
    <n v="0.11118170266836086"/>
  </r>
  <r>
    <x v="27"/>
    <s v="Milan"/>
    <s v="Politecnico di Milano"/>
    <s v="Data Engineering"/>
    <x v="0"/>
    <n v="2"/>
    <n v="4000"/>
    <n v="73.2"/>
    <n v="1200"/>
    <n v="120"/>
    <n v="700"/>
    <n v="0.92"/>
    <n v="34320"/>
    <n v="17160"/>
    <n v="28800"/>
    <n v="30320"/>
    <n v="0.11655011655011654"/>
  </r>
  <r>
    <x v="34"/>
    <s v="Athens"/>
    <s v="National Technical University"/>
    <s v="Electrical Engineering"/>
    <x v="2"/>
    <n v="4"/>
    <n v="0"/>
    <n v="65.8"/>
    <n v="650"/>
    <n v="100"/>
    <n v="600"/>
    <n v="0.92"/>
    <n v="33700"/>
    <n v="8425"/>
    <n v="31200"/>
    <n v="33700"/>
    <n v="0"/>
  </r>
  <r>
    <x v="16"/>
    <s v="Vienna"/>
    <s v="TU Wien"/>
    <s v="Software Engineering"/>
    <x v="0"/>
    <n v="2"/>
    <n v="1500"/>
    <n v="78.5"/>
    <n v="950"/>
    <n v="160"/>
    <n v="850"/>
    <n v="0.92"/>
    <n v="26160"/>
    <n v="13080"/>
    <n v="22800"/>
    <n v="24660"/>
    <n v="5.7339449541284407E-2"/>
  </r>
  <r>
    <x v="33"/>
    <s v="Mexico City"/>
    <s v="UNAM"/>
    <s v="Computer Engineering"/>
    <x v="1"/>
    <n v="4"/>
    <n v="800"/>
    <n v="52.4"/>
    <n v="600"/>
    <n v="40"/>
    <n v="400"/>
    <n v="17.05"/>
    <n v="31240"/>
    <n v="7810"/>
    <n v="28800"/>
    <n v="30440"/>
    <n v="2.5608194622279128E-2"/>
  </r>
  <r>
    <x v="26"/>
    <s v="Barcelona"/>
    <s v="Universitat PolitÃ¨cnica Catalunya"/>
    <s v="Artificial Intelligence"/>
    <x v="0"/>
    <n v="2"/>
    <n v="3800"/>
    <n v="73.599999999999994"/>
    <n v="1000"/>
    <n v="80"/>
    <n v="750"/>
    <n v="0.92"/>
    <n v="29380"/>
    <n v="14690"/>
    <n v="24000"/>
    <n v="25580"/>
    <n v="0.12933968686181074"/>
  </r>
  <r>
    <x v="27"/>
    <s v="Rome"/>
    <s v="Sapienza University"/>
    <s v="Robotics"/>
    <x v="2"/>
    <n v="4"/>
    <n v="3500"/>
    <n v="71.2"/>
    <n v="1100"/>
    <n v="120"/>
    <n v="700"/>
    <n v="0.92"/>
    <n v="59220"/>
    <n v="14805"/>
    <n v="52800"/>
    <n v="55720"/>
    <n v="5.9101654846335699E-2"/>
  </r>
  <r>
    <x v="34"/>
    <s v="Thessaloniki"/>
    <s v="Aristotle University"/>
    <s v="Computer Engineering"/>
    <x v="0"/>
    <n v="2"/>
    <n v="0"/>
    <n v="62.4"/>
    <n v="500"/>
    <n v="100"/>
    <n v="600"/>
    <n v="0.92"/>
    <n v="13300"/>
    <n v="6650"/>
    <n v="12000"/>
    <n v="13300"/>
    <n v="0"/>
  </r>
  <r>
    <x v="16"/>
    <s v="Graz"/>
    <s v="TU Graz"/>
    <s v="Mechanical Engineering"/>
    <x v="1"/>
    <n v="3"/>
    <n v="1500"/>
    <n v="71.2"/>
    <n v="750"/>
    <n v="160"/>
    <n v="850"/>
    <n v="0.92"/>
    <n v="31210"/>
    <n v="10403.333333333334"/>
    <n v="27000"/>
    <n v="29710"/>
    <n v="4.806151874399231E-2"/>
  </r>
  <r>
    <x v="33"/>
    <s v="Monterrey"/>
    <s v="TecnolÃ³gico de Monterrey"/>
    <s v="Data Science"/>
    <x v="0"/>
    <n v="2"/>
    <n v="12000"/>
    <n v="48.9"/>
    <n v="700"/>
    <n v="40"/>
    <n v="400"/>
    <n v="17.05"/>
    <n v="29640"/>
    <n v="14820"/>
    <n v="16800"/>
    <n v="17640"/>
    <n v="0.40485829959514169"/>
  </r>
  <r>
    <x v="26"/>
    <s v="Valencia"/>
    <s v="Universitat de ValÃ¨ncia"/>
    <s v="Data Science"/>
    <x v="0"/>
    <n v="2"/>
    <n v="3200"/>
    <n v="68.5"/>
    <n v="800"/>
    <n v="80"/>
    <n v="750"/>
    <n v="0.92"/>
    <n v="23980"/>
    <n v="11990"/>
    <n v="19200"/>
    <n v="20780"/>
    <n v="0.13344453711426188"/>
  </r>
  <r>
    <x v="27"/>
    <s v="Turin"/>
    <s v="Politecnico di Torino"/>
    <s v="Computer Engineering"/>
    <x v="0"/>
    <n v="2"/>
    <n v="3800"/>
    <n v="69.8"/>
    <n v="900"/>
    <n v="120"/>
    <n v="700"/>
    <n v="0.92"/>
    <n v="26920"/>
    <n v="13460"/>
    <n v="21600"/>
    <n v="23120"/>
    <n v="0.14115898959881129"/>
  </r>
  <r>
    <x v="34"/>
    <s v="Patras"/>
    <s v="University of Patras"/>
    <s v="Electronics"/>
    <x v="2"/>
    <n v="4"/>
    <n v="0"/>
    <n v="60.5"/>
    <n v="450"/>
    <n v="100"/>
    <n v="600"/>
    <n v="0.92"/>
    <n v="24100"/>
    <n v="6025"/>
    <n v="21600"/>
    <n v="24100"/>
    <n v="0"/>
  </r>
  <r>
    <x v="16"/>
    <s v="Linz"/>
    <s v="Johannes Kepler University"/>
    <s v="Artificial Intelligence"/>
    <x v="0"/>
    <n v="2"/>
    <n v="1500"/>
    <n v="70.400000000000006"/>
    <n v="700"/>
    <n v="160"/>
    <n v="850"/>
    <n v="0.92"/>
    <n v="20160"/>
    <n v="10080"/>
    <n v="16800"/>
    <n v="18660"/>
    <n v="7.4404761904761904E-2"/>
  </r>
  <r>
    <x v="33"/>
    <s v="Guadalajara"/>
    <s v="Universidad de Guadalajara"/>
    <s v="Software Engineering"/>
    <x v="1"/>
    <n v="4"/>
    <n v="900"/>
    <n v="45.6"/>
    <n v="500"/>
    <n v="40"/>
    <n v="400"/>
    <n v="17.05"/>
    <n v="26540"/>
    <n v="6635"/>
    <n v="24000"/>
    <n v="25640"/>
    <n v="3.3911077618688772E-2"/>
  </r>
  <r>
    <x v="26"/>
    <s v="Seville"/>
    <s v="Universidad de Sevilla"/>
    <s v="Robotics"/>
    <x v="0"/>
    <n v="2"/>
    <n v="3000"/>
    <n v="65.400000000000006"/>
    <n v="750"/>
    <n v="80"/>
    <n v="750"/>
    <n v="0.92"/>
    <n v="22580"/>
    <n v="11290"/>
    <n v="18000"/>
    <n v="19580"/>
    <n v="0.1328609388839681"/>
  </r>
  <r>
    <x v="27"/>
    <s v="Bologna"/>
    <s v="University of Bologna"/>
    <s v="Information Technology"/>
    <x v="2"/>
    <n v="4"/>
    <n v="3600"/>
    <n v="70.5"/>
    <n v="950"/>
    <n v="120"/>
    <n v="700"/>
    <n v="0.92"/>
    <n v="52120"/>
    <n v="13030"/>
    <n v="45600"/>
    <n v="48520"/>
    <n v="6.9071373752877974E-2"/>
  </r>
  <r>
    <x v="34"/>
    <s v="Heraklion"/>
    <s v="University of Crete"/>
    <s v="Computer Science"/>
    <x v="0"/>
    <n v="2"/>
    <n v="0"/>
    <n v="61.2"/>
    <n v="480"/>
    <n v="100"/>
    <n v="600"/>
    <n v="0.92"/>
    <n v="12820"/>
    <n v="6410"/>
    <n v="11520"/>
    <n v="12820"/>
    <n v="0"/>
  </r>
  <r>
    <x v="16"/>
    <s v="Salzburg"/>
    <s v="University of Salzburg"/>
    <s v="Data Analytics"/>
    <x v="1"/>
    <n v="3"/>
    <n v="1500"/>
    <n v="72.3"/>
    <n v="800"/>
    <n v="160"/>
    <n v="850"/>
    <n v="0.92"/>
    <n v="33010"/>
    <n v="11003.333333333334"/>
    <n v="28800"/>
    <n v="31510"/>
    <n v="4.5440775522568921E-2"/>
  </r>
  <r>
    <x v="33"/>
    <s v="Puebla"/>
    <s v="UDLAP"/>
    <s v="Computer Engineering"/>
    <x v="0"/>
    <n v="2"/>
    <n v="10000"/>
    <n v="44.5"/>
    <n v="450"/>
    <n v="40"/>
    <n v="400"/>
    <n v="17.05"/>
    <n v="21640"/>
    <n v="10820"/>
    <n v="10800"/>
    <n v="11640"/>
    <n v="0.46210720887245843"/>
  </r>
  <r>
    <x v="26"/>
    <s v="Bilbao"/>
    <s v="University of the Basque Country"/>
    <s v="Computer Science"/>
    <x v="2"/>
    <n v="4"/>
    <n v="3400"/>
    <n v="67.8"/>
    <n v="850"/>
    <n v="80"/>
    <n v="750"/>
    <n v="0.92"/>
    <n v="47280"/>
    <n v="11820"/>
    <n v="40800"/>
    <n v="43880"/>
    <n v="7.1912013536379021E-2"/>
  </r>
  <r>
    <x v="27"/>
    <s v="Florence"/>
    <s v="University of Florence"/>
    <s v="Cybersecurity"/>
    <x v="0"/>
    <n v="2"/>
    <n v="3500"/>
    <n v="71.2"/>
    <n v="1000"/>
    <n v="120"/>
    <n v="700"/>
    <n v="0.92"/>
    <n v="29020"/>
    <n v="14510"/>
    <n v="24000"/>
    <n v="25520"/>
    <n v="0.1206064782908339"/>
  </r>
  <r>
    <x v="34"/>
    <s v="Volos"/>
    <s v="University of Thessaly"/>
    <s v="Digital Systems"/>
    <x v="0"/>
    <n v="2"/>
    <n v="0"/>
    <n v="59.8"/>
    <n v="400"/>
    <n v="100"/>
    <n v="600"/>
    <n v="0.92"/>
    <n v="10900"/>
    <n v="5450"/>
    <n v="9600"/>
    <n v="10900"/>
    <n v="0"/>
  </r>
  <r>
    <x v="16"/>
    <s v="Innsbruck"/>
    <s v="University of Innsbruck"/>
    <s v="Mechatronics"/>
    <x v="0"/>
    <n v="2"/>
    <n v="1500"/>
    <n v="71.5"/>
    <n v="780"/>
    <n v="160"/>
    <n v="850"/>
    <n v="0.92"/>
    <n v="22080"/>
    <n v="11040"/>
    <n v="18720"/>
    <n v="20580"/>
    <n v="6.7934782608695649E-2"/>
  </r>
  <r>
    <x v="33"/>
    <s v="Queretaro"/>
    <s v="Tecnologico de Monterrey"/>
    <s v="Data Analytics"/>
    <x v="1"/>
    <n v="4"/>
    <n v="11000"/>
    <n v="46.7"/>
    <n v="480"/>
    <n v="40"/>
    <n v="400"/>
    <n v="17.05"/>
    <n v="35680"/>
    <n v="8920"/>
    <n v="23040"/>
    <n v="24680"/>
    <n v="0.30829596412556054"/>
  </r>
  <r>
    <x v="26"/>
    <s v="Granada"/>
    <s v="University of Granada"/>
    <s v="Artificial Intelligence"/>
    <x v="0"/>
    <n v="2"/>
    <n v="2800"/>
    <n v="64.5"/>
    <n v="700"/>
    <n v="80"/>
    <n v="750"/>
    <n v="0.92"/>
    <n v="21180"/>
    <n v="10590"/>
    <n v="16800"/>
    <n v="18380"/>
    <n v="0.13220018885741266"/>
  </r>
  <r>
    <x v="27"/>
    <s v="Naples"/>
    <s v="University of Naples"/>
    <s v="Software Engineering"/>
    <x v="2"/>
    <n v="4"/>
    <n v="3200"/>
    <n v="67.8"/>
    <n v="800"/>
    <n v="120"/>
    <n v="700"/>
    <n v="0.92"/>
    <n v="44520"/>
    <n v="11130"/>
    <n v="38400"/>
    <n v="41320"/>
    <n v="7.1877807726864335E-2"/>
  </r>
  <r>
    <x v="34"/>
    <s v="Ioannina"/>
    <s v="University of Ioannina"/>
    <s v="Information Systems"/>
    <x v="1"/>
    <n v="4"/>
    <n v="0"/>
    <n v="58.9"/>
    <n v="380"/>
    <n v="100"/>
    <n v="600"/>
    <n v="0.92"/>
    <n v="20740"/>
    <n v="5185"/>
    <n v="18240"/>
    <n v="20740"/>
    <n v="0"/>
  </r>
  <r>
    <x v="16"/>
    <s v="Klagenfurt"/>
    <s v="University of Klagenfurt"/>
    <s v="Data Science"/>
    <x v="0"/>
    <n v="2"/>
    <n v="1500"/>
    <n v="69.400000000000006"/>
    <n v="720"/>
    <n v="160"/>
    <n v="850"/>
    <n v="0.92"/>
    <n v="20640"/>
    <n v="10320"/>
    <n v="17280"/>
    <n v="19140"/>
    <n v="7.2674418604651167E-2"/>
  </r>
  <r>
    <x v="33"/>
    <s v="Merida"/>
    <s v="Universidad Autonoma de Yucatan"/>
    <s v="Computer Engineering"/>
    <x v="0"/>
    <n v="2"/>
    <n v="3500"/>
    <n v="43.2"/>
    <n v="400"/>
    <n v="40"/>
    <n v="400"/>
    <n v="17.05"/>
    <n v="13940"/>
    <n v="6970"/>
    <n v="9600"/>
    <n v="10440"/>
    <n v="0.25107604017216645"/>
  </r>
  <r>
    <x v="26"/>
    <s v="Zaragoza"/>
    <s v="University of Zaragoza"/>
    <s v="Robotics"/>
    <x v="0"/>
    <n v="2"/>
    <n v="2900"/>
    <n v="63.2"/>
    <n v="650"/>
    <n v="80"/>
    <n v="750"/>
    <n v="0.92"/>
    <n v="20080"/>
    <n v="10040"/>
    <n v="15600"/>
    <n v="17180"/>
    <n v="0.14442231075697212"/>
  </r>
  <r>
    <x v="27"/>
    <s v="Pisa"/>
    <s v="University of Pisa"/>
    <s v="Computer Engineering"/>
    <x v="0"/>
    <n v="2"/>
    <n v="3300"/>
    <n v="68.900000000000006"/>
    <n v="850"/>
    <n v="120"/>
    <n v="700"/>
    <n v="0.92"/>
    <n v="25220"/>
    <n v="12610"/>
    <n v="20400"/>
    <n v="21920"/>
    <n v="0.13084853291038859"/>
  </r>
  <r>
    <x v="34"/>
    <s v="Rhodes"/>
    <s v="University of the Aegean"/>
    <s v="Digital Innovation"/>
    <x v="0"/>
    <n v="2"/>
    <n v="0"/>
    <n v="61.2"/>
    <n v="420"/>
    <n v="100"/>
    <n v="600"/>
    <n v="0.92"/>
    <n v="11380"/>
    <n v="5690"/>
    <n v="10080"/>
    <n v="11380"/>
    <n v="0"/>
  </r>
  <r>
    <x v="16"/>
    <s v="Leoben"/>
    <s v="MontanuniversitÃ¤t Leoben"/>
    <s v="Industrial Engineering"/>
    <x v="2"/>
    <n v="4"/>
    <n v="1500"/>
    <n v="68.7"/>
    <n v="700"/>
    <n v="160"/>
    <n v="850"/>
    <n v="0.92"/>
    <n v="38660"/>
    <n v="9665"/>
    <n v="33600"/>
    <n v="37160"/>
    <n v="3.8799793067770302E-2"/>
  </r>
  <r>
    <x v="33"/>
    <s v="Tijuana"/>
    <s v="CETYS Universidad"/>
    <s v="Information Technology"/>
    <x v="1"/>
    <n v="4"/>
    <n v="9500"/>
    <n v="45.4"/>
    <n v="550"/>
    <n v="40"/>
    <n v="400"/>
    <n v="17.05"/>
    <n v="37540"/>
    <n v="9385"/>
    <n v="26400"/>
    <n v="28040"/>
    <n v="0.25306339904102293"/>
  </r>
  <r>
    <x v="26"/>
    <s v="Salamanca"/>
    <s v="University of Salamanca"/>
    <s v="Data Science"/>
    <x v="2"/>
    <n v="4"/>
    <n v="3100"/>
    <n v="62.1"/>
    <n v="600"/>
    <n v="80"/>
    <n v="750"/>
    <n v="0.92"/>
    <n v="34980"/>
    <n v="8745"/>
    <n v="28800"/>
    <n v="31880"/>
    <n v="8.862206975414523E-2"/>
  </r>
  <r>
    <x v="27"/>
    <s v="Padua"/>
    <s v="University of Padua"/>
    <s v="Artificial Intelligence"/>
    <x v="0"/>
    <n v="2"/>
    <n v="3400"/>
    <n v="69.5"/>
    <n v="900"/>
    <n v="120"/>
    <n v="700"/>
    <n v="0.92"/>
    <n v="26520"/>
    <n v="13260"/>
    <n v="21600"/>
    <n v="23120"/>
    <n v="0.12820512820512819"/>
  </r>
  <r>
    <x v="34"/>
    <s v="Chania"/>
    <s v="Technical University of Crete"/>
    <s v="Electronic Engineering"/>
    <x v="0"/>
    <n v="2"/>
    <n v="0"/>
    <n v="60.4"/>
    <n v="450"/>
    <n v="100"/>
    <n v="600"/>
    <n v="0.92"/>
    <n v="12100"/>
    <n v="6050"/>
    <n v="10800"/>
    <n v="12100"/>
    <n v="0"/>
  </r>
  <r>
    <x v="16"/>
    <s v="Dornbirn"/>
    <s v="FH Vorarlberg"/>
    <s v="Software Development"/>
    <x v="1"/>
    <n v="3"/>
    <n v="1500"/>
    <n v="70.2"/>
    <n v="800"/>
    <n v="160"/>
    <n v="850"/>
    <n v="0.92"/>
    <n v="33010"/>
    <n v="11003.333333333334"/>
    <n v="28800"/>
    <n v="31510"/>
    <n v="4.5440775522568921E-2"/>
  </r>
  <r>
    <x v="33"/>
    <s v="San Luis Potosi"/>
    <s v="UASLP"/>
    <s v="Computer Systems"/>
    <x v="0"/>
    <n v="2"/>
    <n v="2800"/>
    <n v="42.8"/>
    <n v="380"/>
    <n v="40"/>
    <n v="400"/>
    <n v="17.05"/>
    <n v="12760"/>
    <n v="6380"/>
    <n v="9120"/>
    <n v="9960"/>
    <n v="0.21943573667711599"/>
  </r>
  <r>
    <x v="31"/>
    <s v="Istanbul"/>
    <s v="Bogazici University"/>
    <s v="Computer Engineering"/>
    <x v="0"/>
    <n v="2"/>
    <n v="1500"/>
    <n v="51.2"/>
    <n v="600"/>
    <n v="90"/>
    <n v="500"/>
    <n v="28.5"/>
    <n v="16990"/>
    <n v="8495"/>
    <n v="14400"/>
    <n v="15490"/>
    <n v="8.8287227781047681E-2"/>
  </r>
  <r>
    <x v="34"/>
    <s v="Athens"/>
    <s v="Athens University of Economics"/>
    <s v="Data Science"/>
    <x v="0"/>
    <n v="2"/>
    <n v="0"/>
    <n v="65.8"/>
    <n v="650"/>
    <n v="100"/>
    <n v="600"/>
    <n v="0.92"/>
    <n v="16900"/>
    <n v="8450"/>
    <n v="15600"/>
    <n v="16900"/>
    <n v="0"/>
  </r>
  <r>
    <x v="17"/>
    <s v="Leuven"/>
    <s v="KU Leuven"/>
    <s v="Artificial Intelligence"/>
    <x v="2"/>
    <n v="4"/>
    <n v="3800"/>
    <n v="76.5"/>
    <n v="950"/>
    <n v="180"/>
    <n v="800"/>
    <n v="0.92"/>
    <n v="52780"/>
    <n v="13195"/>
    <n v="45600"/>
    <n v="48980"/>
    <n v="7.1996968548692683E-2"/>
  </r>
  <r>
    <x v="44"/>
    <s v="Budapest"/>
    <s v="Budapest University of Technology"/>
    <s v="Software Engineering"/>
    <x v="0"/>
    <n v="2"/>
    <n v="6500"/>
    <n v="53.4"/>
    <n v="500"/>
    <n v="140"/>
    <n v="450"/>
    <n v="350.25"/>
    <n v="19540"/>
    <n v="9770"/>
    <n v="12000"/>
    <n v="13040"/>
    <n v="0.33265097236438074"/>
  </r>
  <r>
    <x v="32"/>
    <s v="Moscow"/>
    <s v="Moscow State University"/>
    <s v="Computer Science"/>
    <x v="1"/>
    <n v="4"/>
    <n v="5500"/>
    <n v="62.3"/>
    <n v="600"/>
    <n v="160"/>
    <n v="400"/>
    <n v="95.5"/>
    <n v="36060"/>
    <n v="9015"/>
    <n v="28800"/>
    <n v="30560"/>
    <n v="0.15252357182473655"/>
  </r>
  <r>
    <x v="31"/>
    <s v="Ankara"/>
    <s v="Middle East Technical University"/>
    <s v="Data Engineering"/>
    <x v="0"/>
    <n v="2"/>
    <n v="1200"/>
    <n v="48.5"/>
    <n v="450"/>
    <n v="90"/>
    <n v="500"/>
    <n v="28.5"/>
    <n v="13090"/>
    <n v="6545"/>
    <n v="10800"/>
    <n v="11890"/>
    <n v="9.1673032849503441E-2"/>
  </r>
  <r>
    <x v="34"/>
    <s v="Thessaloniki"/>
    <s v="University of Macedonia"/>
    <s v="Information Systems"/>
    <x v="2"/>
    <n v="4"/>
    <n v="0"/>
    <n v="62.4"/>
    <n v="500"/>
    <n v="100"/>
    <n v="600"/>
    <n v="0.92"/>
    <n v="26500"/>
    <n v="6625"/>
    <n v="24000"/>
    <n v="26500"/>
    <n v="0"/>
  </r>
  <r>
    <x v="17"/>
    <s v="Ghent"/>
    <s v="Ghent University"/>
    <s v="Computer Science"/>
    <x v="0"/>
    <n v="2"/>
    <n v="3500"/>
    <n v="72.8"/>
    <n v="850"/>
    <n v="180"/>
    <n v="800"/>
    <n v="0.92"/>
    <n v="25680"/>
    <n v="12840"/>
    <n v="20400"/>
    <n v="22180"/>
    <n v="0.13629283489096572"/>
  </r>
  <r>
    <x v="44"/>
    <s v="Debrecen"/>
    <s v="University of Debrecen"/>
    <s v="Mechatronics"/>
    <x v="1"/>
    <n v="3"/>
    <n v="5800"/>
    <n v="48.9"/>
    <n v="400"/>
    <n v="140"/>
    <n v="450"/>
    <n v="350.25"/>
    <n v="21690"/>
    <n v="7230"/>
    <n v="14400"/>
    <n v="15890"/>
    <n v="0.26740433379437528"/>
  </r>
  <r>
    <x v="32"/>
    <s v="Saint Petersburg"/>
    <s v="ITMO University"/>
    <s v="Data Science"/>
    <x v="0"/>
    <n v="2"/>
    <n v="5000"/>
    <n v="60.1"/>
    <n v="550"/>
    <n v="160"/>
    <n v="400"/>
    <n v="95.5"/>
    <n v="19160"/>
    <n v="9580"/>
    <n v="13200"/>
    <n v="14160"/>
    <n v="0.26096033402922758"/>
  </r>
  <r>
    <x v="31"/>
    <s v="Izmir"/>
    <s v="Ege University"/>
    <s v="Electronics Engineering"/>
    <x v="2"/>
    <n v="4"/>
    <n v="1300"/>
    <n v="47.8"/>
    <n v="400"/>
    <n v="90"/>
    <n v="500"/>
    <n v="28.5"/>
    <n v="22590"/>
    <n v="5647.5"/>
    <n v="19200"/>
    <n v="21290"/>
    <n v="5.7547587428065518E-2"/>
  </r>
  <r>
    <x v="34"/>
    <s v="Patras"/>
    <s v="University of Patras"/>
    <s v="Computer Engineering"/>
    <x v="0"/>
    <n v="2"/>
    <n v="0"/>
    <n v="60.5"/>
    <n v="450"/>
    <n v="100"/>
    <n v="600"/>
    <n v="0.92"/>
    <n v="12100"/>
    <n v="6050"/>
    <n v="10800"/>
    <n v="12100"/>
    <n v="0"/>
  </r>
  <r>
    <x v="17"/>
    <s v="Brussels"/>
    <s v="Vrije Universiteit Brussel"/>
    <s v="Robotics"/>
    <x v="0"/>
    <n v="2"/>
    <n v="3600"/>
    <n v="75.400000000000006"/>
    <n v="900"/>
    <n v="180"/>
    <n v="800"/>
    <n v="0.92"/>
    <n v="26980"/>
    <n v="13490"/>
    <n v="21600"/>
    <n v="23380"/>
    <n v="0.1334321719792439"/>
  </r>
  <r>
    <x v="44"/>
    <s v="Szeged"/>
    <s v="University of Szeged"/>
    <s v="Computer Science"/>
    <x v="2"/>
    <n v="4"/>
    <n v="6000"/>
    <n v="47.2"/>
    <n v="380"/>
    <n v="140"/>
    <n v="450"/>
    <n v="350.25"/>
    <n v="26180"/>
    <n v="6545"/>
    <n v="18240"/>
    <n v="20180"/>
    <n v="0.22918258212375858"/>
  </r>
  <r>
    <x v="32"/>
    <s v="Novosibirsk"/>
    <s v="Novosibirsk State University"/>
    <s v="Mathematics"/>
    <x v="0"/>
    <n v="2"/>
    <n v="4800"/>
    <n v="55.4"/>
    <n v="400"/>
    <n v="160"/>
    <n v="400"/>
    <n v="95.5"/>
    <n v="15360"/>
    <n v="7680"/>
    <n v="9600"/>
    <n v="10560"/>
    <n v="0.3125"/>
  </r>
  <r>
    <x v="31"/>
    <s v="Eskisehir"/>
    <s v="Anadolu University"/>
    <s v="Information Systems"/>
    <x v="1"/>
    <n v="4"/>
    <n v="1000"/>
    <n v="45.6"/>
    <n v="350"/>
    <n v="90"/>
    <n v="500"/>
    <n v="28.5"/>
    <n v="19890"/>
    <n v="4972.5"/>
    <n v="16800"/>
    <n v="18890"/>
    <n v="5.0276520864756161E-2"/>
  </r>
  <r>
    <x v="34"/>
    <s v="Heraklion"/>
    <s v="University of Crete"/>
    <s v="Data Analytics"/>
    <x v="0"/>
    <n v="2"/>
    <n v="0"/>
    <n v="61.2"/>
    <n v="480"/>
    <n v="100"/>
    <n v="600"/>
    <n v="0.92"/>
    <n v="12820"/>
    <n v="6410"/>
    <n v="11520"/>
    <n v="12820"/>
    <n v="0"/>
  </r>
  <r>
    <x v="17"/>
    <s v="Antwerp"/>
    <s v="University of Antwerp"/>
    <s v="Computer Science"/>
    <x v="2"/>
    <n v="4"/>
    <n v="3700"/>
    <n v="71.2"/>
    <n v="800"/>
    <n v="180"/>
    <n v="800"/>
    <n v="0.92"/>
    <n v="45480"/>
    <n v="11370"/>
    <n v="38400"/>
    <n v="41780"/>
    <n v="8.1354441512752854E-2"/>
  </r>
  <r>
    <x v="44"/>
    <s v="Pecs"/>
    <s v="University of Pecs"/>
    <s v="Software Development"/>
    <x v="0"/>
    <n v="2"/>
    <n v="5500"/>
    <n v="46.8"/>
    <n v="350"/>
    <n v="140"/>
    <n v="450"/>
    <n v="350.25"/>
    <n v="14940"/>
    <n v="7470"/>
    <n v="8400"/>
    <n v="9440"/>
    <n v="0.36813922356091033"/>
  </r>
  <r>
    <x v="32"/>
    <s v="Kazan"/>
    <s v="Kazan Federal University"/>
    <s v="Artificial Intelligence"/>
    <x v="1"/>
    <n v="4"/>
    <n v="4500"/>
    <n v="52.3"/>
    <n v="380"/>
    <n v="160"/>
    <n v="400"/>
    <n v="95.5"/>
    <n v="24500"/>
    <n v="6125"/>
    <n v="18240"/>
    <n v="20000"/>
    <n v="0.18367346938775511"/>
  </r>
  <r>
    <x v="31"/>
    <s v="Bursa"/>
    <s v="Uludag University"/>
    <s v="Computer Science"/>
    <x v="0"/>
    <n v="2"/>
    <n v="1100"/>
    <n v="46.5"/>
    <n v="380"/>
    <n v="90"/>
    <n v="500"/>
    <n v="28.5"/>
    <n v="11310"/>
    <n v="5655"/>
    <n v="9120"/>
    <n v="10210"/>
    <n v="9.7259062776304153E-2"/>
  </r>
  <r>
    <x v="34"/>
    <s v="Volos"/>
    <s v="University of Thessaly"/>
    <s v="Cybersecurity"/>
    <x v="2"/>
    <n v="4"/>
    <n v="0"/>
    <n v="59.8"/>
    <n v="400"/>
    <n v="100"/>
    <n v="600"/>
    <n v="0.92"/>
    <n v="21700"/>
    <n v="5425"/>
    <n v="19200"/>
    <n v="21700"/>
    <n v="0"/>
  </r>
  <r>
    <x v="17"/>
    <s v="Louvain"/>
    <s v="UCLouvain"/>
    <s v="Data Engineering"/>
    <x v="0"/>
    <n v="2"/>
    <n v="3500"/>
    <n v="70.5"/>
    <n v="780"/>
    <n v="180"/>
    <n v="800"/>
    <n v="0.92"/>
    <n v="24000"/>
    <n v="12000"/>
    <n v="18720"/>
    <n v="20500"/>
    <n v="0.14583333333333334"/>
  </r>
  <r>
    <x v="44"/>
    <s v="Gyor"/>
    <s v="Szechenyi Istvan University"/>
    <s v="Robotics"/>
    <x v="1"/>
    <n v="3"/>
    <n v="5200"/>
    <n v="45.6"/>
    <n v="320"/>
    <n v="140"/>
    <n v="450"/>
    <n v="350.25"/>
    <n v="18210"/>
    <n v="6070"/>
    <n v="11520"/>
    <n v="13010"/>
    <n v="0.28555738605162001"/>
  </r>
  <r>
    <x v="32"/>
    <s v="Tomsk"/>
    <s v="Tomsk State University"/>
    <s v="Software Engineering"/>
    <x v="0"/>
    <n v="2"/>
    <n v="4600"/>
    <n v="51.2"/>
    <n v="350"/>
    <n v="160"/>
    <n v="400"/>
    <n v="95.5"/>
    <n v="13960"/>
    <n v="6980"/>
    <n v="8400"/>
    <n v="9360"/>
    <n v="0.32951289398280803"/>
  </r>
  <r>
    <x v="31"/>
    <s v="Antalya"/>
    <s v="Akdeniz University"/>
    <s v="Data Science"/>
    <x v="2"/>
    <n v="4"/>
    <n v="1400"/>
    <n v="47.8"/>
    <n v="420"/>
    <n v="90"/>
    <n v="500"/>
    <n v="28.5"/>
    <n v="23650"/>
    <n v="5912.5"/>
    <n v="20160"/>
    <n v="22250"/>
    <n v="5.9196617336152217E-2"/>
  </r>
  <r>
    <x v="34"/>
    <s v="Piraeus"/>
    <s v="University of Piraeus"/>
    <s v="Information Technology"/>
    <x v="0"/>
    <n v="2"/>
    <n v="0"/>
    <n v="63.4"/>
    <n v="550"/>
    <n v="100"/>
    <n v="600"/>
    <n v="0.92"/>
    <n v="14500"/>
    <n v="7250"/>
    <n v="13200"/>
    <n v="14500"/>
    <n v="0"/>
  </r>
  <r>
    <x v="17"/>
    <s v="Hasselt"/>
    <s v="Hasselt University"/>
    <s v="Artificial Intelligence"/>
    <x v="1"/>
    <n v="3"/>
    <n v="3400"/>
    <n v="69.8"/>
    <n v="750"/>
    <n v="180"/>
    <n v="800"/>
    <n v="0.92"/>
    <n v="32980"/>
    <n v="10993.333333333334"/>
    <n v="27000"/>
    <n v="29580"/>
    <n v="0.10309278350515463"/>
  </r>
  <r>
    <x v="44"/>
    <s v="Miskolc"/>
    <s v="University of Miskolc"/>
    <s v="Computer Engineering"/>
    <x v="0"/>
    <n v="2"/>
    <n v="5300"/>
    <n v="44.5"/>
    <n v="300"/>
    <n v="140"/>
    <n v="450"/>
    <n v="350.25"/>
    <n v="13540"/>
    <n v="6770"/>
    <n v="7200"/>
    <n v="8240"/>
    <n v="0.39143279172821271"/>
  </r>
  <r>
    <x v="32"/>
    <s v="Yekaterinburg"/>
    <s v="Ural Federal University"/>
    <s v="Data Analytics"/>
    <x v="2"/>
    <n v="4"/>
    <n v="4700"/>
    <n v="53.4"/>
    <n v="400"/>
    <n v="160"/>
    <n v="400"/>
    <n v="95.5"/>
    <n v="25660"/>
    <n v="6415"/>
    <n v="19200"/>
    <n v="20960"/>
    <n v="0.18316445830085737"/>
  </r>
  <r>
    <x v="31"/>
    <s v="Kayseri"/>
    <s v="Erciyes University"/>
    <s v="Software Engineering"/>
    <x v="0"/>
    <n v="2"/>
    <n v="1200"/>
    <n v="45.2"/>
    <n v="350"/>
    <n v="90"/>
    <n v="500"/>
    <n v="28.5"/>
    <n v="10690"/>
    <n v="5345"/>
    <n v="8400"/>
    <n v="9490"/>
    <n v="0.11225444340505145"/>
  </r>
  <r>
    <x v="34"/>
    <s v="Xanthi"/>
    <s v="Democritus University"/>
    <s v="Computer Engineering"/>
    <x v="1"/>
    <n v="4"/>
    <n v="0"/>
    <n v="58.7"/>
    <n v="380"/>
    <n v="100"/>
    <n v="600"/>
    <n v="0.92"/>
    <n v="20740"/>
    <n v="5185"/>
    <n v="18240"/>
    <n v="20740"/>
    <n v="0"/>
  </r>
  <r>
    <x v="17"/>
    <s v="Liege"/>
    <s v="University of Liege"/>
    <s v="Data Science"/>
    <x v="2"/>
    <n v="4"/>
    <n v="3600"/>
    <n v="68.900000000000006"/>
    <n v="720"/>
    <n v="180"/>
    <n v="800"/>
    <n v="0.92"/>
    <n v="41540"/>
    <n v="10385"/>
    <n v="34560"/>
    <n v="37940"/>
    <n v="8.6663456909003372E-2"/>
  </r>
  <r>
    <x v="44"/>
    <s v="Veszprem"/>
    <s v="University of Pannonia"/>
    <s v="Information Systems"/>
    <x v="0"/>
    <n v="2"/>
    <n v="5100"/>
    <n v="44.8"/>
    <n v="310"/>
    <n v="140"/>
    <n v="450"/>
    <n v="350.25"/>
    <n v="13580"/>
    <n v="6790"/>
    <n v="7440"/>
    <n v="8480"/>
    <n v="0.37555228276877761"/>
  </r>
  <r>
    <x v="32"/>
    <s v="Samara"/>
    <s v="Samara State University"/>
    <s v="Computer Science"/>
    <x v="0"/>
    <n v="2"/>
    <n v="4400"/>
    <n v="50.5"/>
    <n v="370"/>
    <n v="160"/>
    <n v="400"/>
    <n v="95.5"/>
    <n v="14240"/>
    <n v="7120"/>
    <n v="8880"/>
    <n v="9840"/>
    <n v="0.3089887640449438"/>
  </r>
  <r>
    <x v="31"/>
    <s v="Konya"/>
    <s v="Selcuk University"/>
    <s v="Artificial Intelligence"/>
    <x v="1"/>
    <n v="4"/>
    <n v="1000"/>
    <n v="44.5"/>
    <n v="330"/>
    <n v="90"/>
    <n v="500"/>
    <n v="28.5"/>
    <n v="18930"/>
    <n v="4732.5"/>
    <n v="15840"/>
    <n v="17930"/>
    <n v="5.2826201796090863E-2"/>
  </r>
  <r>
    <x v="34"/>
    <s v="Chios"/>
    <s v="University of the Aegean"/>
    <s v="Digital Systems"/>
    <x v="0"/>
    <n v="2"/>
    <n v="0"/>
    <n v="59.2"/>
    <n v="400"/>
    <n v="100"/>
    <n v="600"/>
    <n v="0.92"/>
    <n v="10900"/>
    <n v="5450"/>
    <n v="9600"/>
    <n v="10900"/>
    <n v="0"/>
  </r>
  <r>
    <x v="17"/>
    <s v="Mons"/>
    <s v="University of Mons"/>
    <s v="Computer Engineering"/>
    <x v="0"/>
    <n v="2"/>
    <n v="3500"/>
    <n v="67.8"/>
    <n v="700"/>
    <n v="180"/>
    <n v="800"/>
    <n v="0.92"/>
    <n v="22080"/>
    <n v="11040"/>
    <n v="16800"/>
    <n v="18580"/>
    <n v="0.1585144927536232"/>
  </r>
  <r>
    <x v="44"/>
    <s v="Kecskemet"/>
    <s v="John von Neumann University"/>
    <s v="Data Analytics"/>
    <x v="2"/>
    <n v="4"/>
    <n v="5400"/>
    <n v="43.9"/>
    <n v="290"/>
    <n v="140"/>
    <n v="450"/>
    <n v="350.25"/>
    <n v="21260"/>
    <n v="5315"/>
    <n v="13920"/>
    <n v="15860"/>
    <n v="0.2539981185324553"/>
  </r>
  <r>
    <x v="32"/>
    <s v="Rostov-on-Don"/>
    <s v="Southern Federal University"/>
    <s v="Information Technology"/>
    <x v="1"/>
    <n v="4"/>
    <n v="4200"/>
    <n v="49.8"/>
    <n v="350"/>
    <n v="160"/>
    <n v="400"/>
    <n v="95.5"/>
    <n v="22760"/>
    <n v="5690"/>
    <n v="16800"/>
    <n v="18560"/>
    <n v="0.18453427065026362"/>
  </r>
  <r>
    <x v="30"/>
    <s v="Sao Paulo"/>
    <s v="University of Sao Paulo"/>
    <s v="Computer Science"/>
    <x v="0"/>
    <n v="2"/>
    <n v="0"/>
    <n v="55.8"/>
    <n v="600"/>
    <n v="90"/>
    <n v="400"/>
    <n v="4.95"/>
    <n v="15290"/>
    <n v="7645"/>
    <n v="14400"/>
    <n v="15290"/>
    <n v="0"/>
  </r>
  <r>
    <x v="23"/>
    <s v="Bangalore"/>
    <s v="Indian Institute of Science"/>
    <s v="Data Science"/>
    <x v="2"/>
    <n v="4"/>
    <n v="2000"/>
    <n v="45.2"/>
    <n v="300"/>
    <n v="180"/>
    <n v="300"/>
    <n v="82.75"/>
    <n v="17780"/>
    <n v="4445"/>
    <n v="14400"/>
    <n v="15780"/>
    <n v="0.1124859392575928"/>
  </r>
  <r>
    <x v="35"/>
    <s v="Bangkok"/>
    <s v="Chulalongkorn University"/>
    <s v="Software Engineering"/>
    <x v="0"/>
    <n v="2"/>
    <n v="15000"/>
    <n v="51.4"/>
    <n v="500"/>
    <n v="80"/>
    <n v="350"/>
    <n v="35.25"/>
    <n v="27780"/>
    <n v="13890"/>
    <n v="12000"/>
    <n v="12780"/>
    <n v="0.5399568034557235"/>
  </r>
  <r>
    <x v="38"/>
    <s v="Cairo"/>
    <s v="Cairo University"/>
    <s v="Computer Engineering"/>
    <x v="1"/>
    <n v="4"/>
    <n v="2500"/>
    <n v="31.8"/>
    <n v="250"/>
    <n v="100"/>
    <n v="200"/>
    <n v="30.9"/>
    <n v="15400"/>
    <n v="3850"/>
    <n v="12000"/>
    <n v="12900"/>
    <n v="0.16233766233766234"/>
  </r>
  <r>
    <x v="7"/>
    <s v="Singapore"/>
    <s v="National University of Singapore"/>
    <s v="Artificial Intelligence"/>
    <x v="0"/>
    <n v="2"/>
    <n v="42000"/>
    <n v="83.8"/>
    <n v="1200"/>
    <n v="90"/>
    <n v="800"/>
    <n v="1.35"/>
    <n v="72490"/>
    <n v="36245"/>
    <n v="28800"/>
    <n v="30490"/>
    <n v="0.57939026072561728"/>
  </r>
  <r>
    <x v="36"/>
    <s v="Dubai"/>
    <s v="University of Dubai"/>
    <s v="Data Analytics"/>
    <x v="0"/>
    <n v="2"/>
    <n v="25000"/>
    <n v="72.400000000000006"/>
    <n v="1100"/>
    <n v="270"/>
    <n v="750"/>
    <n v="3.67"/>
    <n v="53170"/>
    <n v="26585"/>
    <n v="26400"/>
    <n v="28170"/>
    <n v="0.47018995674252401"/>
  </r>
  <r>
    <x v="30"/>
    <s v="Rio de Janeiro"/>
    <s v="PUC-Rio"/>
    <s v="Information Systems"/>
    <x v="2"/>
    <n v="4"/>
    <n v="8000"/>
    <n v="53.2"/>
    <n v="550"/>
    <n v="90"/>
    <n v="400"/>
    <n v="4.95"/>
    <n v="36090"/>
    <n v="9022.5"/>
    <n v="26400"/>
    <n v="28090"/>
    <n v="0.22166805209199225"/>
  </r>
  <r>
    <x v="23"/>
    <s v="Mumbai"/>
    <s v="IIT Bombay"/>
    <s v="Computer Engineering"/>
    <x v="0"/>
    <n v="2"/>
    <n v="1800"/>
    <n v="47.5"/>
    <n v="350"/>
    <n v="180"/>
    <n v="300"/>
    <n v="82.75"/>
    <n v="10980"/>
    <n v="5490"/>
    <n v="8400"/>
    <n v="9180"/>
    <n v="0.16393442622950818"/>
  </r>
  <r>
    <x v="35"/>
    <s v="Chiang Mai"/>
    <s v="Chiang Mai University"/>
    <s v="Data Science"/>
    <x v="1"/>
    <n v="4"/>
    <n v="12000"/>
    <n v="45.6"/>
    <n v="300"/>
    <n v="80"/>
    <n v="350"/>
    <n v="35.25"/>
    <n v="27880"/>
    <n v="6970"/>
    <n v="14400"/>
    <n v="15880"/>
    <n v="0.43041606886657102"/>
  </r>
  <r>
    <x v="7"/>
    <s v="Singapore"/>
    <s v="Nanyang Technological University"/>
    <s v="Computer Science"/>
    <x v="2"/>
    <n v="4"/>
    <n v="40000"/>
    <n v="83.8"/>
    <n v="1100"/>
    <n v="90"/>
    <n v="800"/>
    <n v="1.35"/>
    <n v="96090"/>
    <n v="24022.5"/>
    <n v="52800"/>
    <n v="56090"/>
    <n v="0.41627640753460299"/>
  </r>
  <r>
    <x v="36"/>
    <s v="Abu Dhabi"/>
    <s v="Khalifa University"/>
    <s v="Robotics"/>
    <x v="0"/>
    <n v="2"/>
    <n v="27000"/>
    <n v="71.8"/>
    <n v="1000"/>
    <n v="270"/>
    <n v="750"/>
    <n v="3.67"/>
    <n v="52770"/>
    <n v="26385"/>
    <n v="24000"/>
    <n v="25770"/>
    <n v="0.51165434906196705"/>
  </r>
  <r>
    <x v="30"/>
    <s v="Campinas"/>
    <s v="UNICAMP"/>
    <s v="Computer Engineering"/>
    <x v="0"/>
    <n v="2"/>
    <n v="0"/>
    <n v="51.4"/>
    <n v="450"/>
    <n v="90"/>
    <n v="400"/>
    <n v="4.95"/>
    <n v="11690"/>
    <n v="5845"/>
    <n v="10800"/>
    <n v="11690"/>
    <n v="0"/>
  </r>
  <r>
    <x v="23"/>
    <s v="Delhi"/>
    <s v="IIT Delhi"/>
    <s v="Artificial Intelligence"/>
    <x v="2"/>
    <n v="4"/>
    <n v="1900"/>
    <n v="44.8"/>
    <n v="320"/>
    <n v="180"/>
    <n v="300"/>
    <n v="82.75"/>
    <n v="18640"/>
    <n v="4660"/>
    <n v="15360"/>
    <n v="16740"/>
    <n v="0.10193133047210301"/>
  </r>
  <r>
    <x v="35"/>
    <s v="Khon Kaen"/>
    <s v="Khon Kaen University"/>
    <s v="Information Technology"/>
    <x v="0"/>
    <n v="2"/>
    <n v="11000"/>
    <n v="42.5"/>
    <n v="250"/>
    <n v="80"/>
    <n v="350"/>
    <n v="35.25"/>
    <n v="17780"/>
    <n v="8890"/>
    <n v="6000"/>
    <n v="6780"/>
    <n v="0.6186726659167604"/>
  </r>
  <r>
    <x v="38"/>
    <s v="Alexandria"/>
    <s v="Alexandria University"/>
    <s v="Software Engineering"/>
    <x v="0"/>
    <n v="2"/>
    <n v="2200"/>
    <n v="30.5"/>
    <n v="200"/>
    <n v="100"/>
    <n v="200"/>
    <n v="30.9"/>
    <n v="7500"/>
    <n v="3750"/>
    <n v="4800"/>
    <n v="5300"/>
    <n v="0.29333333333333333"/>
  </r>
  <r>
    <x v="7"/>
    <s v="Singapore"/>
    <s v="Singapore Management University"/>
    <s v="Data Analytics"/>
    <x v="1"/>
    <n v="4"/>
    <n v="38000"/>
    <n v="83.8"/>
    <n v="1150"/>
    <n v="90"/>
    <n v="800"/>
    <n v="1.35"/>
    <n v="96490"/>
    <n v="24122.5"/>
    <n v="55200"/>
    <n v="58490"/>
    <n v="0.39382319411337963"/>
  </r>
  <r>
    <x v="36"/>
    <s v="Sharjah"/>
    <s v="American University of Sharjah"/>
    <s v="Computer Science"/>
    <x v="2"/>
    <n v="4"/>
    <n v="26000"/>
    <n v="68.5"/>
    <n v="900"/>
    <n v="270"/>
    <n v="750"/>
    <n v="3.67"/>
    <n v="72470"/>
    <n v="18117.5"/>
    <n v="43200"/>
    <n v="46470"/>
    <n v="0.35876914585345659"/>
  </r>
  <r>
    <x v="30"/>
    <s v="Porto Alegre"/>
    <s v="UFRGS"/>
    <s v="Data Science"/>
    <x v="1"/>
    <n v="4"/>
    <n v="0"/>
    <n v="49.8"/>
    <n v="400"/>
    <n v="90"/>
    <n v="400"/>
    <n v="4.95"/>
    <n v="20890"/>
    <n v="5222.5"/>
    <n v="19200"/>
    <n v="20890"/>
    <n v="0"/>
  </r>
  <r>
    <x v="23"/>
    <s v="Chennai"/>
    <s v="IIT Madras"/>
    <s v="Software Engineering"/>
    <x v="0"/>
    <n v="2"/>
    <n v="1700"/>
    <n v="42.4"/>
    <n v="280"/>
    <n v="180"/>
    <n v="300"/>
    <n v="82.75"/>
    <n v="9200"/>
    <n v="4600"/>
    <n v="6720"/>
    <n v="7500"/>
    <n v="0.18478260869565216"/>
  </r>
  <r>
    <x v="35"/>
    <s v="Phuket"/>
    <s v="Prince of Songkla University"/>
    <s v="Computer Engineering"/>
    <x v="0"/>
    <n v="2"/>
    <n v="10000"/>
    <n v="44.8"/>
    <n v="300"/>
    <n v="80"/>
    <n v="350"/>
    <n v="35.25"/>
    <n v="17980"/>
    <n v="8990"/>
    <n v="7200"/>
    <n v="7980"/>
    <n v="0.55617352614015569"/>
  </r>
  <r>
    <x v="38"/>
    <s v="Giza"/>
    <s v="Ain Shams University"/>
    <s v="Data Science"/>
    <x v="2"/>
    <n v="4"/>
    <n v="2400"/>
    <n v="31.2"/>
    <n v="220"/>
    <n v="100"/>
    <n v="200"/>
    <n v="30.9"/>
    <n v="13860"/>
    <n v="3465"/>
    <n v="10560"/>
    <n v="11460"/>
    <n v="0.17316017316017315"/>
  </r>
  <r>
    <x v="7"/>
    <s v="Singapore"/>
    <s v="Singapore University of Technology"/>
    <s v="Artificial Intelligence"/>
    <x v="0"/>
    <n v="2"/>
    <n v="39000"/>
    <n v="83.8"/>
    <n v="1100"/>
    <n v="90"/>
    <n v="800"/>
    <n v="1.35"/>
    <n v="67090"/>
    <n v="33545"/>
    <n v="26400"/>
    <n v="28090"/>
    <n v="0.58130868981964523"/>
  </r>
  <r>
    <x v="36"/>
    <s v="Ajman"/>
    <s v="Ajman University"/>
    <s v="Information Systems"/>
    <x v="1"/>
    <n v="4"/>
    <n v="23000"/>
    <n v="65.400000000000006"/>
    <n v="800"/>
    <n v="270"/>
    <n v="750"/>
    <n v="3.67"/>
    <n v="64670"/>
    <n v="16167.5"/>
    <n v="38400"/>
    <n v="41670"/>
    <n v="0.35565177052729241"/>
  </r>
  <r>
    <x v="30"/>
    <s v="Recife"/>
    <s v="UFPE"/>
    <s v="Computer Engineering"/>
    <x v="0"/>
    <n v="2"/>
    <n v="0"/>
    <n v="47.5"/>
    <n v="350"/>
    <n v="90"/>
    <n v="400"/>
    <n v="4.95"/>
    <n v="9290"/>
    <n v="4645"/>
    <n v="8400"/>
    <n v="9290"/>
    <n v="0"/>
  </r>
  <r>
    <x v="23"/>
    <s v="Hyderabad"/>
    <s v="IIT Hyderabad"/>
    <s v="Data Analytics"/>
    <x v="2"/>
    <n v="4"/>
    <n v="1800"/>
    <n v="41.2"/>
    <n v="260"/>
    <n v="180"/>
    <n v="300"/>
    <n v="82.75"/>
    <n v="15660"/>
    <n v="3915"/>
    <n v="12480"/>
    <n v="13860"/>
    <n v="0.11494252873563218"/>
  </r>
  <r>
    <x v="35"/>
    <s v="Hat Yai"/>
    <s v="Prince of Songkla University"/>
    <s v="Software Engineering"/>
    <x v="1"/>
    <n v="4"/>
    <n v="9500"/>
    <n v="43.2"/>
    <n v="280"/>
    <n v="80"/>
    <n v="350"/>
    <n v="35.25"/>
    <n v="24420"/>
    <n v="6105"/>
    <n v="13440"/>
    <n v="14920"/>
    <n v="0.38902538902538902"/>
  </r>
  <r>
    <x v="38"/>
    <s v="Port Said"/>
    <s v="Port Said University"/>
    <s v="Computer Science"/>
    <x v="0"/>
    <n v="2"/>
    <n v="2100"/>
    <n v="29.8"/>
    <n v="180"/>
    <n v="100"/>
    <n v="200"/>
    <n v="30.9"/>
    <n v="6920"/>
    <n v="3460"/>
    <n v="4320"/>
    <n v="4820"/>
    <n v="0.30346820809248554"/>
  </r>
  <r>
    <x v="7"/>
    <s v="Singapore"/>
    <s v="SUTD"/>
    <s v="Robotics"/>
    <x v="2"/>
    <n v="4"/>
    <n v="37000"/>
    <n v="83.8"/>
    <n v="1050"/>
    <n v="90"/>
    <n v="800"/>
    <n v="1.35"/>
    <n v="90690"/>
    <n v="22672.5"/>
    <n v="50400"/>
    <n v="53690"/>
    <n v="0.40798323960745397"/>
  </r>
  <r>
    <x v="36"/>
    <s v="Al Ain"/>
    <s v="UAE University"/>
    <s v="Data Science"/>
    <x v="0"/>
    <n v="2"/>
    <n v="24000"/>
    <n v="64.2"/>
    <n v="750"/>
    <n v="270"/>
    <n v="750"/>
    <n v="3.67"/>
    <n v="43770"/>
    <n v="21885"/>
    <n v="18000"/>
    <n v="19770"/>
    <n v="0.54832076764907467"/>
  </r>
  <r>
    <x v="30"/>
    <s v="Florianopolis"/>
    <s v="UFSC"/>
    <s v="Information Technology"/>
    <x v="2"/>
    <n v="4"/>
    <n v="0"/>
    <n v="48.9"/>
    <n v="400"/>
    <n v="90"/>
    <n v="400"/>
    <n v="4.95"/>
    <n v="20890"/>
    <n v="5222.5"/>
    <n v="19200"/>
    <n v="20890"/>
    <n v="0"/>
  </r>
  <r>
    <x v="23"/>
    <s v="Pune"/>
    <s v="IIT Pune"/>
    <s v="Computer Science"/>
    <x v="0"/>
    <n v="2"/>
    <n v="1600"/>
    <n v="40.5"/>
    <n v="250"/>
    <n v="180"/>
    <n v="300"/>
    <n v="82.75"/>
    <n v="8380"/>
    <n v="4190"/>
    <n v="6000"/>
    <n v="6780"/>
    <n v="0.1909307875894988"/>
  </r>
  <r>
    <x v="35"/>
    <s v="Nakhon Ratchasima"/>
    <s v="Suranaree University"/>
    <s v="Data Engineering"/>
    <x v="0"/>
    <n v="2"/>
    <n v="9000"/>
    <n v="41.8"/>
    <n v="250"/>
    <n v="80"/>
    <n v="350"/>
    <n v="35.25"/>
    <n v="15780"/>
    <n v="7890"/>
    <n v="6000"/>
    <n v="6780"/>
    <n v="0.57034220532319391"/>
  </r>
  <r>
    <x v="38"/>
    <s v="Mansoura"/>
    <s v="Mansoura University"/>
    <s v="Information Systems"/>
    <x v="1"/>
    <n v="4"/>
    <n v="2000"/>
    <n v="28.5"/>
    <n v="170"/>
    <n v="100"/>
    <n v="200"/>
    <n v="30.9"/>
    <n v="11060"/>
    <n v="2765"/>
    <n v="8160"/>
    <n v="9060"/>
    <n v="0.18083182640144665"/>
  </r>
  <r>
    <x v="7"/>
    <s v="Singapore"/>
    <s v="SIM Global Education"/>
    <s v="Software Engineering"/>
    <x v="1"/>
    <n v="4"/>
    <n v="35000"/>
    <n v="83.8"/>
    <n v="1000"/>
    <n v="90"/>
    <n v="800"/>
    <n v="1.35"/>
    <n v="86290"/>
    <n v="21572.5"/>
    <n v="48000"/>
    <n v="51290"/>
    <n v="0.4056089929308147"/>
  </r>
  <r>
    <x v="36"/>
    <s v="Ras Al Khaimah"/>
    <s v="RAK University"/>
    <s v="Computer Engineering"/>
    <x v="0"/>
    <n v="2"/>
    <n v="22000"/>
    <n v="62.5"/>
    <n v="700"/>
    <n v="270"/>
    <n v="750"/>
    <n v="3.67"/>
    <n v="40570"/>
    <n v="20285"/>
    <n v="16800"/>
    <n v="18570"/>
    <n v="0.54227261523293069"/>
  </r>
  <r>
    <x v="30"/>
    <s v="Salvador"/>
    <s v="UFBA"/>
    <s v="Data Science"/>
    <x v="0"/>
    <n v="2"/>
    <n v="0"/>
    <n v="46.8"/>
    <n v="380"/>
    <n v="90"/>
    <n v="400"/>
    <n v="4.95"/>
    <n v="10010"/>
    <n v="5005"/>
    <n v="9120"/>
    <n v="10010"/>
    <n v="0"/>
  </r>
  <r>
    <x v="23"/>
    <s v="Kanpur"/>
    <s v="IIT Kanpur"/>
    <s v="Artificial Intelligence"/>
    <x v="2"/>
    <n v="4"/>
    <n v="1900"/>
    <n v="39.799999999999997"/>
    <n v="240"/>
    <n v="180"/>
    <n v="300"/>
    <n v="82.75"/>
    <n v="14800"/>
    <n v="3700"/>
    <n v="11520"/>
    <n v="12900"/>
    <n v="0.12837837837837837"/>
  </r>
  <r>
    <x v="35"/>
    <s v="Songkhla"/>
    <s v="Thaksin University"/>
    <s v="Computer Engineering"/>
    <x v="1"/>
    <n v="4"/>
    <n v="8500"/>
    <n v="42.5"/>
    <n v="270"/>
    <n v="80"/>
    <n v="350"/>
    <n v="35.25"/>
    <n v="22940"/>
    <n v="5735"/>
    <n v="12960"/>
    <n v="14440"/>
    <n v="0.37053182214472535"/>
  </r>
  <r>
    <x v="38"/>
    <s v="Aswan"/>
    <s v="Aswan University"/>
    <s v="Data Analytics"/>
    <x v="0"/>
    <n v="2"/>
    <n v="1900"/>
    <n v="27.8"/>
    <n v="160"/>
    <n v="100"/>
    <n v="200"/>
    <n v="30.9"/>
    <n v="6240"/>
    <n v="3120"/>
    <n v="3840"/>
    <n v="4340"/>
    <n v="0.30448717948717946"/>
  </r>
  <r>
    <x v="36"/>
    <s v="Fujairah"/>
    <s v="Fujairah University"/>
    <s v="Information Technology"/>
    <x v="1"/>
    <n v="4"/>
    <n v="21000"/>
    <n v="61.4"/>
    <n v="650"/>
    <n v="270"/>
    <n v="750"/>
    <n v="3.67"/>
    <n v="55470"/>
    <n v="13867.5"/>
    <n v="31200"/>
    <n v="34470"/>
    <n v="0.3785830178474851"/>
  </r>
  <r>
    <x v="45"/>
    <s v="Reykjavik"/>
    <s v="University of Iceland"/>
    <s v="Computer Science"/>
    <x v="0"/>
    <n v="2"/>
    <n v="0"/>
    <n v="84.5"/>
    <n v="1200"/>
    <n v="140"/>
    <n v="900"/>
    <n v="137.5"/>
    <n v="30740"/>
    <n v="15370"/>
    <n v="28800"/>
    <n v="30740"/>
    <n v="0"/>
  </r>
  <r>
    <x v="46"/>
    <s v="Bogota"/>
    <s v="Universidad Nacional"/>
    <s v="Software Engineering"/>
    <x v="0"/>
    <n v="2"/>
    <n v="3500"/>
    <n v="41.2"/>
    <n v="400"/>
    <n v="80"/>
    <n v="300"/>
    <n v="3950"/>
    <n v="13780"/>
    <n v="6890"/>
    <n v="9600"/>
    <n v="10280"/>
    <n v="0.2539912917271408"/>
  </r>
  <r>
    <x v="24"/>
    <s v="Warsaw"/>
    <s v="University of Warsaw"/>
    <s v="Data Science"/>
    <x v="2"/>
    <n v="4"/>
    <n v="3000"/>
    <n v="54.8"/>
    <n v="650"/>
    <n v="80"/>
    <n v="400"/>
    <n v="4.0999999999999996"/>
    <n v="35880"/>
    <n v="8970"/>
    <n v="31200"/>
    <n v="32880"/>
    <n v="8.3612040133779264E-2"/>
  </r>
  <r>
    <x v="47"/>
    <s v="Bucharest"/>
    <s v="University Politehnica"/>
    <s v="Computer Engineering"/>
    <x v="1"/>
    <n v="3"/>
    <n v="2500"/>
    <n v="45.2"/>
    <n v="450"/>
    <n v="120"/>
    <n v="350"/>
    <n v="4.6500000000000004"/>
    <n v="19870"/>
    <n v="6623.333333333333"/>
    <n v="16200"/>
    <n v="17370"/>
    <n v="0.12581781580271767"/>
  </r>
  <r>
    <x v="48"/>
    <s v="Luxembourg City"/>
    <s v="University of Luxembourg"/>
    <s v="Artificial Intelligence"/>
    <x v="0"/>
    <n v="2"/>
    <n v="400"/>
    <n v="83.2"/>
    <n v="1400"/>
    <n v="100"/>
    <n v="800"/>
    <n v="0.92"/>
    <n v="35700"/>
    <n v="17850"/>
    <n v="33600"/>
    <n v="35300"/>
    <n v="1.1204481792717087E-2"/>
  </r>
  <r>
    <x v="40"/>
    <s v="Jakarta"/>
    <s v="University of Indonesia"/>
    <s v="Information Systems"/>
    <x v="0"/>
    <n v="2"/>
    <n v="5000"/>
    <n v="45.8"/>
    <n v="400"/>
    <n v="150"/>
    <n v="250"/>
    <n v="15600"/>
    <n v="15250"/>
    <n v="7625"/>
    <n v="9600"/>
    <n v="10250"/>
    <n v="0.32786885245901637"/>
  </r>
  <r>
    <x v="45"/>
    <s v="Akureyri"/>
    <s v="University of Akureyri"/>
    <s v="Data Analytics"/>
    <x v="1"/>
    <n v="3"/>
    <n v="0"/>
    <n v="78.400000000000006"/>
    <n v="900"/>
    <n v="140"/>
    <n v="900"/>
    <n v="137.5"/>
    <n v="35240"/>
    <n v="11746.666666666666"/>
    <n v="32400"/>
    <n v="35240"/>
    <n v="0"/>
  </r>
  <r>
    <x v="46"/>
    <s v="Medellin"/>
    <s v="Universidad de Antioquia"/>
    <s v="Computer Science"/>
    <x v="2"/>
    <n v="4"/>
    <n v="4000"/>
    <n v="38.5"/>
    <n v="350"/>
    <n v="80"/>
    <n v="300"/>
    <n v="3950"/>
    <n v="22080"/>
    <n v="5520"/>
    <n v="16800"/>
    <n v="18080"/>
    <n v="0.18115942028985507"/>
  </r>
  <r>
    <x v="24"/>
    <s v="Krakow"/>
    <s v="Jagiellonian University"/>
    <s v="Software Development"/>
    <x v="0"/>
    <n v="2"/>
    <n v="2800"/>
    <n v="52.4"/>
    <n v="600"/>
    <n v="80"/>
    <n v="400"/>
    <n v="4.0999999999999996"/>
    <n v="18080"/>
    <n v="9040"/>
    <n v="14400"/>
    <n v="15280"/>
    <n v="0.15486725663716813"/>
  </r>
  <r>
    <x v="47"/>
    <s v="Cluj-Napoca"/>
    <s v="Babes-Bolyai University"/>
    <s v="Data Science"/>
    <x v="0"/>
    <n v="2"/>
    <n v="2200"/>
    <n v="43.8"/>
    <n v="400"/>
    <n v="120"/>
    <n v="350"/>
    <n v="4.6500000000000004"/>
    <n v="12620"/>
    <n v="6310"/>
    <n v="9600"/>
    <n v="10420"/>
    <n v="0.17432646592709986"/>
  </r>
  <r>
    <x v="48"/>
    <s v="Esch-sur-Alzette"/>
    <s v="Luxembourg School of Business"/>
    <s v="Data Engineering"/>
    <x v="0"/>
    <n v="2"/>
    <n v="400"/>
    <n v="79.5"/>
    <n v="1200"/>
    <n v="100"/>
    <n v="800"/>
    <n v="0.92"/>
    <n v="30900"/>
    <n v="15450"/>
    <n v="28800"/>
    <n v="30500"/>
    <n v="1.2944983818770227E-2"/>
  </r>
  <r>
    <x v="40"/>
    <s v="Bandung"/>
    <s v="Institut Teknologi Bandung"/>
    <s v="Computer Engineering"/>
    <x v="2"/>
    <n v="4"/>
    <n v="4500"/>
    <n v="42.4"/>
    <n v="300"/>
    <n v="150"/>
    <n v="250"/>
    <n v="15600"/>
    <n v="20050"/>
    <n v="5012.5"/>
    <n v="14400"/>
    <n v="15550"/>
    <n v="0.22443890274314215"/>
  </r>
  <r>
    <x v="45"/>
    <s v="Reykjavik"/>
    <s v="Reykjavik University"/>
    <s v="Robotics"/>
    <x v="0"/>
    <n v="2"/>
    <n v="0"/>
    <n v="84.5"/>
    <n v="1150"/>
    <n v="140"/>
    <n v="900"/>
    <n v="137.5"/>
    <n v="29540"/>
    <n v="14770"/>
    <n v="27600"/>
    <n v="29540"/>
    <n v="0"/>
  </r>
  <r>
    <x v="46"/>
    <s v="Cali"/>
    <s v="Universidad del Valle"/>
    <s v="Information Technology"/>
    <x v="1"/>
    <n v="4"/>
    <n v="3200"/>
    <n v="36.799999999999997"/>
    <n v="300"/>
    <n v="80"/>
    <n v="300"/>
    <n v="3950"/>
    <n v="18880"/>
    <n v="4720"/>
    <n v="14400"/>
    <n v="15680"/>
    <n v="0.16949152542372881"/>
  </r>
  <r>
    <x v="24"/>
    <s v="Wroclaw"/>
    <s v="Wroclaw University of Technology"/>
    <s v="Artificial Intelligence"/>
    <x v="0"/>
    <n v="2"/>
    <n v="2600"/>
    <n v="50.5"/>
    <n v="550"/>
    <n v="80"/>
    <n v="400"/>
    <n v="4.0999999999999996"/>
    <n v="16680"/>
    <n v="8340"/>
    <n v="13200"/>
    <n v="14080"/>
    <n v="0.15587529976019185"/>
  </r>
  <r>
    <x v="47"/>
    <s v="Timisoara"/>
    <s v="Politehnica University"/>
    <s v="Software Engineering"/>
    <x v="2"/>
    <n v="4"/>
    <n v="2400"/>
    <n v="42.5"/>
    <n v="380"/>
    <n v="120"/>
    <n v="350"/>
    <n v="4.6500000000000004"/>
    <n v="22160"/>
    <n v="5540"/>
    <n v="18240"/>
    <n v="19760"/>
    <n v="0.10830324909747292"/>
  </r>
  <r>
    <x v="48"/>
    <s v="Belval"/>
    <s v="Luxembourg Institute of Science"/>
    <s v="Computer Science"/>
    <x v="1"/>
    <n v="3"/>
    <n v="400"/>
    <n v="78.400000000000006"/>
    <n v="1100"/>
    <n v="100"/>
    <n v="800"/>
    <n v="0.92"/>
    <n v="42500"/>
    <n v="14166.666666666666"/>
    <n v="39600"/>
    <n v="42100"/>
    <n v="9.4117647058823521E-3"/>
  </r>
  <r>
    <x v="40"/>
    <s v="Yogyakarta"/>
    <s v="Gadjah Mada University"/>
    <s v="Data Science"/>
    <x v="0"/>
    <n v="2"/>
    <n v="4000"/>
    <n v="40.200000000000003"/>
    <n v="250"/>
    <n v="150"/>
    <n v="250"/>
    <n v="15600"/>
    <n v="10650"/>
    <n v="5325"/>
    <n v="6000"/>
    <n v="6650"/>
    <n v="0.37558685446009388"/>
  </r>
  <r>
    <x v="45"/>
    <s v="Hafnarfjordur"/>
    <s v="Iceland University of Arts"/>
    <s v="Digital Design"/>
    <x v="0"/>
    <n v="2"/>
    <n v="0"/>
    <n v="82.1"/>
    <n v="1000"/>
    <n v="140"/>
    <n v="900"/>
    <n v="137.5"/>
    <n v="25940"/>
    <n v="12970"/>
    <n v="24000"/>
    <n v="25940"/>
    <n v="0"/>
  </r>
  <r>
    <x v="46"/>
    <s v="Barranquilla"/>
    <s v="Universidad del Norte"/>
    <s v="Computer Engineering"/>
    <x v="0"/>
    <n v="2"/>
    <n v="3800"/>
    <n v="35.4"/>
    <n v="280"/>
    <n v="80"/>
    <n v="300"/>
    <n v="3950"/>
    <n v="11200"/>
    <n v="5600"/>
    <n v="6720"/>
    <n v="7400"/>
    <n v="0.3392857142857143"/>
  </r>
  <r>
    <x v="24"/>
    <s v="Poznan"/>
    <s v="Adam Mickiewicz University"/>
    <s v="Computer Science"/>
    <x v="2"/>
    <n v="4"/>
    <n v="2700"/>
    <n v="51.2"/>
    <n v="580"/>
    <n v="80"/>
    <n v="400"/>
    <n v="4.0999999999999996"/>
    <n v="32220"/>
    <n v="8055"/>
    <n v="27840"/>
    <n v="29520"/>
    <n v="8.3798882681564241E-2"/>
  </r>
  <r>
    <x v="47"/>
    <s v="Iasi"/>
    <s v="Alexandru Ioan Cuza University"/>
    <s v="Information Systems"/>
    <x v="0"/>
    <n v="2"/>
    <n v="2100"/>
    <n v="41.8"/>
    <n v="350"/>
    <n v="120"/>
    <n v="350"/>
    <n v="4.6500000000000004"/>
    <n v="11320"/>
    <n v="5660"/>
    <n v="8400"/>
    <n v="9220"/>
    <n v="0.18551236749116609"/>
  </r>
  <r>
    <x v="48"/>
    <s v="Kirchberg"/>
    <s v="Sacred Heart University"/>
    <s v="Data Analytics"/>
    <x v="0"/>
    <n v="2"/>
    <n v="400"/>
    <n v="81.5"/>
    <n v="1300"/>
    <n v="100"/>
    <n v="800"/>
    <n v="0.92"/>
    <n v="33300"/>
    <n v="16650"/>
    <n v="31200"/>
    <n v="32900"/>
    <n v="1.2012012012012012E-2"/>
  </r>
  <r>
    <x v="40"/>
    <s v="Surabaya"/>
    <s v="Institut Teknologi Sepuluh"/>
    <s v="Software Engineering"/>
    <x v="1"/>
    <n v="4"/>
    <n v="3800"/>
    <n v="41.5"/>
    <n v="280"/>
    <n v="150"/>
    <n v="250"/>
    <n v="15600"/>
    <n v="18390"/>
    <n v="4597.5"/>
    <n v="13440"/>
    <n v="14590"/>
    <n v="0.20663404023926046"/>
  </r>
  <r>
    <x v="45"/>
    <s v="Kopavogur"/>
    <s v="Bifrost University"/>
    <s v="Digital Business"/>
    <x v="1"/>
    <n v="3"/>
    <n v="0"/>
    <n v="81.2"/>
    <n v="950"/>
    <n v="140"/>
    <n v="900"/>
    <n v="137.5"/>
    <n v="37040"/>
    <n v="12346.666666666666"/>
    <n v="34200"/>
    <n v="37040"/>
    <n v="0"/>
  </r>
  <r>
    <x v="46"/>
    <s v="Bucaramanga"/>
    <s v="UIS"/>
    <s v="Data Science"/>
    <x v="2"/>
    <n v="4"/>
    <n v="3500"/>
    <n v="34.799999999999997"/>
    <n v="260"/>
    <n v="80"/>
    <n v="300"/>
    <n v="3950"/>
    <n v="17260"/>
    <n v="4315"/>
    <n v="12480"/>
    <n v="13760"/>
    <n v="0.20278099652375434"/>
  </r>
  <r>
    <x v="24"/>
    <s v="Gdansk"/>
    <s v="Gdansk University of Technology"/>
    <s v="Cybersecurity"/>
    <x v="0"/>
    <n v="2"/>
    <n v="2500"/>
    <n v="49.8"/>
    <n v="520"/>
    <n v="80"/>
    <n v="400"/>
    <n v="4.0999999999999996"/>
    <n v="15860"/>
    <n v="7930"/>
    <n v="12480"/>
    <n v="13360"/>
    <n v="0.15762925598991173"/>
  </r>
  <r>
    <x v="47"/>
    <s v="Brasov"/>
    <s v="Transilvania University"/>
    <s v="Computer Engineering"/>
    <x v="1"/>
    <n v="4"/>
    <n v="2000"/>
    <n v="40.5"/>
    <n v="330"/>
    <n v="120"/>
    <n v="350"/>
    <n v="4.6500000000000004"/>
    <n v="19360"/>
    <n v="4840"/>
    <n v="15840"/>
    <n v="17360"/>
    <n v="0.10330578512396695"/>
  </r>
  <r>
    <x v="48"/>
    <s v="Differdange"/>
    <s v="Miami University Dolibois"/>
    <s v="Information Technology"/>
    <x v="0"/>
    <n v="2"/>
    <n v="400"/>
    <n v="77.8"/>
    <n v="1150"/>
    <n v="100"/>
    <n v="800"/>
    <n v="0.92"/>
    <n v="29700"/>
    <n v="14850"/>
    <n v="27600"/>
    <n v="29300"/>
    <n v="1.3468013468013467E-2"/>
  </r>
  <r>
    <x v="40"/>
    <s v="Malang"/>
    <s v="Brawijaya University"/>
    <s v="Artificial Intelligence"/>
    <x v="0"/>
    <n v="2"/>
    <n v="3500"/>
    <n v="39.799999999999997"/>
    <n v="240"/>
    <n v="150"/>
    <n v="250"/>
    <n v="15600"/>
    <n v="9910"/>
    <n v="4955"/>
    <n v="5760"/>
    <n v="6410"/>
    <n v="0.35317860746720486"/>
  </r>
  <r>
    <x v="24"/>
    <s v="Lodz"/>
    <s v="Lodz University of Technology"/>
    <s v="Software Engineering"/>
    <x v="0"/>
    <n v="2"/>
    <n v="2400"/>
    <n v="48.5"/>
    <n v="500"/>
    <n v="80"/>
    <n v="400"/>
    <n v="4.0999999999999996"/>
    <n v="15280"/>
    <n v="7640"/>
    <n v="12000"/>
    <n v="12880"/>
    <n v="0.15706806282722513"/>
  </r>
  <r>
    <x v="47"/>
    <s v="Constanta"/>
    <s v="Ovidius University"/>
    <s v="Data Analytics"/>
    <x v="0"/>
    <n v="2"/>
    <n v="1900"/>
    <n v="39.799999999999997"/>
    <n v="320"/>
    <n v="120"/>
    <n v="350"/>
    <n v="4.6500000000000004"/>
    <n v="10400"/>
    <n v="5200"/>
    <n v="7680"/>
    <n v="8500"/>
    <n v="0.18269230769230768"/>
  </r>
  <r>
    <x v="48"/>
    <s v="Walferdange"/>
    <s v="European Business University"/>
    <s v="Digital Innovation"/>
    <x v="1"/>
    <n v="3"/>
    <n v="400"/>
    <n v="76.5"/>
    <n v="1100"/>
    <n v="100"/>
    <n v="800"/>
    <n v="0.92"/>
    <n v="42500"/>
    <n v="14166.666666666666"/>
    <n v="39600"/>
    <n v="42100"/>
    <n v="9.4117647058823521E-3"/>
  </r>
  <r>
    <x v="40"/>
    <s v="Semarang"/>
    <s v="Diponegoro University"/>
    <s v="Computer Science"/>
    <x v="2"/>
    <n v="4"/>
    <n v="3200"/>
    <n v="38.5"/>
    <n v="220"/>
    <n v="150"/>
    <n v="250"/>
    <n v="15600"/>
    <n v="14910"/>
    <n v="3727.5"/>
    <n v="10560"/>
    <n v="11710"/>
    <n v="0.21462105969148224"/>
  </r>
  <r>
    <x v="45"/>
    <s v="Borgarnes"/>
    <s v="Agricultural University"/>
    <s v="Data Systems"/>
    <x v="0"/>
    <n v="2"/>
    <n v="0"/>
    <n v="79.8"/>
    <n v="900"/>
    <n v="140"/>
    <n v="900"/>
    <n v="137.5"/>
    <n v="23540"/>
    <n v="11770"/>
    <n v="21600"/>
    <n v="23540"/>
    <n v="0"/>
  </r>
  <r>
    <x v="46"/>
    <s v="Cartagena"/>
    <s v="Universidad de Cartagena"/>
    <s v="Information Systems"/>
    <x v="0"/>
    <n v="2"/>
    <n v="3300"/>
    <n v="35.200000000000003"/>
    <n v="290"/>
    <n v="80"/>
    <n v="300"/>
    <n v="3950"/>
    <n v="10940"/>
    <n v="5470"/>
    <n v="6960"/>
    <n v="7640"/>
    <n v="0.3016453382084095"/>
  </r>
  <r>
    <x v="24"/>
    <s v="Katowice"/>
    <s v="University of Silesia"/>
    <s v="Computer Engineering"/>
    <x v="1"/>
    <n v="3"/>
    <n v="2300"/>
    <n v="47.8"/>
    <n v="480"/>
    <n v="80"/>
    <n v="400"/>
    <n v="4.0999999999999996"/>
    <n v="20860"/>
    <n v="6953.333333333333"/>
    <n v="17280"/>
    <n v="18560"/>
    <n v="0.11025886864813039"/>
  </r>
  <r>
    <x v="47"/>
    <s v="Craiova"/>
    <s v="University of Craiova"/>
    <s v="Software Development"/>
    <x v="2"/>
    <n v="4"/>
    <n v="2200"/>
    <n v="38.9"/>
    <n v="300"/>
    <n v="120"/>
    <n v="350"/>
    <n v="4.6500000000000004"/>
    <n v="18120"/>
    <n v="4530"/>
    <n v="14400"/>
    <n v="15920"/>
    <n v="0.12141280353200883"/>
  </r>
  <r>
    <x v="48"/>
    <s v="Bertrange"/>
    <s v="Chamber of Commerce School"/>
    <s v="Business Analytics"/>
    <x v="0"/>
    <n v="2"/>
    <n v="400"/>
    <n v="75.400000000000006"/>
    <n v="1050"/>
    <n v="100"/>
    <n v="800"/>
    <n v="0.92"/>
    <n v="27300"/>
    <n v="13650"/>
    <n v="25200"/>
    <n v="26900"/>
    <n v="1.4652014652014652E-2"/>
  </r>
  <r>
    <x v="40"/>
    <s v="Denpasar"/>
    <s v="Udayana University"/>
    <s v="Information Technology"/>
    <x v="0"/>
    <n v="2"/>
    <n v="3000"/>
    <n v="37.9"/>
    <n v="200"/>
    <n v="150"/>
    <n v="250"/>
    <n v="15600"/>
    <n v="8450"/>
    <n v="4225"/>
    <n v="4800"/>
    <n v="5450"/>
    <n v="0.35502958579881655"/>
  </r>
  <r>
    <x v="49"/>
    <s v="Tunis"/>
    <s v="University of Tunis"/>
    <s v="Computer Science"/>
    <x v="0"/>
    <n v="2"/>
    <n v="1500"/>
    <n v="35.799999999999997"/>
    <n v="250"/>
    <n v="60"/>
    <n v="200"/>
    <n v="3.15"/>
    <n v="7960"/>
    <n v="3980"/>
    <n v="6000"/>
    <n v="6460"/>
    <n v="0.18844221105527639"/>
  </r>
  <r>
    <x v="50"/>
    <s v="Nicosia"/>
    <s v="University of Cyprus"/>
    <s v="Data Science"/>
    <x v="0"/>
    <n v="2"/>
    <n v="8000"/>
    <n v="65.400000000000006"/>
    <n v="600"/>
    <n v="100"/>
    <n v="500"/>
    <n v="0.92"/>
    <n v="23500"/>
    <n v="11750"/>
    <n v="14400"/>
    <n v="15500"/>
    <n v="0.34042553191489361"/>
  </r>
  <r>
    <x v="51"/>
    <s v="Zagreb"/>
    <s v="University of Zagreb"/>
    <s v="Software Engineering"/>
    <x v="2"/>
    <n v="4"/>
    <n v="4000"/>
    <n v="58.9"/>
    <n v="450"/>
    <n v="80"/>
    <n v="400"/>
    <n v="7.35"/>
    <n v="27280"/>
    <n v="6820"/>
    <n v="21600"/>
    <n v="23280"/>
    <n v="0.1466275659824047"/>
  </r>
  <r>
    <x v="52"/>
    <s v="Santo Domingo"/>
    <s v="INTEC"/>
    <s v="Computer Engineering"/>
    <x v="1"/>
    <n v="4"/>
    <n v="6000"/>
    <n v="42.5"/>
    <n v="350"/>
    <n v="100"/>
    <n v="300"/>
    <n v="56.8"/>
    <n v="24100"/>
    <n v="6025"/>
    <n v="16800"/>
    <n v="18100"/>
    <n v="0.24896265560165975"/>
  </r>
  <r>
    <x v="53"/>
    <s v="Rabat"/>
    <s v="Mohammed V University"/>
    <s v="Information Systems"/>
    <x v="0"/>
    <n v="2"/>
    <n v="2000"/>
    <n v="41.2"/>
    <n v="300"/>
    <n v="70"/>
    <n v="250"/>
    <n v="10.15"/>
    <n v="9770"/>
    <n v="4885"/>
    <n v="7200"/>
    <n v="7770"/>
    <n v="0.20470829068577279"/>
  </r>
  <r>
    <x v="54"/>
    <s v="Lima"/>
    <s v="PUCP"/>
    <s v="Data Analytics"/>
    <x v="0"/>
    <n v="2"/>
    <n v="8500"/>
    <n v="44.8"/>
    <n v="400"/>
    <n v="120"/>
    <n v="350"/>
    <n v="3.75"/>
    <n v="18920"/>
    <n v="9460"/>
    <n v="9600"/>
    <n v="10420"/>
    <n v="0.44926004228329808"/>
  </r>
  <r>
    <x v="39"/>
    <s v="Buenos Aires"/>
    <s v="University of Buenos Aires"/>
    <s v="Computer Science"/>
    <x v="2"/>
    <n v="4"/>
    <n v="0"/>
    <n v="42.5"/>
    <n v="350"/>
    <n v="90"/>
    <n v="280"/>
    <n v="275"/>
    <n v="18010"/>
    <n v="4502.5"/>
    <n v="16800"/>
    <n v="18010"/>
    <n v="0"/>
  </r>
  <r>
    <x v="49"/>
    <s v="Sfax"/>
    <s v="University of Sfax"/>
    <s v="Artificial Intelligence"/>
    <x v="0"/>
    <n v="2"/>
    <n v="1400"/>
    <n v="33.200000000000003"/>
    <n v="200"/>
    <n v="60"/>
    <n v="200"/>
    <n v="3.15"/>
    <n v="6660"/>
    <n v="3330"/>
    <n v="4800"/>
    <n v="5260"/>
    <n v="0.21021021021021022"/>
  </r>
  <r>
    <x v="50"/>
    <s v="Limassol"/>
    <s v="Cyprus University of Technology"/>
    <s v="Software Development"/>
    <x v="1"/>
    <n v="4"/>
    <n v="7500"/>
    <n v="62.8"/>
    <n v="550"/>
    <n v="100"/>
    <n v="500"/>
    <n v="0.92"/>
    <n v="36000"/>
    <n v="9000"/>
    <n v="26400"/>
    <n v="28500"/>
    <n v="0.20833333333333334"/>
  </r>
  <r>
    <x v="51"/>
    <s v="Split"/>
    <s v="University of Split"/>
    <s v="Data Engineering"/>
    <x v="0"/>
    <n v="2"/>
    <n v="3800"/>
    <n v="56.4"/>
    <n v="400"/>
    <n v="80"/>
    <n v="400"/>
    <n v="7.35"/>
    <n v="14280"/>
    <n v="7140"/>
    <n v="9600"/>
    <n v="10480"/>
    <n v="0.26610644257703081"/>
  </r>
  <r>
    <x v="52"/>
    <s v="Santiago"/>
    <s v="PUCMM"/>
    <s v="Information Technology"/>
    <x v="0"/>
    <n v="2"/>
    <n v="5500"/>
    <n v="40.200000000000003"/>
    <n v="300"/>
    <n v="100"/>
    <n v="300"/>
    <n v="56.8"/>
    <n v="13400"/>
    <n v="6700"/>
    <n v="7200"/>
    <n v="7900"/>
    <n v="0.41044776119402987"/>
  </r>
  <r>
    <x v="53"/>
    <s v="Casablanca"/>
    <s v="Hassan II University"/>
    <s v="Computer Engineering"/>
    <x v="2"/>
    <n v="4"/>
    <n v="2200"/>
    <n v="43.5"/>
    <n v="350"/>
    <n v="70"/>
    <n v="250"/>
    <n v="10.15"/>
    <n v="20070"/>
    <n v="5017.5"/>
    <n v="16800"/>
    <n v="17870"/>
    <n v="0.1096163428001993"/>
  </r>
  <r>
    <x v="54"/>
    <s v="Arequipa"/>
    <s v="Universidad San Agustin"/>
    <s v="Software Engineering"/>
    <x v="1"/>
    <n v="4"/>
    <n v="7000"/>
    <n v="41.2"/>
    <n v="300"/>
    <n v="120"/>
    <n v="350"/>
    <n v="3.75"/>
    <n v="22920"/>
    <n v="5730"/>
    <n v="14400"/>
    <n v="15920"/>
    <n v="0.30541012216404889"/>
  </r>
  <r>
    <x v="39"/>
    <s v="Cordoba"/>
    <s v="National University of Cordoba"/>
    <s v="Data Science"/>
    <x v="0"/>
    <n v="2"/>
    <n v="0"/>
    <n v="39.799999999999997"/>
    <n v="280"/>
    <n v="90"/>
    <n v="280"/>
    <n v="275"/>
    <n v="7370"/>
    <n v="3685"/>
    <n v="6720"/>
    <n v="7370"/>
    <n v="0"/>
  </r>
  <r>
    <x v="49"/>
    <s v="Sousse"/>
    <s v="University of Sousse"/>
    <s v="Computer Systems"/>
    <x v="1"/>
    <n v="3"/>
    <n v="1300"/>
    <n v="32.5"/>
    <n v="180"/>
    <n v="60"/>
    <n v="200"/>
    <n v="3.15"/>
    <n v="8440"/>
    <n v="2813.3333333333335"/>
    <n v="6480"/>
    <n v="7140"/>
    <n v="0.15402843601895735"/>
  </r>
  <r>
    <x v="50"/>
    <s v="Larnaca"/>
    <s v="American University Cyprus"/>
    <s v="Artificial Intelligence"/>
    <x v="2"/>
    <n v="4"/>
    <n v="8200"/>
    <n v="61.5"/>
    <n v="500"/>
    <n v="100"/>
    <n v="500"/>
    <n v="0.92"/>
    <n v="34300"/>
    <n v="8575"/>
    <n v="24000"/>
    <n v="26100"/>
    <n v="0.239067055393586"/>
  </r>
  <r>
    <x v="51"/>
    <s v="Rijeka"/>
    <s v="University of Rijeka"/>
    <s v="Information Systems"/>
    <x v="0"/>
    <n v="2"/>
    <n v="3500"/>
    <n v="54.8"/>
    <n v="380"/>
    <n v="80"/>
    <n v="400"/>
    <n v="7.35"/>
    <n v="13500"/>
    <n v="6750"/>
    <n v="9120"/>
    <n v="10000"/>
    <n v="0.25925925925925924"/>
  </r>
  <r>
    <x v="52"/>
    <s v="La Romana"/>
    <s v="Universidad Central Este"/>
    <s v="Computer Science"/>
    <x v="1"/>
    <n v="4"/>
    <n v="5000"/>
    <n v="38.5"/>
    <n v="280"/>
    <n v="100"/>
    <n v="300"/>
    <n v="56.8"/>
    <n v="19740"/>
    <n v="4935"/>
    <n v="13440"/>
    <n v="14740"/>
    <n v="0.25329280648429586"/>
  </r>
  <r>
    <x v="53"/>
    <s v="Fez"/>
    <s v="University of Al Quaraouiyine"/>
    <s v="Data Analytics"/>
    <x v="0"/>
    <n v="2"/>
    <n v="1800"/>
    <n v="39.799999999999997"/>
    <n v="250"/>
    <n v="70"/>
    <n v="250"/>
    <n v="10.15"/>
    <n v="8370"/>
    <n v="4185"/>
    <n v="6000"/>
    <n v="6570"/>
    <n v="0.21505376344086022"/>
  </r>
  <r>
    <x v="54"/>
    <s v="Trujillo"/>
    <s v="Universidad Nacional de Trujillo"/>
    <s v="Software Development"/>
    <x v="2"/>
    <n v="4"/>
    <n v="7500"/>
    <n v="40.5"/>
    <n v="280"/>
    <n v="120"/>
    <n v="350"/>
    <n v="3.75"/>
    <n v="22460"/>
    <n v="5615"/>
    <n v="13440"/>
    <n v="14960"/>
    <n v="0.33392698130008902"/>
  </r>
  <r>
    <x v="39"/>
    <s v="Rosario"/>
    <s v="National University of Rosario"/>
    <s v="Computer Engineering"/>
    <x v="0"/>
    <n v="2"/>
    <n v="0"/>
    <n v="38.5"/>
    <n v="260"/>
    <n v="90"/>
    <n v="280"/>
    <n v="275"/>
    <n v="6890"/>
    <n v="3445"/>
    <n v="6240"/>
    <n v="6890"/>
    <n v="0"/>
  </r>
  <r>
    <x v="49"/>
    <s v="Monastir"/>
    <s v="University of Monastir"/>
    <s v="Data Science"/>
    <x v="2"/>
    <n v="4"/>
    <n v="1600"/>
    <n v="31.8"/>
    <n v="170"/>
    <n v="60"/>
    <n v="200"/>
    <n v="3.15"/>
    <n v="10620"/>
    <n v="2655"/>
    <n v="8160"/>
    <n v="9020"/>
    <n v="0.15065913370998116"/>
  </r>
  <r>
    <x v="50"/>
    <s v="Famagusta"/>
    <s v="Eastern Mediterranean University"/>
    <s v="Software Engineering"/>
    <x v="0"/>
    <n v="2"/>
    <n v="7800"/>
    <n v="59.8"/>
    <n v="480"/>
    <n v="100"/>
    <n v="500"/>
    <n v="0.92"/>
    <n v="20420"/>
    <n v="10210"/>
    <n v="11520"/>
    <n v="12620"/>
    <n v="0.38197845249755141"/>
  </r>
  <r>
    <x v="51"/>
    <s v="Osijek"/>
    <s v="University of Osijek"/>
    <s v="Computer Science"/>
    <x v="1"/>
    <n v="3"/>
    <n v="3200"/>
    <n v="52.5"/>
    <n v="350"/>
    <n v="80"/>
    <n v="400"/>
    <n v="7.35"/>
    <n v="17080"/>
    <n v="5693.333333333333"/>
    <n v="12600"/>
    <n v="13880"/>
    <n v="0.18735362997658081"/>
  </r>
  <r>
    <x v="52"/>
    <s v="San Pedro"/>
    <s v="UCNE"/>
    <s v="Information Systems"/>
    <x v="0"/>
    <n v="2"/>
    <n v="4800"/>
    <n v="37.200000000000003"/>
    <n v="260"/>
    <n v="100"/>
    <n v="300"/>
    <n v="56.8"/>
    <n v="11740"/>
    <n v="5870"/>
    <n v="6240"/>
    <n v="6940"/>
    <n v="0.40885860306643951"/>
  </r>
  <r>
    <x v="53"/>
    <s v="Marrakech"/>
    <s v="Cadi Ayyad University"/>
    <s v="Artificial Intelligence"/>
    <x v="2"/>
    <n v="4"/>
    <n v="2100"/>
    <n v="40.5"/>
    <n v="280"/>
    <n v="70"/>
    <n v="250"/>
    <n v="10.15"/>
    <n v="16610"/>
    <n v="4152.5"/>
    <n v="13440"/>
    <n v="14510"/>
    <n v="0.12642986152919927"/>
  </r>
  <r>
    <x v="54"/>
    <s v="Cusco"/>
    <s v="Universidad San Antonio Abad"/>
    <s v="Data Analytics"/>
    <x v="0"/>
    <n v="2"/>
    <n v="6800"/>
    <n v="39.799999999999997"/>
    <n v="260"/>
    <n v="120"/>
    <n v="350"/>
    <n v="3.75"/>
    <n v="13860"/>
    <n v="6930"/>
    <n v="6240"/>
    <n v="7060"/>
    <n v="0.49062049062049062"/>
  </r>
  <r>
    <x v="39"/>
    <s v="La Plata"/>
    <s v="National University of La Plata"/>
    <s v="Software Development"/>
    <x v="1"/>
    <n v="4"/>
    <n v="0"/>
    <n v="37.5"/>
    <n v="240"/>
    <n v="90"/>
    <n v="280"/>
    <n v="275"/>
    <n v="12730"/>
    <n v="3182.5"/>
    <n v="11520"/>
    <n v="12730"/>
    <n v="0"/>
  </r>
  <r>
    <x v="49"/>
    <s v="Gabes"/>
    <s v="University of Gabes"/>
    <s v="Computer Engineering"/>
    <x v="0"/>
    <n v="2"/>
    <n v="1400"/>
    <n v="30.5"/>
    <n v="160"/>
    <n v="60"/>
    <n v="200"/>
    <n v="3.15"/>
    <n v="5700"/>
    <n v="2850"/>
    <n v="3840"/>
    <n v="4300"/>
    <n v="0.24561403508771928"/>
  </r>
  <r>
    <x v="51"/>
    <s v="Zadar"/>
    <s v="University of Zadar"/>
    <s v="Information Technology"/>
    <x v="2"/>
    <n v="4"/>
    <n v="3600"/>
    <n v="53.2"/>
    <n v="370"/>
    <n v="80"/>
    <n v="400"/>
    <n v="7.35"/>
    <n v="23040"/>
    <n v="5760"/>
    <n v="17760"/>
    <n v="19440"/>
    <n v="0.15625"/>
  </r>
  <r>
    <x v="50"/>
    <s v="Paphos"/>
    <s v="Neapolis University"/>
    <s v="Data Science"/>
    <x v="1"/>
    <n v="3"/>
    <n v="7400"/>
    <n v="58.5"/>
    <n v="450"/>
    <n v="100"/>
    <n v="500"/>
    <n v="0.92"/>
    <n v="25200"/>
    <n v="8400"/>
    <n v="16200"/>
    <n v="17800"/>
    <n v="0.29365079365079366"/>
  </r>
  <r>
    <x v="52"/>
    <s v="Puerto Plata"/>
    <s v="UTESA"/>
    <s v="Computer Science"/>
    <x v="2"/>
    <n v="4"/>
    <n v="4500"/>
    <n v="36.799999999999997"/>
    <n v="250"/>
    <n v="100"/>
    <n v="300"/>
    <n v="56.8"/>
    <n v="17800"/>
    <n v="4450"/>
    <n v="12000"/>
    <n v="13300"/>
    <n v="0.25280898876404495"/>
  </r>
  <r>
    <x v="53"/>
    <s v="Tangier"/>
    <s v="Abdelmalek Essaadi University"/>
    <s v="Software Engineering"/>
    <x v="0"/>
    <n v="2"/>
    <n v="1900"/>
    <n v="38.9"/>
    <n v="260"/>
    <n v="70"/>
    <n v="250"/>
    <n v="10.15"/>
    <n v="8710"/>
    <n v="4355"/>
    <n v="6240"/>
    <n v="6810"/>
    <n v="0.21814006888633755"/>
  </r>
  <r>
    <x v="54"/>
    <s v="Piura"/>
    <s v="Universidad de Piura"/>
    <s v="Information Systems"/>
    <x v="0"/>
    <n v="2"/>
    <n v="7200"/>
    <n v="38.5"/>
    <n v="250"/>
    <n v="120"/>
    <n v="350"/>
    <n v="3.75"/>
    <n v="14020"/>
    <n v="7010"/>
    <n v="6000"/>
    <n v="6820"/>
    <n v="0.51355206847360912"/>
  </r>
  <r>
    <x v="39"/>
    <s v="Mendoza"/>
    <s v="National University of Cuyo"/>
    <s v="Data Analytics"/>
    <x v="2"/>
    <n v="4"/>
    <n v="0"/>
    <n v="36.799999999999997"/>
    <n v="230"/>
    <n v="90"/>
    <n v="280"/>
    <n v="275"/>
    <n v="12250"/>
    <n v="3062.5"/>
    <n v="11040"/>
    <n v="12250"/>
    <n v="0"/>
  </r>
  <r>
    <x v="49"/>
    <s v="Bizerte"/>
    <s v="University of Carthage"/>
    <s v="Artificial Intelligence"/>
    <x v="1"/>
    <n v="3"/>
    <n v="1200"/>
    <n v="29.8"/>
    <n v="150"/>
    <n v="60"/>
    <n v="200"/>
    <n v="3.15"/>
    <n v="7260"/>
    <n v="2420"/>
    <n v="5400"/>
    <n v="6060"/>
    <n v="0.16528925619834711"/>
  </r>
  <r>
    <x v="50"/>
    <s v="Girne"/>
    <s v="Girne American University"/>
    <s v="Computer Engineering"/>
    <x v="0"/>
    <n v="2"/>
    <n v="7600"/>
    <n v="57.8"/>
    <n v="430"/>
    <n v="100"/>
    <n v="500"/>
    <n v="0.92"/>
    <n v="19020"/>
    <n v="9510"/>
    <n v="10320"/>
    <n v="11420"/>
    <n v="0.39957939011566773"/>
  </r>
  <r>
    <x v="51"/>
    <s v="Dubrovnik"/>
    <s v="University of Dubrovnik"/>
    <s v="Software Development"/>
    <x v="0"/>
    <n v="2"/>
    <n v="3400"/>
    <n v="54.5"/>
    <n v="390"/>
    <n v="80"/>
    <n v="400"/>
    <n v="7.35"/>
    <n v="13640"/>
    <n v="6820"/>
    <n v="9360"/>
    <n v="10240"/>
    <n v="0.24926686217008798"/>
  </r>
  <r>
    <x v="53"/>
    <s v="Oujda"/>
    <s v="Mohammed I University"/>
    <s v="Computer Science"/>
    <x v="1"/>
    <n v="4"/>
    <n v="1700"/>
    <n v="37.5"/>
    <n v="240"/>
    <n v="70"/>
    <n v="250"/>
    <n v="10.15"/>
    <n v="14290"/>
    <n v="3572.5"/>
    <n v="11520"/>
    <n v="12590"/>
    <n v="0.11896431070678797"/>
  </r>
  <r>
    <x v="54"/>
    <s v="Chiclayo"/>
    <s v="Universidad San Martin"/>
    <s v="Data Engineering"/>
    <x v="2"/>
    <n v="4"/>
    <n v="6500"/>
    <n v="37.799999999999997"/>
    <n v="240"/>
    <n v="120"/>
    <n v="350"/>
    <n v="3.75"/>
    <n v="19540"/>
    <n v="4885"/>
    <n v="11520"/>
    <n v="13040"/>
    <n v="0.33265097236438074"/>
  </r>
  <r>
    <x v="55"/>
    <s v="Quito"/>
    <s v="Universidad San Francisco"/>
    <s v="Computer Science"/>
    <x v="0"/>
    <n v="2"/>
    <n v="8500"/>
    <n v="45.8"/>
    <n v="400"/>
    <n v="100"/>
    <n v="300"/>
    <n v="1"/>
    <n v="18800"/>
    <n v="9400"/>
    <n v="9600"/>
    <n v="10300"/>
    <n v="0.4521276595744681"/>
  </r>
  <r>
    <x v="56"/>
    <s v="Beirut"/>
    <s v="American University of Beirut"/>
    <s v="Data Science"/>
    <x v="0"/>
    <n v="2"/>
    <n v="20000"/>
    <n v="58.9"/>
    <n v="600"/>
    <n v="150"/>
    <n v="500"/>
    <n v="15000"/>
    <n v="35550"/>
    <n v="17775"/>
    <n v="14400"/>
    <n v="15550"/>
    <n v="0.56258790436005623"/>
  </r>
  <r>
    <x v="57"/>
    <s v="Manama"/>
    <s v="University of Bahrain"/>
    <s v="Software Engineering"/>
    <x v="1"/>
    <n v="4"/>
    <n v="7000"/>
    <n v="65.400000000000006"/>
    <n v="700"/>
    <n v="130"/>
    <n v="600"/>
    <n v="0.38"/>
    <n v="43130"/>
    <n v="10782.5"/>
    <n v="33600"/>
    <n v="36130"/>
    <n v="0.1623000231857176"/>
  </r>
  <r>
    <x v="58"/>
    <s v="Montevideo"/>
    <s v="Universidad de la Republica"/>
    <s v="Computer Engineering"/>
    <x v="2"/>
    <n v="4"/>
    <n v="0"/>
    <n v="52.4"/>
    <n v="450"/>
    <n v="90"/>
    <n v="350"/>
    <n v="39.5"/>
    <n v="23090"/>
    <n v="5772.5"/>
    <n v="21600"/>
    <n v="23090"/>
    <n v="0"/>
  </r>
  <r>
    <x v="59"/>
    <s v="Sofia"/>
    <s v="Sofia University"/>
    <s v="Information Systems"/>
    <x v="0"/>
    <n v="2"/>
    <n v="3500"/>
    <n v="48.5"/>
    <n v="400"/>
    <n v="110"/>
    <n v="300"/>
    <n v="1.85"/>
    <n v="13810"/>
    <n v="6905"/>
    <n v="9600"/>
    <n v="10310"/>
    <n v="0.25343953656770457"/>
  </r>
  <r>
    <x v="60"/>
    <s v="Accra"/>
    <s v="University of Ghana"/>
    <s v="Data Analytics"/>
    <x v="0"/>
    <n v="2"/>
    <n v="4500"/>
    <n v="42.1"/>
    <n v="300"/>
    <n v="120"/>
    <n v="250"/>
    <n v="12"/>
    <n v="12320"/>
    <n v="6160"/>
    <n v="7200"/>
    <n v="7820"/>
    <n v="0.36525974025974028"/>
  </r>
  <r>
    <x v="61"/>
    <s v="Algiers"/>
    <s v="University of Science and Technology"/>
    <s v="Computer Science"/>
    <x v="1"/>
    <n v="3"/>
    <n v="1200"/>
    <n v="38.5"/>
    <n v="250"/>
    <n v="80"/>
    <n v="200"/>
    <n v="137.5"/>
    <n v="10880"/>
    <n v="3626.6666666666665"/>
    <n v="9000"/>
    <n v="9680"/>
    <n v="0.11029411764705882"/>
  </r>
  <r>
    <x v="62"/>
    <s v="Panama City"/>
    <s v="Universidad Tecnologica"/>
    <s v="Artificial Intelligence"/>
    <x v="0"/>
    <n v="2"/>
    <n v="7500"/>
    <n v="51.2"/>
    <n v="600"/>
    <n v="100"/>
    <n v="400"/>
    <n v="1"/>
    <n v="22800"/>
    <n v="11400"/>
    <n v="14400"/>
    <n v="15300"/>
    <n v="0.32894736842105265"/>
  </r>
  <r>
    <x v="55"/>
    <s v="Guayaquil"/>
    <s v="ESPOL"/>
    <s v="Software Development"/>
    <x v="2"/>
    <n v="4"/>
    <n v="7800"/>
    <n v="43.2"/>
    <n v="350"/>
    <n v="100"/>
    <n v="300"/>
    <n v="1"/>
    <n v="25900"/>
    <n v="6475"/>
    <n v="16800"/>
    <n v="18100"/>
    <n v="0.30115830115830117"/>
  </r>
  <r>
    <x v="56"/>
    <s v="Byblos"/>
    <s v="Lebanese American University"/>
    <s v="Data Engineering"/>
    <x v="0"/>
    <n v="2"/>
    <n v="18000"/>
    <n v="55.4"/>
    <n v="500"/>
    <n v="150"/>
    <n v="500"/>
    <n v="15000"/>
    <n v="31150"/>
    <n v="15575"/>
    <n v="12000"/>
    <n v="13150"/>
    <n v="0.5778491171749599"/>
  </r>
  <r>
    <x v="57"/>
    <s v="Riffa"/>
    <s v="Royal University for Women"/>
    <s v="Information Technology"/>
    <x v="0"/>
    <n v="2"/>
    <n v="8000"/>
    <n v="63.2"/>
    <n v="650"/>
    <n v="130"/>
    <n v="600"/>
    <n v="0.38"/>
    <n v="24930"/>
    <n v="12465"/>
    <n v="15600"/>
    <n v="16930"/>
    <n v="0.32089851584436424"/>
  </r>
  <r>
    <x v="58"/>
    <s v="Salto"/>
    <s v="Universidad ORT Uruguay"/>
    <s v="Computer Science"/>
    <x v="0"/>
    <n v="2"/>
    <n v="6500"/>
    <n v="48.5"/>
    <n v="380"/>
    <n v="90"/>
    <n v="350"/>
    <n v="39.5"/>
    <n v="16410"/>
    <n v="8205"/>
    <n v="9120"/>
    <n v="9910"/>
    <n v="0.39609993906154783"/>
  </r>
  <r>
    <x v="59"/>
    <s v="Plovdiv"/>
    <s v="Plovdiv University"/>
    <s v="Data Science"/>
    <x v="1"/>
    <n v="3"/>
    <n v="3200"/>
    <n v="45.8"/>
    <n v="350"/>
    <n v="110"/>
    <n v="300"/>
    <n v="1.85"/>
    <n v="16810"/>
    <n v="5603.333333333333"/>
    <n v="12600"/>
    <n v="13610"/>
    <n v="0.19036287923854847"/>
  </r>
  <r>
    <x v="60"/>
    <s v="Kumasi"/>
    <s v="Kwame Nkrumah University"/>
    <s v="Software Engineering"/>
    <x v="2"/>
    <n v="4"/>
    <n v="4200"/>
    <n v="39.799999999999997"/>
    <n v="250"/>
    <n v="120"/>
    <n v="250"/>
    <n v="12"/>
    <n v="17320"/>
    <n v="4330"/>
    <n v="12000"/>
    <n v="13120"/>
    <n v="0.24249422632794457"/>
  </r>
  <r>
    <x v="61"/>
    <s v="Oran"/>
    <s v="University of Oran"/>
    <s v="Computer Engineering"/>
    <x v="0"/>
    <n v="2"/>
    <n v="1100"/>
    <n v="36.4"/>
    <n v="220"/>
    <n v="80"/>
    <n v="200"/>
    <n v="137.5"/>
    <n v="6860"/>
    <n v="3430"/>
    <n v="5280"/>
    <n v="5760"/>
    <n v="0.16034985422740525"/>
  </r>
  <r>
    <x v="62"/>
    <s v="David"/>
    <s v="ISAE University"/>
    <s v="Data Analytics"/>
    <x v="1"/>
    <n v="4"/>
    <n v="6800"/>
    <n v="47.5"/>
    <n v="450"/>
    <n v="100"/>
    <n v="400"/>
    <n v="1"/>
    <n v="30100"/>
    <n v="7525"/>
    <n v="21600"/>
    <n v="23300"/>
    <n v="0.22591362126245848"/>
  </r>
  <r>
    <x v="55"/>
    <s v="Cuenca"/>
    <s v="Universidad de Cuenca"/>
    <s v="Information Systems"/>
    <x v="0"/>
    <n v="2"/>
    <n v="7200"/>
    <n v="42.5"/>
    <n v="320"/>
    <n v="100"/>
    <n v="300"/>
    <n v="1"/>
    <n v="15580"/>
    <n v="7790"/>
    <n v="7680"/>
    <n v="8380"/>
    <n v="0.46213093709884467"/>
  </r>
  <r>
    <x v="56"/>
    <s v="Tripoli"/>
    <s v="Lebanese University"/>
    <s v="Computer Science"/>
    <x v="2"/>
    <n v="4"/>
    <n v="2000"/>
    <n v="52.1"/>
    <n v="400"/>
    <n v="150"/>
    <n v="500"/>
    <n v="15000"/>
    <n v="23350"/>
    <n v="5837.5"/>
    <n v="19200"/>
    <n v="21350"/>
    <n v="8.5653104925053528E-2"/>
  </r>
  <r>
    <x v="57"/>
    <s v="Isa Town"/>
    <s v="Bahrain Polytechnic"/>
    <s v="Software Development"/>
    <x v="1"/>
    <n v="4"/>
    <n v="6500"/>
    <n v="61.8"/>
    <n v="600"/>
    <n v="130"/>
    <n v="600"/>
    <n v="0.38"/>
    <n v="37830"/>
    <n v="9457.5"/>
    <n v="28800"/>
    <n v="31330"/>
    <n v="0.1718213058419244"/>
  </r>
  <r>
    <x v="58"/>
    <s v="Maldonado"/>
    <s v="Universidad Catolica"/>
    <s v="Data Science"/>
    <x v="0"/>
    <n v="2"/>
    <n v="7000"/>
    <n v="49.2"/>
    <n v="400"/>
    <n v="90"/>
    <n v="350"/>
    <n v="39.5"/>
    <n v="17390"/>
    <n v="8695"/>
    <n v="9600"/>
    <n v="10390"/>
    <n v="0.40253018976423233"/>
  </r>
  <r>
    <x v="59"/>
    <s v="Varna"/>
    <s v="Technical University Varna"/>
    <s v="Computer Engineering"/>
    <x v="0"/>
    <n v="2"/>
    <n v="3100"/>
    <n v="44.2"/>
    <n v="330"/>
    <n v="110"/>
    <n v="300"/>
    <n v="1.85"/>
    <n v="11730"/>
    <n v="5865"/>
    <n v="7920"/>
    <n v="8630"/>
    <n v="0.26427962489343565"/>
  </r>
  <r>
    <x v="60"/>
    <s v="Cape Coast"/>
    <s v="University of Cape Coast"/>
    <s v="Information Technology"/>
    <x v="0"/>
    <n v="2"/>
    <n v="4000"/>
    <n v="38.5"/>
    <n v="230"/>
    <n v="120"/>
    <n v="250"/>
    <n v="12"/>
    <n v="10140"/>
    <n v="5070"/>
    <n v="5520"/>
    <n v="6140"/>
    <n v="0.39447731755424065"/>
  </r>
  <r>
    <x v="61"/>
    <s v="Constantine"/>
    <s v="University of Constantine"/>
    <s v="Data Analytics"/>
    <x v="2"/>
    <n v="4"/>
    <n v="1300"/>
    <n v="35.799999999999997"/>
    <n v="200"/>
    <n v="80"/>
    <n v="200"/>
    <n v="137.5"/>
    <n v="11780"/>
    <n v="2945"/>
    <n v="9600"/>
    <n v="10480"/>
    <n v="0.11035653650254669"/>
  </r>
  <r>
    <x v="62"/>
    <s v="Santiago"/>
    <s v="Universidad Latina"/>
    <s v="Computer Science"/>
    <x v="0"/>
    <n v="2"/>
    <n v="6500"/>
    <n v="45.8"/>
    <n v="400"/>
    <n v="100"/>
    <n v="400"/>
    <n v="1"/>
    <n v="17000"/>
    <n v="8500"/>
    <n v="9600"/>
    <n v="10500"/>
    <n v="0.38235294117647056"/>
  </r>
  <r>
    <x v="55"/>
    <s v="Loja"/>
    <s v="UTPL"/>
    <s v="Artificial Intelligence"/>
    <x v="1"/>
    <n v="3"/>
    <n v="6800"/>
    <n v="41.2"/>
    <n v="300"/>
    <n v="100"/>
    <n v="300"/>
    <n v="1"/>
    <n v="18600"/>
    <n v="6200"/>
    <n v="10800"/>
    <n v="11800"/>
    <n v="0.36559139784946237"/>
  </r>
  <r>
    <x v="56"/>
    <s v="Jounieh"/>
    <s v="Holy Spirit University"/>
    <s v="Software Engineering"/>
    <x v="0"/>
    <n v="2"/>
    <n v="16000"/>
    <n v="54.5"/>
    <n v="450"/>
    <n v="150"/>
    <n v="500"/>
    <n v="15000"/>
    <n v="27950"/>
    <n v="13975"/>
    <n v="10800"/>
    <n v="11950"/>
    <n v="0.57245080500894452"/>
  </r>
  <r>
    <x v="57"/>
    <s v="Sakhir"/>
    <s v="Arabian Gulf University"/>
    <s v="Data Science"/>
    <x v="2"/>
    <n v="4"/>
    <n v="9000"/>
    <n v="62.4"/>
    <n v="620"/>
    <n v="130"/>
    <n v="600"/>
    <n v="0.38"/>
    <n v="41290"/>
    <n v="10322.5"/>
    <n v="29760"/>
    <n v="32290"/>
    <n v="0.21797045289416322"/>
  </r>
  <r>
    <x v="58"/>
    <s v="Rivera"/>
    <s v="UTEC"/>
    <s v="Information Systems"/>
    <x v="1"/>
    <n v="4"/>
    <n v="0"/>
    <n v="47.8"/>
    <n v="350"/>
    <n v="90"/>
    <n v="350"/>
    <n v="39.5"/>
    <n v="18290"/>
    <n v="4572.5"/>
    <n v="16800"/>
    <n v="18290"/>
    <n v="0"/>
  </r>
  <r>
    <x v="59"/>
    <s v="Burgas"/>
    <s v="Burgas Free University"/>
    <s v="Computer Science"/>
    <x v="0"/>
    <n v="2"/>
    <n v="2900"/>
    <n v="43.5"/>
    <n v="320"/>
    <n v="110"/>
    <n v="300"/>
    <n v="1.85"/>
    <n v="11290"/>
    <n v="5645"/>
    <n v="7680"/>
    <n v="8390"/>
    <n v="0.25686448184233834"/>
  </r>
  <r>
    <x v="60"/>
    <s v="Tamale"/>
    <s v="University for Development"/>
    <s v="Software Development"/>
    <x v="2"/>
    <n v="4"/>
    <n v="3800"/>
    <n v="36.799999999999997"/>
    <n v="200"/>
    <n v="120"/>
    <n v="250"/>
    <n v="12"/>
    <n v="14520"/>
    <n v="3630"/>
    <n v="9600"/>
    <n v="10720"/>
    <n v="0.26170798898071623"/>
  </r>
  <r>
    <x v="61"/>
    <s v="Annaba"/>
    <s v="Badji Mokhtar University"/>
    <s v="Computer Engineering"/>
    <x v="0"/>
    <n v="2"/>
    <n v="1000"/>
    <n v="34.5"/>
    <n v="180"/>
    <n v="80"/>
    <n v="200"/>
    <n v="137.5"/>
    <n v="5800"/>
    <n v="2900"/>
    <n v="4320"/>
    <n v="4800"/>
    <n v="0.17241379310344829"/>
  </r>
  <r>
    <x v="62"/>
    <s v="ChitrÃ©"/>
    <s v="Quality Leadership University"/>
    <s v="Data Analytics"/>
    <x v="1"/>
    <n v="3"/>
    <n v="6200"/>
    <n v="44.2"/>
    <n v="380"/>
    <n v="100"/>
    <n v="400"/>
    <n v="1"/>
    <n v="21180"/>
    <n v="7060"/>
    <n v="13680"/>
    <n v="14980"/>
    <n v="0.29272898961284233"/>
  </r>
  <r>
    <x v="55"/>
    <s v="Ambato"/>
    <s v="Universidad Tecnica"/>
    <s v="Information Technology"/>
    <x v="2"/>
    <n v="4"/>
    <n v="6500"/>
    <n v="40.5"/>
    <n v="280"/>
    <n v="100"/>
    <n v="300"/>
    <n v="1"/>
    <n v="21240"/>
    <n v="5310"/>
    <n v="13440"/>
    <n v="14740"/>
    <n v="0.30602636534839922"/>
  </r>
  <r>
    <x v="56"/>
    <s v="Sidon"/>
    <s v="Lebanese International"/>
    <s v="Computer Science"/>
    <x v="1"/>
    <n v="4"/>
    <n v="15000"/>
    <n v="51.8"/>
    <n v="420"/>
    <n v="150"/>
    <n v="500"/>
    <n v="15000"/>
    <n v="37310"/>
    <n v="9327.5"/>
    <n v="20160"/>
    <n v="22310"/>
    <n v="0.40203698740284105"/>
  </r>
  <r>
    <x v="57"/>
    <s v="Muharraq"/>
    <s v="Applied Science University"/>
    <s v="Data Engineering"/>
    <x v="0"/>
    <n v="2"/>
    <n v="7500"/>
    <n v="61.5"/>
    <n v="580"/>
    <n v="130"/>
    <n v="600"/>
    <n v="0.38"/>
    <n v="22750"/>
    <n v="11375"/>
    <n v="13920"/>
    <n v="15250"/>
    <n v="0.32967032967032966"/>
  </r>
  <r>
    <x v="58"/>
    <s v="Paysandu"/>
    <s v="Universidad de Paysandu"/>
    <s v="Software Engineering"/>
    <x v="0"/>
    <n v="2"/>
    <n v="0"/>
    <n v="46.5"/>
    <n v="330"/>
    <n v="90"/>
    <n v="350"/>
    <n v="39.5"/>
    <n v="8710"/>
    <n v="4355"/>
    <n v="7920"/>
    <n v="8710"/>
    <n v="0"/>
  </r>
  <r>
    <x v="59"/>
    <s v="Ruse"/>
    <s v="University of Ruse"/>
    <s v="Artificial Intelligence"/>
    <x v="2"/>
    <n v="4"/>
    <n v="3300"/>
    <n v="42.8"/>
    <n v="300"/>
    <n v="110"/>
    <n v="300"/>
    <n v="1.85"/>
    <n v="19010"/>
    <n v="4752.5"/>
    <n v="14400"/>
    <n v="15710"/>
    <n v="0.17359284587059443"/>
  </r>
  <r>
    <x v="60"/>
    <s v="Ho"/>
    <s v="University of Health Sciences"/>
    <s v="Data Science"/>
    <x v="0"/>
    <n v="2"/>
    <n v="3500"/>
    <n v="35.4"/>
    <n v="180"/>
    <n v="120"/>
    <n v="250"/>
    <n v="12"/>
    <n v="8440"/>
    <n v="4220"/>
    <n v="4320"/>
    <n v="4940"/>
    <n v="0.41469194312796209"/>
  </r>
  <r>
    <x v="61"/>
    <s v="Tlemcen"/>
    <s v="University of Tlemcen"/>
    <s v="Information Systems"/>
    <x v="1"/>
    <n v="3"/>
    <n v="900"/>
    <n v="33.200000000000003"/>
    <n v="160"/>
    <n v="80"/>
    <n v="200"/>
    <n v="137.5"/>
    <n v="7340"/>
    <n v="2446.6666666666665"/>
    <n v="5760"/>
    <n v="6440"/>
    <n v="0.1226158038147139"/>
  </r>
  <r>
    <x v="62"/>
    <s v="La Chorrera"/>
    <s v="Universidad Metropolitana"/>
    <s v="Computer Science"/>
    <x v="0"/>
    <n v="2"/>
    <n v="6000"/>
    <n v="43.5"/>
    <n v="350"/>
    <n v="100"/>
    <n v="400"/>
    <n v="1"/>
    <n v="15300"/>
    <n v="7650"/>
    <n v="8400"/>
    <n v="9300"/>
    <n v="0.39215686274509803"/>
  </r>
  <r>
    <x v="63"/>
    <s v="Dhaka"/>
    <s v="Bangladesh University of Engineering"/>
    <s v="Computer Science"/>
    <x v="0"/>
    <n v="2"/>
    <n v="2500"/>
    <n v="42.5"/>
    <n v="250"/>
    <n v="100"/>
    <n v="200"/>
    <n v="109.5"/>
    <n v="9000"/>
    <n v="4500"/>
    <n v="6000"/>
    <n v="6500"/>
    <n v="0.27777777777777779"/>
  </r>
  <r>
    <x v="64"/>
    <s v="Kuwait City"/>
    <s v="Kuwait University"/>
    <s v="Data Science"/>
    <x v="0"/>
    <n v="2"/>
    <n v="3500"/>
    <n v="71.2"/>
    <n v="800"/>
    <n v="140"/>
    <n v="700"/>
    <n v="0.31"/>
    <n v="24240"/>
    <n v="12120"/>
    <n v="19200"/>
    <n v="20740"/>
    <n v="0.14438943894389439"/>
  </r>
  <r>
    <x v="65"/>
    <s v="Kyiv"/>
    <s v="Igor Sikorsky Kyiv Polytechnic"/>
    <s v="Software Engineering"/>
    <x v="1"/>
    <n v="4"/>
    <n v="3800"/>
    <n v="45.8"/>
    <n v="400"/>
    <n v="120"/>
    <n v="300"/>
    <n v="36.799999999999997"/>
    <n v="24320"/>
    <n v="6080"/>
    <n v="19200"/>
    <n v="20520"/>
    <n v="0.15625"/>
  </r>
  <r>
    <x v="66"/>
    <s v="Ljubljana"/>
    <s v="University of Ljubljana"/>
    <s v="Computer Engineering"/>
    <x v="2"/>
    <n v="4"/>
    <n v="4500"/>
    <n v="62.4"/>
    <n v="500"/>
    <n v="80"/>
    <n v="450"/>
    <n v="0.92"/>
    <n v="30380"/>
    <n v="7595"/>
    <n v="24000"/>
    <n v="25880"/>
    <n v="0.14812376563528637"/>
  </r>
  <r>
    <x v="67"/>
    <s v="Belgrade"/>
    <s v="University of Belgrade"/>
    <s v="Information Systems"/>
    <x v="0"/>
    <n v="2"/>
    <n v="2800"/>
    <n v="48.5"/>
    <n v="350"/>
    <n v="90"/>
    <n v="320"/>
    <n v="108.5"/>
    <n v="11930"/>
    <n v="5965"/>
    <n v="8400"/>
    <n v="9130"/>
    <n v="0.23470243084660519"/>
  </r>
  <r>
    <x v="68"/>
    <s v="Tehran"/>
    <s v="Sharif University of Technology"/>
    <s v="Data Analytics"/>
    <x v="0"/>
    <n v="2"/>
    <n v="3000"/>
    <n v="51.2"/>
    <n v="400"/>
    <n v="150"/>
    <n v="280"/>
    <n v="42150"/>
    <n v="13310"/>
    <n v="6655"/>
    <n v="9600"/>
    <n v="10310"/>
    <n v="0.22539444027047334"/>
  </r>
  <r>
    <x v="69"/>
    <s v="Tashkent"/>
    <s v="INHA University Tashkent"/>
    <s v="Computer Science"/>
    <x v="1"/>
    <n v="4"/>
    <n v="4200"/>
    <n v="44.5"/>
    <n v="300"/>
    <n v="160"/>
    <n v="250"/>
    <n v="12300"/>
    <n v="19760"/>
    <n v="4940"/>
    <n v="14400"/>
    <n v="15560"/>
    <n v="0.2125506072874494"/>
  </r>
  <r>
    <x v="70"/>
    <s v="San Salvador"/>
    <s v="Universidad Don Bosco"/>
    <s v="Software Development"/>
    <x v="0"/>
    <n v="2"/>
    <n v="5500"/>
    <n v="46.8"/>
    <n v="400"/>
    <n v="110"/>
    <n v="300"/>
    <n v="1"/>
    <n v="15810"/>
    <n v="7905"/>
    <n v="9600"/>
    <n v="10310"/>
    <n v="0.3478810879190386"/>
  </r>
  <r>
    <x v="63"/>
    <s v="Chittagong"/>
    <s v="CUET"/>
    <s v="Artificial Intelligence"/>
    <x v="2"/>
    <n v="4"/>
    <n v="2200"/>
    <n v="39.799999999999997"/>
    <n v="200"/>
    <n v="100"/>
    <n v="200"/>
    <n v="109.5"/>
    <n v="12700"/>
    <n v="3175"/>
    <n v="9600"/>
    <n v="10500"/>
    <n v="0.17322834645669291"/>
  </r>
  <r>
    <x v="64"/>
    <s v="Hawalli"/>
    <s v="American University Kuwait"/>
    <s v="Data Engineering"/>
    <x v="0"/>
    <n v="2"/>
    <n v="15000"/>
    <n v="68.5"/>
    <n v="750"/>
    <n v="140"/>
    <n v="700"/>
    <n v="0.31"/>
    <n v="34540"/>
    <n v="17270"/>
    <n v="18000"/>
    <n v="19540"/>
    <n v="0.43427909669947884"/>
  </r>
  <r>
    <x v="65"/>
    <s v="Lviv"/>
    <s v="Lviv Polytechnic"/>
    <s v="Computer Science"/>
    <x v="0"/>
    <n v="2"/>
    <n v="3500"/>
    <n v="43.2"/>
    <n v="350"/>
    <n v="120"/>
    <n v="300"/>
    <n v="36.799999999999997"/>
    <n v="12620"/>
    <n v="6310"/>
    <n v="8400"/>
    <n v="9120"/>
    <n v="0.27733755942947702"/>
  </r>
  <r>
    <x v="66"/>
    <s v="Maribor"/>
    <s v="University of Maribor"/>
    <s v="Data Science"/>
    <x v="0"/>
    <n v="2"/>
    <n v="4200"/>
    <n v="58.5"/>
    <n v="450"/>
    <n v="80"/>
    <n v="450"/>
    <n v="0.92"/>
    <n v="15980"/>
    <n v="7990"/>
    <n v="10800"/>
    <n v="11780"/>
    <n v="0.26282853566958697"/>
  </r>
  <r>
    <x v="67"/>
    <s v="Novi Sad"/>
    <s v="University of Novi Sad"/>
    <s v="Software Engineering"/>
    <x v="2"/>
    <n v="4"/>
    <n v="2600"/>
    <n v="45.8"/>
    <n v="320"/>
    <n v="90"/>
    <n v="320"/>
    <n v="108.5"/>
    <n v="19330"/>
    <n v="4832.5"/>
    <n v="15360"/>
    <n v="16730"/>
    <n v="0.13450594930160373"/>
  </r>
  <r>
    <x v="68"/>
    <s v="Isfahan"/>
    <s v="Isfahan University of Technology"/>
    <s v="Information Systems"/>
    <x v="1"/>
    <n v="3"/>
    <n v="2800"/>
    <n v="48.5"/>
    <n v="350"/>
    <n v="150"/>
    <n v="280"/>
    <n v="42150"/>
    <n v="16390"/>
    <n v="5463.333333333333"/>
    <n v="12600"/>
    <n v="13590"/>
    <n v="0.17083587553386212"/>
  </r>
  <r>
    <x v="69"/>
    <s v="Samarkand"/>
    <s v="Samarkand State University"/>
    <s v="Data Analytics"/>
    <x v="0"/>
    <n v="2"/>
    <n v="3800"/>
    <n v="41.2"/>
    <n v="250"/>
    <n v="160"/>
    <n v="250"/>
    <n v="12300"/>
    <n v="10460"/>
    <n v="5230"/>
    <n v="6000"/>
    <n v="6660"/>
    <n v="0.3632887189292543"/>
  </r>
  <r>
    <x v="70"/>
    <s v="Santa Ana"/>
    <s v="Universidad Catolica"/>
    <s v="Computer Engineering"/>
    <x v="1"/>
    <n v="4"/>
    <n v="5000"/>
    <n v="44.5"/>
    <n v="350"/>
    <n v="110"/>
    <n v="300"/>
    <n v="1"/>
    <n v="23110"/>
    <n v="5777.5"/>
    <n v="16800"/>
    <n v="18110"/>
    <n v="0.21635655560363479"/>
  </r>
  <r>
    <x v="63"/>
    <s v="Khulna"/>
    <s v="Khulna University"/>
    <s v="Software Development"/>
    <x v="0"/>
    <n v="2"/>
    <n v="2100"/>
    <n v="38.5"/>
    <n v="180"/>
    <n v="100"/>
    <n v="200"/>
    <n v="109.5"/>
    <n v="6920"/>
    <n v="3460"/>
    <n v="4320"/>
    <n v="4820"/>
    <n v="0.30346820809248554"/>
  </r>
  <r>
    <x v="64"/>
    <s v="Al Jahra"/>
    <s v="Gulf University for Science"/>
    <s v="Artificial Intelligence"/>
    <x v="2"/>
    <n v="4"/>
    <n v="14000"/>
    <n v="66.8"/>
    <n v="700"/>
    <n v="140"/>
    <n v="700"/>
    <n v="0.31"/>
    <n v="50540"/>
    <n v="12635"/>
    <n v="33600"/>
    <n v="36540"/>
    <n v="0.2770083102493075"/>
  </r>
  <r>
    <x v="65"/>
    <s v="Kharkiv"/>
    <s v="Kharkiv Polytechnic"/>
    <s v="Data Science"/>
    <x v="0"/>
    <n v="2"/>
    <n v="3400"/>
    <n v="42.5"/>
    <n v="330"/>
    <n v="120"/>
    <n v="300"/>
    <n v="36.799999999999997"/>
    <n v="12040"/>
    <n v="6020"/>
    <n v="7920"/>
    <n v="8640"/>
    <n v="0.28239202657807311"/>
  </r>
  <r>
    <x v="66"/>
    <s v="Koper"/>
    <s v="University of Primorska"/>
    <s v="Information Technology"/>
    <x v="1"/>
    <n v="3"/>
    <n v="4000"/>
    <n v="57.2"/>
    <n v="420"/>
    <n v="80"/>
    <n v="450"/>
    <n v="0.92"/>
    <n v="20550"/>
    <n v="6850"/>
    <n v="15120"/>
    <n v="16550"/>
    <n v="0.19464720194647203"/>
  </r>
  <r>
    <x v="67"/>
    <s v="Nis"/>
    <s v="University of Nis"/>
    <s v="Computer Engineering"/>
    <x v="0"/>
    <n v="2"/>
    <n v="2500"/>
    <n v="44.2"/>
    <n v="300"/>
    <n v="90"/>
    <n v="320"/>
    <n v="108.5"/>
    <n v="10430"/>
    <n v="5215"/>
    <n v="7200"/>
    <n v="7930"/>
    <n v="0.23969319271332695"/>
  </r>
  <r>
    <x v="68"/>
    <s v="Mashhad"/>
    <s v="Ferdowsi University"/>
    <s v="Data Analytics"/>
    <x v="2"/>
    <n v="4"/>
    <n v="2900"/>
    <n v="47.8"/>
    <n v="320"/>
    <n v="150"/>
    <n v="280"/>
    <n v="42150"/>
    <n v="19530"/>
    <n v="4882.5"/>
    <n v="15360"/>
    <n v="16630"/>
    <n v="0.14848950332821301"/>
  </r>
  <r>
    <x v="69"/>
    <s v="Bukhara"/>
    <s v="Bukhara State University"/>
    <s v="Computer Science"/>
    <x v="1"/>
    <n v="4"/>
    <n v="3500"/>
    <n v="39.799999999999997"/>
    <n v="220"/>
    <n v="160"/>
    <n v="250"/>
    <n v="12300"/>
    <n v="15220"/>
    <n v="3805"/>
    <n v="10560"/>
    <n v="11720"/>
    <n v="0.22996057818659657"/>
  </r>
  <r>
    <x v="70"/>
    <s v="San Miguel"/>
    <s v="Universidad de Oriente"/>
    <s v="Information Systems"/>
    <x v="0"/>
    <n v="2"/>
    <n v="4800"/>
    <n v="43.2"/>
    <n v="320"/>
    <n v="110"/>
    <n v="300"/>
    <n v="1"/>
    <n v="13190"/>
    <n v="6595"/>
    <n v="7680"/>
    <n v="8390"/>
    <n v="0.3639120545868082"/>
  </r>
  <r>
    <x v="63"/>
    <s v="Rajshahi"/>
    <s v="RUET"/>
    <s v="Software Engineering"/>
    <x v="0"/>
    <n v="2"/>
    <n v="2000"/>
    <n v="37.200000000000003"/>
    <n v="170"/>
    <n v="100"/>
    <n v="200"/>
    <n v="109.5"/>
    <n v="6580"/>
    <n v="3290"/>
    <n v="4080"/>
    <n v="4580"/>
    <n v="0.303951367781155"/>
  </r>
  <r>
    <x v="64"/>
    <s v="Salmiya"/>
    <s v="Australian College Kuwait"/>
    <s v="Data Science"/>
    <x v="1"/>
    <n v="3"/>
    <n v="13500"/>
    <n v="65.400000000000006"/>
    <n v="680"/>
    <n v="140"/>
    <n v="700"/>
    <n v="0.31"/>
    <n v="40220"/>
    <n v="13406.666666666666"/>
    <n v="24480"/>
    <n v="26720"/>
    <n v="0.33565390353058178"/>
  </r>
  <r>
    <x v="65"/>
    <s v="Odesa"/>
    <s v="Odesa Polytechnic"/>
    <s v="Artificial Intelligence"/>
    <x v="2"/>
    <n v="4"/>
    <n v="3600"/>
    <n v="41.8"/>
    <n v="320"/>
    <n v="120"/>
    <n v="300"/>
    <n v="36.799999999999997"/>
    <n v="20280"/>
    <n v="5070"/>
    <n v="15360"/>
    <n v="16680"/>
    <n v="0.17751479289940827"/>
  </r>
  <r>
    <x v="66"/>
    <s v="Nova Gorica"/>
    <s v="University of Nova Gorica"/>
    <s v="Computer Science"/>
    <x v="0"/>
    <n v="2"/>
    <n v="4100"/>
    <n v="56.5"/>
    <n v="400"/>
    <n v="80"/>
    <n v="450"/>
    <n v="0.92"/>
    <n v="14680"/>
    <n v="7340"/>
    <n v="9600"/>
    <n v="10580"/>
    <n v="0.279291553133515"/>
  </r>
  <r>
    <x v="67"/>
    <s v="Kragujevac"/>
    <s v="University of Kragujevac"/>
    <s v="Data Engineering"/>
    <x v="1"/>
    <n v="4"/>
    <n v="2400"/>
    <n v="43.5"/>
    <n v="280"/>
    <n v="90"/>
    <n v="320"/>
    <n v="108.5"/>
    <n v="17210"/>
    <n v="4302.5"/>
    <n v="13440"/>
    <n v="14810"/>
    <n v="0.13945380592678674"/>
  </r>
  <r>
    <x v="68"/>
    <s v="Shiraz"/>
    <s v="Shiraz University"/>
    <s v="Software Development"/>
    <x v="0"/>
    <n v="2"/>
    <n v="2700"/>
    <n v="46.8"/>
    <n v="300"/>
    <n v="150"/>
    <n v="280"/>
    <n v="42150"/>
    <n v="10610"/>
    <n v="5305"/>
    <n v="7200"/>
    <n v="7910"/>
    <n v="0.25447690857681432"/>
  </r>
  <r>
    <x v="69"/>
    <s v="Namangan"/>
    <s v="Namangan Institute"/>
    <s v="Information Technology"/>
    <x v="0"/>
    <n v="2"/>
    <n v="3400"/>
    <n v="38.5"/>
    <n v="200"/>
    <n v="160"/>
    <n v="250"/>
    <n v="12300"/>
    <n v="8860"/>
    <n v="4430"/>
    <n v="4800"/>
    <n v="5460"/>
    <n v="0.38374717832957111"/>
  </r>
  <r>
    <x v="70"/>
    <s v="Sonsonate"/>
    <s v="Universidad de Sonsonate"/>
    <s v="Data Science"/>
    <x v="1"/>
    <n v="3"/>
    <n v="4500"/>
    <n v="42.8"/>
    <n v="300"/>
    <n v="110"/>
    <n v="300"/>
    <n v="1"/>
    <n v="16310"/>
    <n v="5436.666666666667"/>
    <n v="10800"/>
    <n v="11810"/>
    <n v="0.27590435315757206"/>
  </r>
  <r>
    <x v="63"/>
    <s v="Sylhet"/>
    <s v="SUST"/>
    <s v="Computer Engineering"/>
    <x v="2"/>
    <n v="4"/>
    <n v="2300"/>
    <n v="36.799999999999997"/>
    <n v="160"/>
    <n v="100"/>
    <n v="200"/>
    <n v="109.5"/>
    <n v="10880"/>
    <n v="2720"/>
    <n v="7680"/>
    <n v="8580"/>
    <n v="0.21139705882352941"/>
  </r>
  <r>
    <x v="64"/>
    <s v="Al Ahmadi"/>
    <s v="ACK"/>
    <s v="Software Engineering"/>
    <x v="0"/>
    <n v="2"/>
    <n v="13000"/>
    <n v="64.5"/>
    <n v="650"/>
    <n v="140"/>
    <n v="700"/>
    <n v="0.31"/>
    <n v="30140"/>
    <n v="15070"/>
    <n v="15600"/>
    <n v="17140"/>
    <n v="0.43132050431320507"/>
  </r>
  <r>
    <x v="65"/>
    <s v="Dnipro"/>
    <s v="Dnipro Polytechnic"/>
    <s v="Data Analytics"/>
    <x v="0"/>
    <n v="2"/>
    <n v="3300"/>
    <n v="40.5"/>
    <n v="300"/>
    <n v="120"/>
    <n v="300"/>
    <n v="36.799999999999997"/>
    <n v="11220"/>
    <n v="5610"/>
    <n v="7200"/>
    <n v="7920"/>
    <n v="0.29411764705882354"/>
  </r>
  <r>
    <x v="66"/>
    <s v="Celje"/>
    <s v="Faculty of Logistics"/>
    <s v="Information Systems"/>
    <x v="1"/>
    <n v="3"/>
    <n v="3900"/>
    <n v="55.4"/>
    <n v="380"/>
    <n v="80"/>
    <n v="450"/>
    <n v="0.92"/>
    <n v="19010"/>
    <n v="6336.666666666667"/>
    <n v="13680"/>
    <n v="15110"/>
    <n v="0.20515518148342976"/>
  </r>
  <r>
    <x v="67"/>
    <s v="Subotica"/>
    <s v="University of Subotica"/>
    <s v="Computer Science"/>
    <x v="0"/>
    <n v="2"/>
    <n v="2300"/>
    <n v="42.8"/>
    <n v="270"/>
    <n v="90"/>
    <n v="320"/>
    <n v="108.5"/>
    <n v="9510"/>
    <n v="4755"/>
    <n v="6480"/>
    <n v="7210"/>
    <n v="0.24185068349106204"/>
  </r>
  <r>
    <x v="68"/>
    <s v="Tabriz"/>
    <s v="University of Tabriz"/>
    <s v="Artificial Intelligence"/>
    <x v="2"/>
    <n v="4"/>
    <n v="2600"/>
    <n v="45.5"/>
    <n v="280"/>
    <n v="150"/>
    <n v="280"/>
    <n v="42150"/>
    <n v="17310"/>
    <n v="4327.5"/>
    <n v="13440"/>
    <n v="14710"/>
    <n v="0.15020219526285383"/>
  </r>
  <r>
    <x v="69"/>
    <s v="Andijan"/>
    <s v="Andijan State University"/>
    <s v="Software Development"/>
    <x v="0"/>
    <n v="2"/>
    <n v="3200"/>
    <n v="37.799999999999997"/>
    <n v="180"/>
    <n v="160"/>
    <n v="250"/>
    <n v="12300"/>
    <n v="8180"/>
    <n v="4090"/>
    <n v="4320"/>
    <n v="4980"/>
    <n v="0.39119804400977998"/>
  </r>
  <r>
    <x v="70"/>
    <s v="Santa Tecla"/>
    <s v="ITCA-FEPADE"/>
    <s v="Computer Engineering"/>
    <x v="1"/>
    <n v="4"/>
    <n v="4200"/>
    <n v="42.1"/>
    <n v="280"/>
    <n v="110"/>
    <n v="300"/>
    <n v="1"/>
    <n v="18950"/>
    <n v="4737.5"/>
    <n v="13440"/>
    <n v="14750"/>
    <n v="0.22163588390501318"/>
  </r>
  <r>
    <x v="25"/>
    <s v="Kuala Lumpur"/>
    <s v="University of Malaya"/>
    <s v="Computer Science"/>
    <x v="0"/>
    <n v="2"/>
    <n v="8500"/>
    <n v="55.4"/>
    <n v="500"/>
    <n v="120"/>
    <n v="400"/>
    <n v="4.6500000000000004"/>
    <n v="21420"/>
    <n v="10710"/>
    <n v="12000"/>
    <n v="12920"/>
    <n v="0.3968253968253968"/>
  </r>
  <r>
    <x v="41"/>
    <s v="Riyadh"/>
    <s v="King Saud University"/>
    <s v="Data Science"/>
    <x v="2"/>
    <n v="4"/>
    <n v="5000"/>
    <n v="72.5"/>
    <n v="800"/>
    <n v="200"/>
    <n v="800"/>
    <n v="3.75"/>
    <n v="46800"/>
    <n v="11700"/>
    <n v="38400"/>
    <n v="41800"/>
    <n v="0.10683760683760683"/>
  </r>
  <r>
    <x v="0"/>
    <s v="Boston"/>
    <s v="Harvard University"/>
    <s v="Artificial Intelligence"/>
    <x v="0"/>
    <n v="2"/>
    <n v="58000"/>
    <n v="82.1"/>
    <n v="2200"/>
    <n v="160"/>
    <n v="1500"/>
    <n v="1"/>
    <n v="113960"/>
    <n v="56980"/>
    <n v="52800"/>
    <n v="55960"/>
    <n v="0.50895050895050897"/>
  </r>
  <r>
    <x v="1"/>
    <s v="London"/>
    <s v="Imperial College"/>
    <s v="Computer Engineering"/>
    <x v="0"/>
    <n v="2"/>
    <n v="42000"/>
    <n v="75.3"/>
    <n v="1800"/>
    <n v="485"/>
    <n v="800"/>
    <n v="0.79"/>
    <n v="87285"/>
    <n v="43642.5"/>
    <n v="43200"/>
    <n v="45285"/>
    <n v="0.48118233373431862"/>
  </r>
  <r>
    <x v="26"/>
    <s v="Madrid"/>
    <s v="Universidad Politecnica"/>
    <s v="Software Engineering"/>
    <x v="2"/>
    <n v="4"/>
    <n v="3500"/>
    <n v="71.400000000000006"/>
    <n v="1100"/>
    <n v="80"/>
    <n v="750"/>
    <n v="0.92"/>
    <n v="59380"/>
    <n v="14845"/>
    <n v="52800"/>
    <n v="55880"/>
    <n v="5.8942404850117883E-2"/>
  </r>
  <r>
    <x v="27"/>
    <s v="Milan"/>
    <s v="Politecnico di Milano"/>
    <s v="Data Analytics"/>
    <x v="0"/>
    <n v="2"/>
    <n v="4000"/>
    <n v="73.2"/>
    <n v="1200"/>
    <n v="120"/>
    <n v="700"/>
    <n v="0.92"/>
    <n v="34320"/>
    <n v="17160"/>
    <n v="28800"/>
    <n v="30320"/>
    <n v="0.11655011655011654"/>
  </r>
  <r>
    <x v="8"/>
    <s v="Paris"/>
    <s v="Sorbonne University"/>
    <s v="Computer Science"/>
    <x v="0"/>
    <n v="2"/>
    <n v="4500"/>
    <n v="84.3"/>
    <n v="1800"/>
    <n v="99"/>
    <n v="850"/>
    <n v="0.92"/>
    <n v="49499"/>
    <n v="24749.5"/>
    <n v="43200"/>
    <n v="44999"/>
    <n v="9.0910927493484714E-2"/>
  </r>
  <r>
    <x v="25"/>
    <s v="Penang"/>
    <s v="USM"/>
    <s v="Information Systems"/>
    <x v="1"/>
    <n v="3"/>
    <n v="7500"/>
    <n v="52.1"/>
    <n v="450"/>
    <n v="120"/>
    <n v="400"/>
    <n v="4.6500000000000004"/>
    <n v="25020"/>
    <n v="8340"/>
    <n v="16200"/>
    <n v="17520"/>
    <n v="0.29976019184652281"/>
  </r>
  <r>
    <x v="41"/>
    <s v="Jeddah"/>
    <s v="King Abdulaziz University"/>
    <s v="Data Engineering"/>
    <x v="0"/>
    <n v="2"/>
    <n v="4800"/>
    <n v="70.2"/>
    <n v="750"/>
    <n v="200"/>
    <n v="800"/>
    <n v="3.75"/>
    <n v="24600"/>
    <n v="12300"/>
    <n v="18000"/>
    <n v="19800"/>
    <n v="0.1951219512195122"/>
  </r>
  <r>
    <x v="0"/>
    <s v="Stanford"/>
    <s v="Stanford University"/>
    <s v="Computer Science"/>
    <x v="2"/>
    <n v="5"/>
    <n v="52000"/>
    <n v="84.3"/>
    <n v="2300"/>
    <n v="160"/>
    <n v="1500"/>
    <n v="1"/>
    <n v="197660"/>
    <n v="39532"/>
    <n v="138000"/>
    <n v="145660"/>
    <n v="0.26307801274916526"/>
  </r>
  <r>
    <x v="1"/>
    <s v="Cambridge"/>
    <s v="University of Cambridge"/>
    <s v="Artificial Intelligence"/>
    <x v="2"/>
    <n v="4"/>
    <n v="45000"/>
    <n v="71.5"/>
    <n v="1600"/>
    <n v="485"/>
    <n v="800"/>
    <n v="0.79"/>
    <n v="125485"/>
    <n v="31371.25"/>
    <n v="76800"/>
    <n v="80485"/>
    <n v="0.35860859863728733"/>
  </r>
  <r>
    <x v="26"/>
    <s v="Barcelona"/>
    <s v="Universitat de Barcelona"/>
    <s v="Data Science"/>
    <x v="0"/>
    <n v="2"/>
    <n v="3800"/>
    <n v="73.599999999999994"/>
    <n v="1000"/>
    <n v="80"/>
    <n v="750"/>
    <n v="0.92"/>
    <n v="29380"/>
    <n v="14690"/>
    <n v="24000"/>
    <n v="25580"/>
    <n v="0.12933968686181074"/>
  </r>
  <r>
    <x v="27"/>
    <s v="Rome"/>
    <s v="Sapienza University"/>
    <s v="Software Engineering"/>
    <x v="1"/>
    <n v="3"/>
    <n v="3500"/>
    <n v="71.2"/>
    <n v="1100"/>
    <n v="120"/>
    <n v="700"/>
    <n v="0.92"/>
    <n v="45320"/>
    <n v="15106.666666666666"/>
    <n v="39600"/>
    <n v="41820"/>
    <n v="7.7228596646072373E-2"/>
  </r>
  <r>
    <x v="8"/>
    <s v="Lyon"/>
    <s v="Ã‰cole Normale SupÃ©rieure"/>
    <s v="Computer Engineering"/>
    <x v="0"/>
    <n v="2"/>
    <n v="4200"/>
    <n v="75.599999999999994"/>
    <n v="1200"/>
    <n v="99"/>
    <n v="850"/>
    <n v="0.92"/>
    <n v="34799"/>
    <n v="17399.5"/>
    <n v="28800"/>
    <n v="30599"/>
    <n v="0.12069312336561396"/>
  </r>
  <r>
    <x v="25"/>
    <s v="Johor Bahru"/>
    <s v="UTM"/>
    <s v="Data Analytics"/>
    <x v="2"/>
    <n v="4"/>
    <n v="8000"/>
    <n v="51.8"/>
    <n v="400"/>
    <n v="120"/>
    <n v="400"/>
    <n v="4.6500000000000004"/>
    <n v="28920"/>
    <n v="7230"/>
    <n v="19200"/>
    <n v="20920"/>
    <n v="0.27662517289073307"/>
  </r>
  <r>
    <x v="41"/>
    <s v="Dhahran"/>
    <s v="KFUPM"/>
    <s v="Computer Science"/>
    <x v="0"/>
    <n v="2"/>
    <n v="4500"/>
    <n v="68.5"/>
    <n v="700"/>
    <n v="200"/>
    <n v="800"/>
    <n v="3.75"/>
    <n v="23100"/>
    <n v="11550"/>
    <n v="16800"/>
    <n v="18600"/>
    <n v="0.19480519480519481"/>
  </r>
  <r>
    <x v="0"/>
    <s v="Berkeley"/>
    <s v="UC Berkeley"/>
    <s v="Data Science"/>
    <x v="0"/>
    <n v="2"/>
    <n v="54000"/>
    <n v="83.2"/>
    <n v="2000"/>
    <n v="160"/>
    <n v="1500"/>
    <n v="1"/>
    <n v="105160"/>
    <n v="52580"/>
    <n v="48000"/>
    <n v="51160"/>
    <n v="0.5135032331685051"/>
  </r>
  <r>
    <x v="1"/>
    <s v="Oxford"/>
    <s v="University of Oxford"/>
    <s v="Software Engineering"/>
    <x v="0"/>
    <n v="2"/>
    <n v="40000"/>
    <n v="71.5"/>
    <n v="1400"/>
    <n v="485"/>
    <n v="800"/>
    <n v="0.79"/>
    <n v="75685"/>
    <n v="37842.5"/>
    <n v="33600"/>
    <n v="35685"/>
    <n v="0.52850630904406426"/>
  </r>
  <r>
    <x v="26"/>
    <s v="Valencia"/>
    <s v="Universidad de Valencia"/>
    <s v="Information Systems"/>
    <x v="2"/>
    <n v="4"/>
    <n v="3200"/>
    <n v="68.5"/>
    <n v="800"/>
    <n v="80"/>
    <n v="750"/>
    <n v="0.92"/>
    <n v="44680"/>
    <n v="11170"/>
    <n v="38400"/>
    <n v="41480"/>
    <n v="7.1620411817367946E-2"/>
  </r>
  <r>
    <x v="27"/>
    <s v="Turin"/>
    <s v="Politecnico di Torino"/>
    <s v="Artificial Intelligence"/>
    <x v="0"/>
    <n v="2"/>
    <n v="3800"/>
    <n v="69.8"/>
    <n v="900"/>
    <n v="120"/>
    <n v="700"/>
    <n v="0.92"/>
    <n v="26920"/>
    <n v="13460"/>
    <n v="21600"/>
    <n v="23120"/>
    <n v="0.14115898959881129"/>
  </r>
  <r>
    <x v="8"/>
    <s v="Toulouse"/>
    <s v="INSA Toulouse"/>
    <s v="Data Engineering"/>
    <x v="2"/>
    <n v="4"/>
    <n v="4300"/>
    <n v="72.099999999999994"/>
    <n v="1000"/>
    <n v="99"/>
    <n v="850"/>
    <n v="0.92"/>
    <n v="55799"/>
    <n v="13949.75"/>
    <n v="48000"/>
    <n v="51499"/>
    <n v="7.7062312944676428E-2"/>
  </r>
  <r>
    <x v="25"/>
    <s v="Kuching"/>
    <s v="UNIMAS"/>
    <s v="Computer Science"/>
    <x v="0"/>
    <n v="2"/>
    <n v="7000"/>
    <n v="49.5"/>
    <n v="380"/>
    <n v="120"/>
    <n v="400"/>
    <n v="4.6500000000000004"/>
    <n v="17040"/>
    <n v="8520"/>
    <n v="9120"/>
    <n v="10040"/>
    <n v="0.41079812206572769"/>
  </r>
  <r>
    <x v="41"/>
    <s v="Medina"/>
    <s v="Islamic University"/>
    <s v="Software Development"/>
    <x v="1"/>
    <n v="4"/>
    <n v="4200"/>
    <n v="65.400000000000006"/>
    <n v="650"/>
    <n v="200"/>
    <n v="800"/>
    <n v="3.75"/>
    <n v="38800"/>
    <n v="9700"/>
    <n v="31200"/>
    <n v="34600"/>
    <n v="0.10824742268041238"/>
  </r>
  <r>
    <x v="0"/>
    <s v="MIT"/>
    <s v="Massachusetts"/>
    <s v="Robotics"/>
    <x v="2"/>
    <n v="5"/>
    <n v="56000"/>
    <n v="82.1"/>
    <n v="2100"/>
    <n v="160"/>
    <n v="1500"/>
    <n v="1"/>
    <n v="189660"/>
    <n v="37932"/>
    <n v="126000"/>
    <n v="133660"/>
    <n v="0.29526521143098178"/>
  </r>
  <r>
    <x v="1"/>
    <s v="Edinburgh"/>
    <s v="University of Edinburgh"/>
    <s v="Data Science"/>
    <x v="0"/>
    <n v="2"/>
    <n v="38000"/>
    <n v="67.8"/>
    <n v="1100"/>
    <n v="485"/>
    <n v="800"/>
    <n v="0.79"/>
    <n v="66485"/>
    <n v="33242.5"/>
    <n v="26400"/>
    <n v="28485"/>
    <n v="0.57155749417161761"/>
  </r>
  <r>
    <x v="26"/>
    <s v="Seville"/>
    <s v="Universidad de Sevilla"/>
    <s v="Computer Engineering"/>
    <x v="0"/>
    <n v="2"/>
    <n v="3000"/>
    <n v="65.400000000000006"/>
    <n v="750"/>
    <n v="80"/>
    <n v="750"/>
    <n v="0.92"/>
    <n v="22580"/>
    <n v="11290"/>
    <n v="18000"/>
    <n v="19580"/>
    <n v="0.1328609388839681"/>
  </r>
  <r>
    <x v="27"/>
    <s v="Bologna"/>
    <s v="University of Bologna"/>
    <s v="Information Systems"/>
    <x v="2"/>
    <n v="4"/>
    <n v="3600"/>
    <n v="70.5"/>
    <n v="950"/>
    <n v="120"/>
    <n v="700"/>
    <n v="0.92"/>
    <n v="52120"/>
    <n v="13030"/>
    <n v="45600"/>
    <n v="48520"/>
    <n v="6.9071373752877974E-2"/>
  </r>
  <r>
    <x v="8"/>
    <s v="Marseille"/>
    <s v="Aix-Marseille University"/>
    <s v="Artificial Intelligence"/>
    <x v="0"/>
    <n v="2"/>
    <n v="4100"/>
    <n v="73.5"/>
    <n v="1100"/>
    <n v="99"/>
    <n v="850"/>
    <n v="0.92"/>
    <n v="32299"/>
    <n v="16149.5"/>
    <n v="26400"/>
    <n v="28199"/>
    <n v="0.12693891451747732"/>
  </r>
  <r>
    <x v="25"/>
    <s v="Cyberjaya"/>
    <s v="Multimedia University"/>
    <s v="Data Analytics"/>
    <x v="1"/>
    <n v="3"/>
    <n v="7800"/>
    <n v="53.2"/>
    <n v="450"/>
    <n v="120"/>
    <n v="400"/>
    <n v="4.6500000000000004"/>
    <n v="25320"/>
    <n v="8440"/>
    <n v="16200"/>
    <n v="17520"/>
    <n v="0.30805687203791471"/>
  </r>
  <r>
    <x v="41"/>
    <s v="Dammam"/>
    <s v="Imam Abdulrahman University"/>
    <s v="Computer Science"/>
    <x v="0"/>
    <n v="2"/>
    <n v="4600"/>
    <n v="67.8"/>
    <n v="680"/>
    <n v="200"/>
    <n v="800"/>
    <n v="3.75"/>
    <n v="22720"/>
    <n v="11360"/>
    <n v="16320"/>
    <n v="18120"/>
    <n v="0.20246478873239437"/>
  </r>
  <r>
    <x v="0"/>
    <s v="New York"/>
    <s v="Columbia University"/>
    <s v="Data Science"/>
    <x v="0"/>
    <n v="2"/>
    <n v="62000"/>
    <n v="100"/>
    <n v="2500"/>
    <n v="160"/>
    <n v="1500"/>
    <n v="1"/>
    <n v="125160"/>
    <n v="62580"/>
    <n v="60000"/>
    <n v="63160"/>
    <n v="0.49536593160754233"/>
  </r>
  <r>
    <x v="1"/>
    <s v="Manchester"/>
    <s v="University of Manchester"/>
    <s v="Software Engineering"/>
    <x v="2"/>
    <n v="4"/>
    <n v="35000"/>
    <n v="65.400000000000006"/>
    <n v="900"/>
    <n v="485"/>
    <n v="800"/>
    <n v="0.79"/>
    <n v="81885"/>
    <n v="20471.25"/>
    <n v="43200"/>
    <n v="46885"/>
    <n v="0.42742871099713015"/>
  </r>
  <r>
    <x v="26"/>
    <s v="Granada"/>
    <s v="Universidad de Granada"/>
    <s v="Computer Science"/>
    <x v="1"/>
    <n v="3"/>
    <n v="2800"/>
    <n v="64.5"/>
    <n v="700"/>
    <n v="80"/>
    <n v="750"/>
    <n v="0.92"/>
    <n v="30330"/>
    <n v="10110"/>
    <n v="25200"/>
    <n v="27530"/>
    <n v="9.2317837124958793E-2"/>
  </r>
  <r>
    <x v="27"/>
    <s v="Florence"/>
    <s v="University of Florence"/>
    <s v="Data Engineering"/>
    <x v="0"/>
    <n v="2"/>
    <n v="3500"/>
    <n v="71.2"/>
    <n v="1000"/>
    <n v="120"/>
    <n v="700"/>
    <n v="0.92"/>
    <n v="29020"/>
    <n v="14510"/>
    <n v="24000"/>
    <n v="25520"/>
    <n v="0.1206064782908339"/>
  </r>
  <r>
    <x v="8"/>
    <s v="Bordeaux"/>
    <s v="University of Bordeaux"/>
    <s v="Information Systems"/>
    <x v="2"/>
    <n v="4"/>
    <n v="4300"/>
    <n v="72.099999999999994"/>
    <n v="1000"/>
    <n v="99"/>
    <n v="850"/>
    <n v="0.92"/>
    <n v="55799"/>
    <n v="13949.75"/>
    <n v="48000"/>
    <n v="51499"/>
    <n v="7.7062312944676428E-2"/>
  </r>
  <r>
    <x v="25"/>
    <s v="Bangi"/>
    <s v="UKM"/>
    <s v="Artificial Intelligence"/>
    <x v="0"/>
    <n v="2"/>
    <n v="7200"/>
    <n v="51.5"/>
    <n v="420"/>
    <n v="120"/>
    <n v="400"/>
    <n v="4.6500000000000004"/>
    <n v="18200"/>
    <n v="9100"/>
    <n v="10080"/>
    <n v="11000"/>
    <n v="0.39560439560439559"/>
  </r>
  <r>
    <x v="41"/>
    <s v="Taif"/>
    <s v="Taif University"/>
    <s v="Software Development"/>
    <x v="0"/>
    <n v="2"/>
    <n v="4400"/>
    <n v="64.5"/>
    <n v="600"/>
    <n v="200"/>
    <n v="800"/>
    <n v="3.75"/>
    <n v="20600"/>
    <n v="10300"/>
    <n v="14400"/>
    <n v="16200"/>
    <n v="0.21359223300970873"/>
  </r>
  <r>
    <x v="0"/>
    <s v="Los Angeles"/>
    <s v="UCLA"/>
    <s v="Computer Engineering"/>
    <x v="2"/>
    <n v="5"/>
    <n v="52000"/>
    <n v="79.8"/>
    <n v="2200"/>
    <n v="160"/>
    <n v="1500"/>
    <n v="1"/>
    <n v="191660"/>
    <n v="38332"/>
    <n v="132000"/>
    <n v="139660"/>
    <n v="0.27131378482729834"/>
  </r>
  <r>
    <x v="1"/>
    <s v="Bristol"/>
    <s v="University of Bristol"/>
    <s v="Data Analytics"/>
    <x v="0"/>
    <n v="2"/>
    <n v="36000"/>
    <n v="68.900000000000006"/>
    <n v="1200"/>
    <n v="485"/>
    <n v="800"/>
    <n v="0.79"/>
    <n v="66885"/>
    <n v="33442.5"/>
    <n v="28800"/>
    <n v="30885"/>
    <n v="0.53823727293115053"/>
  </r>
  <r>
    <x v="26"/>
    <s v="Bilbao"/>
    <s v="University of the Basque Country"/>
    <s v="Information Technology"/>
    <x v="0"/>
    <n v="2"/>
    <n v="3400"/>
    <n v="67.8"/>
    <n v="850"/>
    <n v="80"/>
    <n v="750"/>
    <n v="0.92"/>
    <n v="25380"/>
    <n v="12690"/>
    <n v="20400"/>
    <n v="21980"/>
    <n v="0.13396375098502758"/>
  </r>
  <r>
    <x v="27"/>
    <s v="Naples"/>
    <s v="University of Naples"/>
    <s v="Computer Science"/>
    <x v="1"/>
    <n v="3"/>
    <n v="3200"/>
    <n v="67.8"/>
    <n v="800"/>
    <n v="120"/>
    <n v="700"/>
    <n v="0.92"/>
    <n v="34220"/>
    <n v="11406.666666666666"/>
    <n v="28800"/>
    <n v="31020"/>
    <n v="9.3512565751022791E-2"/>
  </r>
  <r>
    <x v="8"/>
    <s v="Nice"/>
    <s v="University of Nice"/>
    <s v="Data Science"/>
    <x v="0"/>
    <n v="2"/>
    <n v="4100"/>
    <n v="76.5"/>
    <n v="1300"/>
    <n v="99"/>
    <n v="850"/>
    <n v="0.92"/>
    <n v="37099"/>
    <n v="18549.5"/>
    <n v="31200"/>
    <n v="32999"/>
    <n v="0.11051510822394135"/>
  </r>
  <r>
    <x v="25"/>
    <s v="Melaka"/>
    <s v="UTeM"/>
    <s v="Software Engineering"/>
    <x v="2"/>
    <n v="4"/>
    <n v="7500"/>
    <n v="50.2"/>
    <n v="400"/>
    <n v="120"/>
    <n v="400"/>
    <n v="4.6500000000000004"/>
    <n v="28420"/>
    <n v="7105"/>
    <n v="19200"/>
    <n v="20920"/>
    <n v="0.26389866291344122"/>
  </r>
  <r>
    <x v="41"/>
    <s v="Tabuk"/>
    <s v="University of Tabuk"/>
    <s v="Computer Engineering"/>
    <x v="1"/>
    <n v="4"/>
    <n v="4100"/>
    <n v="63.2"/>
    <n v="580"/>
    <n v="200"/>
    <n v="800"/>
    <n v="3.75"/>
    <n v="35340"/>
    <n v="8835"/>
    <n v="27840"/>
    <n v="31240"/>
    <n v="0.11601584606677985"/>
  </r>
  <r>
    <x v="0"/>
    <s v="Chicago"/>
    <s v="University of Chicago"/>
    <s v="Artificial Intelligence"/>
    <x v="0"/>
    <n v="2"/>
    <n v="58000"/>
    <n v="84.1"/>
    <n v="1900"/>
    <n v="160"/>
    <n v="1500"/>
    <n v="1"/>
    <n v="106760"/>
    <n v="53380"/>
    <n v="45600"/>
    <n v="48760"/>
    <n v="0.54327463469464221"/>
  </r>
  <r>
    <x v="1"/>
    <s v="Glasgow"/>
    <s v="University of Glasgow"/>
    <s v="Data Engineering"/>
    <x v="2"/>
    <n v="4"/>
    <n v="34000"/>
    <n v="64.5"/>
    <n v="950"/>
    <n v="485"/>
    <n v="800"/>
    <n v="0.79"/>
    <n v="83285"/>
    <n v="20821.25"/>
    <n v="45600"/>
    <n v="49285"/>
    <n v="0.4082367773308519"/>
  </r>
  <r>
    <x v="26"/>
    <s v="Salamanca"/>
    <s v="University of Salamanca"/>
    <s v="Information Systems"/>
    <x v="0"/>
    <n v="2"/>
    <n v="3100"/>
    <n v="62.1"/>
    <n v="600"/>
    <n v="80"/>
    <n v="750"/>
    <n v="0.92"/>
    <n v="19080"/>
    <n v="9540"/>
    <n v="14400"/>
    <n v="15980"/>
    <n v="0.16247379454926625"/>
  </r>
  <r>
    <x v="27"/>
    <s v="Pisa"/>
    <s v="University of Pisa"/>
    <s v="Software Development"/>
    <x v="0"/>
    <n v="2"/>
    <n v="3300"/>
    <n v="68.900000000000006"/>
    <n v="850"/>
    <n v="120"/>
    <n v="700"/>
    <n v="0.92"/>
    <n v="25220"/>
    <n v="12610"/>
    <n v="20400"/>
    <n v="21920"/>
    <n v="0.13084853291038859"/>
  </r>
  <r>
    <x v="8"/>
    <s v="Lille"/>
    <s v="University of Lille"/>
    <s v="Computer Science"/>
    <x v="1"/>
    <n v="3"/>
    <n v="4200"/>
    <n v="69.8"/>
    <n v="950"/>
    <n v="99"/>
    <n v="850"/>
    <n v="0.92"/>
    <n v="41049"/>
    <n v="13683"/>
    <n v="34200"/>
    <n v="36849"/>
    <n v="0.10231674340422423"/>
  </r>
  <r>
    <x v="25"/>
    <s v="Shah Alam"/>
    <s v="UiTM"/>
    <s v="Data Analytics"/>
    <x v="0"/>
    <n v="2"/>
    <n v="7100"/>
    <n v="51.8"/>
    <n v="430"/>
    <n v="120"/>
    <n v="400"/>
    <n v="4.6500000000000004"/>
    <n v="18340"/>
    <n v="9170"/>
    <n v="10320"/>
    <n v="11240"/>
    <n v="0.38713195201744821"/>
  </r>
  <r>
    <x v="41"/>
    <s v="Makkah"/>
    <s v="Umm Al-Qura University"/>
    <s v="Information Technology"/>
    <x v="2"/>
    <n v="4"/>
    <n v="4300"/>
    <n v="65.8"/>
    <n v="650"/>
    <n v="200"/>
    <n v="800"/>
    <n v="3.75"/>
    <n v="38900"/>
    <n v="9725"/>
    <n v="31200"/>
    <n v="34600"/>
    <n v="0.11053984575835475"/>
  </r>
  <r>
    <x v="0"/>
    <s v="San Francisco"/>
    <s v="Stanford University"/>
    <s v="Data Science"/>
    <x v="0"/>
    <n v="2"/>
    <n v="55000"/>
    <n v="95.2"/>
    <n v="2400"/>
    <n v="160"/>
    <n v="1500"/>
    <n v="1"/>
    <n v="115760"/>
    <n v="57880"/>
    <n v="57600"/>
    <n v="60760"/>
    <n v="0.47512093987560472"/>
  </r>
  <r>
    <x v="1"/>
    <s v="Leeds"/>
    <s v="University of Leeds"/>
    <s v="Computer Engineering"/>
    <x v="0"/>
    <n v="2"/>
    <n v="35000"/>
    <n v="63.2"/>
    <n v="900"/>
    <n v="485"/>
    <n v="800"/>
    <n v="0.79"/>
    <n v="58685"/>
    <n v="29342.5"/>
    <n v="21600"/>
    <n v="23685"/>
    <n v="0.59640453267444837"/>
  </r>
  <r>
    <x v="26"/>
    <s v="Zaragoza"/>
    <s v="University of Zaragoza"/>
    <s v="Artificial Intelligence"/>
    <x v="2"/>
    <n v="4"/>
    <n v="2900"/>
    <n v="63.2"/>
    <n v="650"/>
    <n v="80"/>
    <n v="750"/>
    <n v="0.92"/>
    <n v="37180"/>
    <n v="9295"/>
    <n v="31200"/>
    <n v="34280"/>
    <n v="7.7998924152770308E-2"/>
  </r>
  <r>
    <x v="27"/>
    <s v="Padua"/>
    <s v="University of Padua"/>
    <s v="Software Engineering"/>
    <x v="0"/>
    <n v="2"/>
    <n v="3400"/>
    <n v="69.5"/>
    <n v="900"/>
    <n v="120"/>
    <n v="700"/>
    <n v="0.92"/>
    <n v="26520"/>
    <n v="13260"/>
    <n v="21600"/>
    <n v="23120"/>
    <n v="0.12820512820512819"/>
  </r>
  <r>
    <x v="8"/>
    <s v="Strasbourg"/>
    <s v="University of Strasbourg"/>
    <s v="Data Analytics"/>
    <x v="0"/>
    <n v="2"/>
    <n v="4000"/>
    <n v="70.2"/>
    <n v="1000"/>
    <n v="99"/>
    <n v="850"/>
    <n v="0.92"/>
    <n v="29799"/>
    <n v="14899.5"/>
    <n v="24000"/>
    <n v="25799"/>
    <n v="0.13423269237222726"/>
  </r>
  <r>
    <x v="25"/>
    <s v="Nilai"/>
    <s v="USIM"/>
    <s v="Computer Science"/>
    <x v="1"/>
    <n v="3"/>
    <n v="6800"/>
    <n v="50.5"/>
    <n v="400"/>
    <n v="120"/>
    <n v="400"/>
    <n v="4.6500000000000004"/>
    <n v="22520"/>
    <n v="7506.666666666667"/>
    <n v="14400"/>
    <n v="15720"/>
    <n v="0.30195381882770872"/>
  </r>
  <r>
    <x v="41"/>
    <s v="Al-Ahsa"/>
    <s v="King Faisal University"/>
    <s v="Information Systems"/>
    <x v="0"/>
    <n v="2"/>
    <n v="4200"/>
    <n v="64.2"/>
    <n v="600"/>
    <n v="200"/>
    <n v="800"/>
    <n v="3.75"/>
    <n v="20400"/>
    <n v="10200"/>
    <n v="14400"/>
    <n v="16200"/>
    <n v="0.20588235294117646"/>
  </r>
  <r>
    <x v="0"/>
    <s v="Seattle"/>
    <s v="University of Washington"/>
    <s v="Software Development"/>
    <x v="2"/>
    <n v="5"/>
    <n v="50000"/>
    <n v="77.8"/>
    <n v="2000"/>
    <n v="160"/>
    <n v="1500"/>
    <n v="1"/>
    <n v="177660"/>
    <n v="35532"/>
    <n v="120000"/>
    <n v="127660"/>
    <n v="0.2814364516492176"/>
  </r>
  <r>
    <x v="1"/>
    <s v="Nottingham"/>
    <s v="University of Nottingham"/>
    <s v="Data Engineering"/>
    <x v="0"/>
    <n v="2"/>
    <n v="34000"/>
    <n v="61.2"/>
    <n v="800"/>
    <n v="485"/>
    <n v="800"/>
    <n v="0.79"/>
    <n v="55285"/>
    <n v="27642.5"/>
    <n v="19200"/>
    <n v="21285"/>
    <n v="0.6149950257755267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s v="USA"/>
    <x v="0"/>
    <s v="Harvard University"/>
    <s v="Computer Science"/>
    <s v="Master"/>
    <n v="2"/>
    <n v="55400"/>
    <n v="83.5"/>
    <n v="2200"/>
    <n v="160"/>
    <n v="1500"/>
    <n v="1"/>
    <n v="111360"/>
    <n v="55680"/>
    <n v="52800"/>
    <n v="55960"/>
    <n v="0.49748563218390807"/>
  </r>
  <r>
    <s v="UK"/>
    <x v="1"/>
    <s v="Imperial College London"/>
    <s v="Data Science"/>
    <s v="Master"/>
    <n v="1"/>
    <n v="41200"/>
    <n v="75.8"/>
    <n v="1800"/>
    <n v="485"/>
    <n v="800"/>
    <n v="0.79"/>
    <n v="64085"/>
    <n v="64085"/>
    <n v="21600"/>
    <n v="22885"/>
    <n v="0.64289615354607166"/>
  </r>
  <r>
    <s v="Canada"/>
    <x v="2"/>
    <s v="University of Toronto"/>
    <s v="Business Analytics"/>
    <s v="Master"/>
    <n v="2"/>
    <n v="38500"/>
    <n v="72.5"/>
    <n v="1600"/>
    <n v="235"/>
    <n v="900"/>
    <n v="1.35"/>
    <n v="78935"/>
    <n v="39467.5"/>
    <n v="38400"/>
    <n v="40435"/>
    <n v="0.4877430797491607"/>
  </r>
  <r>
    <s v="Australia"/>
    <x v="3"/>
    <s v="University of Melbourne"/>
    <s v="Engineering"/>
    <s v="Master"/>
    <n v="2"/>
    <n v="42000"/>
    <n v="71.2"/>
    <n v="1400"/>
    <n v="450"/>
    <n v="650"/>
    <n v="1.52"/>
    <n v="77350"/>
    <n v="38675"/>
    <n v="33600"/>
    <n v="35350"/>
    <n v="0.54298642533936647"/>
  </r>
  <r>
    <s v="Germany"/>
    <x v="4"/>
    <s v="Technical University of Munich"/>
    <s v="Mechanical Engineering"/>
    <s v="Master"/>
    <n v="2"/>
    <n v="500"/>
    <n v="70.5"/>
    <n v="1100"/>
    <n v="75"/>
    <n v="550"/>
    <n v="0.92"/>
    <n v="28075"/>
    <n v="14037.5"/>
    <n v="26400"/>
    <n v="27575"/>
    <n v="1.7809439002671415E-2"/>
  </r>
  <r>
    <s v="Japan"/>
    <x v="5"/>
    <s v="University of Tokyo"/>
    <s v="Information Science"/>
    <s v="Master"/>
    <n v="2"/>
    <n v="8900"/>
    <n v="76.400000000000006"/>
    <n v="1300"/>
    <n v="220"/>
    <n v="750"/>
    <n v="145.80000000000001"/>
    <n v="41820"/>
    <n v="20910"/>
    <n v="31200"/>
    <n v="32920"/>
    <n v="0.21281683405069346"/>
  </r>
  <r>
    <s v="Netherlands"/>
    <x v="6"/>
    <s v="University of Amsterdam"/>
    <s v="Artificial Intelligence"/>
    <s v="Master"/>
    <n v="1"/>
    <n v="15800"/>
    <n v="73.2"/>
    <n v="1500"/>
    <n v="180"/>
    <n v="720"/>
    <n v="0.92"/>
    <n v="34700"/>
    <n v="34700"/>
    <n v="18000"/>
    <n v="18900"/>
    <n v="0.45533141210374639"/>
  </r>
  <r>
    <s v="Singapore"/>
    <x v="7"/>
    <s v="National University of Singapore"/>
    <s v="Finance"/>
    <s v="Master"/>
    <n v="1.5"/>
    <n v="35000"/>
    <n v="81.099999999999994"/>
    <n v="1900"/>
    <n v="90"/>
    <n v="800"/>
    <n v="1.34"/>
    <n v="70490"/>
    <n v="46993.333333333336"/>
    <n v="34200"/>
    <n v="35490"/>
    <n v="0.49652432969215493"/>
  </r>
  <r>
    <s v="France"/>
    <x v="8"/>
    <s v="Sorbonne University"/>
    <s v="International Relations"/>
    <s v="Master"/>
    <n v="2"/>
    <n v="4500"/>
    <n v="74.599999999999994"/>
    <n v="1400"/>
    <n v="99"/>
    <n v="650"/>
    <n v="0.92"/>
    <n v="39499"/>
    <n v="19749.5"/>
    <n v="33600"/>
    <n v="34999"/>
    <n v="0.11392693485911036"/>
  </r>
  <r>
    <s v="Switzerland"/>
    <x v="9"/>
    <s v="ETH Zurich"/>
    <s v="Physics"/>
    <s v="Master"/>
    <n v="2"/>
    <n v="1460"/>
    <n v="91.5"/>
    <n v="2100"/>
    <n v="88"/>
    <n v="1200"/>
    <n v="0.89"/>
    <n v="54348"/>
    <n v="27174"/>
    <n v="50400"/>
    <n v="52888"/>
    <n v="2.6863914035475087E-2"/>
  </r>
  <r>
    <s v="Sweden"/>
    <x v="10"/>
    <s v="KTH Royal Institute"/>
    <s v="Sustainable Technology"/>
    <s v="Master"/>
    <n v="2"/>
    <n v="0"/>
    <n v="71.8"/>
    <n v="1200"/>
    <n v="110"/>
    <n v="400"/>
    <n v="10.45"/>
    <n v="29710"/>
    <n v="14855"/>
    <n v="28800"/>
    <n v="29710"/>
    <n v="0"/>
  </r>
  <r>
    <s v="Denmark"/>
    <x v="11"/>
    <s v="University of Copenhagen"/>
    <s v="Bioinformatics"/>
    <s v="Master"/>
    <n v="2"/>
    <n v="0"/>
    <n v="73.400000000000006"/>
    <n v="1300"/>
    <n v="120"/>
    <n v="450"/>
    <n v="6.92"/>
    <n v="32220"/>
    <n v="16110"/>
    <n v="31200"/>
    <n v="32220"/>
    <n v="0"/>
  </r>
  <r>
    <s v="China"/>
    <x v="12"/>
    <s v="Tsinghua University"/>
    <s v="Computer Engineering"/>
    <s v="Master"/>
    <n v="2.5"/>
    <n v="8900"/>
    <n v="52.3"/>
    <n v="800"/>
    <n v="140"/>
    <n v="400"/>
    <n v="7.18"/>
    <n v="34040"/>
    <n v="13616"/>
    <n v="24000"/>
    <n v="25140"/>
    <n v="0.26145710928319627"/>
  </r>
  <r>
    <s v="South Korea"/>
    <x v="13"/>
    <s v="Seoul National University"/>
    <s v="Digital Media"/>
    <s v="Master"/>
    <n v="2"/>
    <n v="7200"/>
    <n v="68.7"/>
    <n v="900"/>
    <n v="130"/>
    <n v="500"/>
    <n v="1320.5"/>
    <n v="29930"/>
    <n v="14965"/>
    <n v="21600"/>
    <n v="22730"/>
    <n v="0.24056130972268627"/>
  </r>
  <r>
    <s v="Ireland"/>
    <x v="14"/>
    <s v="Trinity College Dublin"/>
    <s v="Data Analytics"/>
    <s v="Master"/>
    <n v="1"/>
    <n v="28900"/>
    <n v="72.900000000000006"/>
    <n v="1600"/>
    <n v="150"/>
    <n v="650"/>
    <n v="0.92"/>
    <n v="48900"/>
    <n v="48900"/>
    <n v="19200"/>
    <n v="20000"/>
    <n v="0.59100204498977504"/>
  </r>
  <r>
    <s v="South Korea"/>
    <x v="15"/>
    <s v="Pusan National University"/>
    <s v="Business"/>
    <s v="Bachelor"/>
    <n v="4"/>
    <n v="5900"/>
    <n v="62.4"/>
    <n v="700"/>
    <n v="130"/>
    <n v="500"/>
    <n v="1320.5"/>
    <n v="41630"/>
    <n v="10407.5"/>
    <n v="33600"/>
    <n v="35730"/>
    <n v="0.14172471775162143"/>
  </r>
  <r>
    <s v="New Zealand"/>
    <x v="16"/>
    <s v="University of Auckland"/>
    <s v="Marine Biology"/>
    <s v="Bachelor"/>
    <n v="3"/>
    <n v="28500"/>
    <n v="69.8"/>
    <n v="1200"/>
    <n v="245"/>
    <n v="600"/>
    <n v="1.64"/>
    <n v="73745"/>
    <n v="24581.666666666668"/>
    <n v="43200"/>
    <n v="45245"/>
    <n v="0.38646687911044819"/>
  </r>
  <r>
    <s v="Austria"/>
    <x v="17"/>
    <s v="University of Vienna"/>
    <s v="Social Sciences"/>
    <s v="Bachelor"/>
    <n v="3"/>
    <n v="1500"/>
    <n v="67.400000000000006"/>
    <n v="950"/>
    <n v="160"/>
    <n v="500"/>
    <n v="0.92"/>
    <n v="37360"/>
    <n v="12453.333333333334"/>
    <n v="34200"/>
    <n v="35860"/>
    <n v="4.0149892933618841E-2"/>
  </r>
  <r>
    <s v="Belgium"/>
    <x v="18"/>
    <s v="KU Leuven"/>
    <s v="Biomedical Sciences"/>
    <s v="Bachelor"/>
    <n v="3"/>
    <n v="3500"/>
    <n v="68.900000000000006"/>
    <n v="1000"/>
    <n v="180"/>
    <n v="550"/>
    <n v="0.92"/>
    <n v="41330"/>
    <n v="13776.666666666666"/>
    <n v="36000"/>
    <n v="37830"/>
    <n v="8.4684248729736275E-2"/>
  </r>
  <r>
    <s v="USA"/>
    <x v="19"/>
    <s v="University of Michigan"/>
    <s v="Aerospace Engineering"/>
    <s v="Bachelor"/>
    <n v="4"/>
    <n v="52300"/>
    <n v="72.5"/>
    <n v="1800"/>
    <n v="160"/>
    <n v="1500"/>
    <n v="1"/>
    <n v="144860"/>
    <n v="36215"/>
    <n v="86400"/>
    <n v="92560"/>
    <n v="0.36103824382162086"/>
  </r>
  <r>
    <s v="USA"/>
    <x v="20"/>
    <s v="Georgia Tech"/>
    <s v="Industrial Engineering"/>
    <s v="Bachelor"/>
    <n v="4"/>
    <n v="43800"/>
    <n v="71.5"/>
    <n v="1700"/>
    <n v="160"/>
    <n v="1500"/>
    <n v="1"/>
    <n v="131560"/>
    <n v="32890"/>
    <n v="81600"/>
    <n v="87760"/>
    <n v="0.33292794162359379"/>
  </r>
  <r>
    <s v="USA"/>
    <x v="21"/>
    <s v="UT Austin"/>
    <s v="Chemical Engineering"/>
    <s v="Bachelor"/>
    <n v="4"/>
    <n v="40900"/>
    <n v="72.400000000000006"/>
    <n v="1600"/>
    <n v="160"/>
    <n v="1500"/>
    <n v="1"/>
    <n v="123860"/>
    <n v="30965"/>
    <n v="76800"/>
    <n v="82960"/>
    <n v="0.33021152914580981"/>
  </r>
  <r>
    <s v="UK"/>
    <x v="22"/>
    <s v="University of Bristol"/>
    <s v="Mathematics"/>
    <s v="Bachelor"/>
    <n v="3"/>
    <n v="31200"/>
    <n v="69.8"/>
    <n v="1100"/>
    <n v="485"/>
    <n v="800"/>
    <n v="0.79"/>
    <n v="73685"/>
    <n v="24561.666666666668"/>
    <n v="39600"/>
    <n v="42485"/>
    <n v="0.42342403474248491"/>
  </r>
  <r>
    <s v="Canada"/>
    <x v="23"/>
    <s v="University of Ottawa"/>
    <s v="Political Science"/>
    <s v="Bachelor"/>
    <n v="4"/>
    <n v="28900"/>
    <n v="68.5"/>
    <n v="1300"/>
    <n v="235"/>
    <n v="900"/>
    <n v="1.35"/>
    <n v="95135"/>
    <n v="23783.75"/>
    <n v="62400"/>
    <n v="66235"/>
    <n v="0.30377884059494403"/>
  </r>
  <r>
    <s v="Hong Kong"/>
    <x v="24"/>
    <s v="HKUST"/>
    <s v="Finance"/>
    <s v="Bachelor"/>
    <n v="4"/>
    <n v="22000"/>
    <n v="78.599999999999994"/>
    <n v="1500"/>
    <n v="120"/>
    <n v="600"/>
    <n v="7.82"/>
    <n v="96520"/>
    <n v="24130"/>
    <n v="72000"/>
    <n v="74520"/>
    <n v="0.22793203481143803"/>
  </r>
  <r>
    <s v="Portugal"/>
    <x v="25"/>
    <s v="University of Lisbon"/>
    <s v="Architecture"/>
    <s v="Bachelor"/>
    <n v="3"/>
    <n v="3500"/>
    <n v="58.4"/>
    <n v="800"/>
    <n v="120"/>
    <n v="450"/>
    <n v="0.92"/>
    <n v="33770"/>
    <n v="11256.666666666666"/>
    <n v="28800"/>
    <n v="30270"/>
    <n v="0.1036422860527095"/>
  </r>
  <r>
    <s v="Israel"/>
    <x v="26"/>
    <s v="Tel Aviv University"/>
    <s v="Computer Science"/>
    <s v="Bachelor"/>
    <n v="3"/>
    <n v="12000"/>
    <n v="76.2"/>
    <n v="1200"/>
    <n v="150"/>
    <n v="800"/>
    <n v="3.72"/>
    <n v="57750"/>
    <n v="19250"/>
    <n v="43200"/>
    <n v="45750"/>
    <n v="0.20779220779220781"/>
  </r>
  <r>
    <s v="Taiwan"/>
    <x v="27"/>
    <s v="National Taiwan University"/>
    <s v="Electronics Engineering"/>
    <s v="Bachelor"/>
    <n v="4"/>
    <n v="5200"/>
    <n v="62.8"/>
    <n v="700"/>
    <n v="140"/>
    <n v="450"/>
    <n v="31.2"/>
    <n v="40740"/>
    <n v="10185"/>
    <n v="33600"/>
    <n v="35540"/>
    <n v="0.12763868433971526"/>
  </r>
  <r>
    <s v="Czech Republic"/>
    <x v="28"/>
    <s v="Charles University"/>
    <s v="Medicine"/>
    <s v="Bachelor"/>
    <n v="3"/>
    <n v="9800"/>
    <n v="54.6"/>
    <n v="650"/>
    <n v="100"/>
    <n v="400"/>
    <n v="22.5"/>
    <n v="34500"/>
    <n v="11500"/>
    <n v="23400"/>
    <n v="24700"/>
    <n v="0.28405797101449276"/>
  </r>
  <r>
    <s v="USA"/>
    <x v="29"/>
    <s v="Stanford University"/>
    <s v="Computer Science"/>
    <s v="PhD"/>
    <n v="5"/>
    <n v="54200"/>
    <n v="89.5"/>
    <n v="2300"/>
    <n v="160"/>
    <n v="1500"/>
    <n v="1"/>
    <n v="199860"/>
    <n v="39972"/>
    <n v="138000"/>
    <n v="145660"/>
    <n v="0.27118983288301812"/>
  </r>
  <r>
    <s v="USA"/>
    <x v="30"/>
    <s v="MIT"/>
    <s v="Electrical Engineering"/>
    <s v="PhD"/>
    <n v="5"/>
    <n v="53800"/>
    <n v="83.2"/>
    <n v="2200"/>
    <n v="160"/>
    <n v="1500"/>
    <n v="1"/>
    <n v="193460"/>
    <n v="38692"/>
    <n v="132000"/>
    <n v="139660"/>
    <n v="0.27809366277266617"/>
  </r>
  <r>
    <s v="UK"/>
    <x v="31"/>
    <s v="University of Oxford"/>
    <s v="Biomedical Sciences"/>
    <s v="PhD"/>
    <n v="4"/>
    <n v="29800"/>
    <n v="74.5"/>
    <n v="1600"/>
    <n v="485"/>
    <n v="800"/>
    <n v="0.79"/>
    <n v="110285"/>
    <n v="27571.25"/>
    <n v="76800"/>
    <n v="80485"/>
    <n v="0.27020900394432606"/>
  </r>
  <r>
    <s v="UK"/>
    <x v="0"/>
    <s v="University of Cambridge"/>
    <s v="Physics"/>
    <s v="PhD"/>
    <n v="4"/>
    <n v="31200"/>
    <n v="75.2"/>
    <n v="1700"/>
    <n v="485"/>
    <n v="800"/>
    <n v="0.79"/>
    <n v="116485"/>
    <n v="29121.25"/>
    <n v="81600"/>
    <n v="85285"/>
    <n v="0.26784564536206379"/>
  </r>
  <r>
    <s v="Germany"/>
    <x v="32"/>
    <s v="Heidelberg University"/>
    <s v="Molecular Biology"/>
    <s v="PhD"/>
    <n v="3"/>
    <n v="500"/>
    <n v="68.400000000000006"/>
    <n v="900"/>
    <n v="75"/>
    <n v="550"/>
    <n v="0.92"/>
    <n v="34625"/>
    <n v="11541.666666666666"/>
    <n v="32400"/>
    <n v="34125"/>
    <n v="1.444043321299639E-2"/>
  </r>
  <r>
    <s v="Switzerland"/>
    <x v="33"/>
    <s v="ETH Basel"/>
    <s v="Pharmaceutical Sciences"/>
    <s v="PhD"/>
    <n v="4"/>
    <n v="1500"/>
    <n v="88.6"/>
    <n v="1800"/>
    <n v="88"/>
    <n v="1200"/>
    <n v="0.89"/>
    <n v="92788"/>
    <n v="23197"/>
    <n v="86400"/>
    <n v="91288"/>
    <n v="1.6165883519420613E-2"/>
  </r>
  <r>
    <s v="Netherlands"/>
    <x v="34"/>
    <s v="TU Delft"/>
    <s v="Robotics"/>
    <s v="PhD"/>
    <n v="4"/>
    <n v="4800"/>
    <n v="71.8"/>
    <n v="1200"/>
    <n v="180"/>
    <n v="720"/>
    <n v="0.92"/>
    <n v="65460"/>
    <n v="16365"/>
    <n v="57600"/>
    <n v="60660"/>
    <n v="7.3327222731439046E-2"/>
  </r>
  <r>
    <s v="Singapore"/>
    <x v="7"/>
    <s v="NTU Singapore"/>
    <s v="Data Science"/>
    <s v="PhD"/>
    <n v="4"/>
    <n v="8900"/>
    <n v="81.5"/>
    <n v="1600"/>
    <n v="90"/>
    <n v="800"/>
    <n v="1.34"/>
    <n v="88990"/>
    <n v="22247.5"/>
    <n v="76800"/>
    <n v="80090"/>
    <n v="0.1000112372176649"/>
  </r>
  <r>
    <s v="Canada"/>
    <x v="35"/>
    <s v="University of Waterloo"/>
    <s v="Quantum Computing"/>
    <s v="PhD"/>
    <n v="4"/>
    <n v="21500"/>
    <n v="69.8"/>
    <n v="1300"/>
    <n v="235"/>
    <n v="900"/>
    <n v="1.35"/>
    <n v="87735"/>
    <n v="21933.75"/>
    <n v="62400"/>
    <n v="66235"/>
    <n v="0.24505613495184361"/>
  </r>
  <r>
    <s v="Australia"/>
    <x v="36"/>
    <s v="Australian National University"/>
    <s v="Climate Science"/>
    <s v="PhD"/>
    <n v="4"/>
    <n v="29800"/>
    <n v="70.2"/>
    <n v="1400"/>
    <n v="450"/>
    <n v="650"/>
    <n v="1.52"/>
    <n v="100050"/>
    <n v="25012.5"/>
    <n v="67200"/>
    <n v="70250"/>
    <n v="0.29785107446276859"/>
  </r>
  <r>
    <s v="Sweden"/>
    <x v="37"/>
    <s v="Lund University"/>
    <s v="Neuroscience"/>
    <s v="PhD"/>
    <n v="4"/>
    <n v="0"/>
    <n v="69.5"/>
    <n v="1000"/>
    <n v="110"/>
    <n v="400"/>
    <n v="10.45"/>
    <n v="49710"/>
    <n v="12427.5"/>
    <n v="48000"/>
    <n v="49710"/>
    <n v="0"/>
  </r>
  <r>
    <s v="USA"/>
    <x v="38"/>
    <s v="UC San Diego"/>
    <s v="Computer Science"/>
    <s v="Bachelor"/>
    <n v="4"/>
    <n v="44200"/>
    <n v="79.5"/>
    <n v="1900"/>
    <n v="160"/>
    <n v="1500"/>
    <n v="1"/>
    <n v="141560"/>
    <n v="35390"/>
    <n v="91200"/>
    <n v="97360"/>
    <n v="0.31223509465950833"/>
  </r>
  <r>
    <s v="USA"/>
    <x v="39"/>
    <s v="University of Washington"/>
    <s v="Computer Science"/>
    <s v="Master"/>
    <n v="2"/>
    <n v="38900"/>
    <n v="83.4"/>
    <n v="2000"/>
    <n v="160"/>
    <n v="1500"/>
    <n v="1"/>
    <n v="90060"/>
    <n v="45030"/>
    <n v="48000"/>
    <n v="51160"/>
    <n v="0.43193426604485896"/>
  </r>
  <r>
    <s v="Canada"/>
    <x v="40"/>
    <s v="University of Alberta"/>
    <s v="Computer Science"/>
    <s v="PhD"/>
    <n v="4"/>
    <n v="22800"/>
    <n v="67.8"/>
    <n v="1200"/>
    <n v="235"/>
    <n v="900"/>
    <n v="1.35"/>
    <n v="84235"/>
    <n v="21058.75"/>
    <n v="57600"/>
    <n v="61435"/>
    <n v="0.27067133614293348"/>
  </r>
  <r>
    <s v="UK"/>
    <x v="41"/>
    <s v="University of Glasgow"/>
    <s v="Computer Science"/>
    <s v="Master"/>
    <n v="1"/>
    <n v="33500"/>
    <n v="67.5"/>
    <n v="1100"/>
    <n v="485"/>
    <n v="800"/>
    <n v="0.79"/>
    <n v="47985"/>
    <n v="47985"/>
    <n v="13200"/>
    <n v="14485"/>
    <n v="0.69813483380222985"/>
  </r>
  <r>
    <s v="India"/>
    <x v="42"/>
    <s v="Indian Institute of Science"/>
    <s v="Computer Science"/>
    <s v="Master"/>
    <n v="2"/>
    <n v="2500"/>
    <n v="45.6"/>
    <n v="500"/>
    <n v="200"/>
    <n v="300"/>
    <n v="83.2"/>
    <n v="15300"/>
    <n v="7650"/>
    <n v="12000"/>
    <n v="12800"/>
    <n v="0.16339869281045752"/>
  </r>
  <r>
    <s v="Denmark"/>
    <x v="43"/>
    <s v="Aalborg University"/>
    <s v="Computer Science"/>
    <s v="Bachelor"/>
    <n v="3"/>
    <n v="0"/>
    <n v="69.8"/>
    <n v="900"/>
    <n v="120"/>
    <n v="450"/>
    <n v="6.92"/>
    <n v="33870"/>
    <n v="11290"/>
    <n v="32400"/>
    <n v="33870"/>
    <n v="0"/>
  </r>
  <r>
    <s v="Poland"/>
    <x v="44"/>
    <s v="University of Warsaw"/>
    <s v="Computer Science"/>
    <s v="Master"/>
    <n v="2"/>
    <n v="3800"/>
    <n v="51.2"/>
    <n v="650"/>
    <n v="80"/>
    <n v="350"/>
    <n v="4.0199999999999996"/>
    <n v="20180"/>
    <n v="10090"/>
    <n v="15600"/>
    <n v="16380"/>
    <n v="0.18830525272547077"/>
  </r>
  <r>
    <s v="Ireland"/>
    <x v="45"/>
    <s v="NUI Galway"/>
    <s v="Computer Science"/>
    <s v="Bachelor"/>
    <n v="4"/>
    <n v="25800"/>
    <n v="68.5"/>
    <n v="1100"/>
    <n v="150"/>
    <n v="650"/>
    <n v="0.92"/>
    <n v="81350"/>
    <n v="20337.5"/>
    <n v="52800"/>
    <n v="55550"/>
    <n v="0.31714812538414261"/>
  </r>
  <r>
    <s v="South Korea"/>
    <x v="46"/>
    <s v="KAIST"/>
    <s v="Computer Science"/>
    <s v="PhD"/>
    <n v="4"/>
    <n v="6900"/>
    <n v="65.400000000000006"/>
    <n v="700"/>
    <n v="130"/>
    <n v="500"/>
    <n v="1320.5"/>
    <n v="42630"/>
    <n v="10657.5"/>
    <n v="33600"/>
    <n v="35730"/>
    <n v="0.16185784658691063"/>
  </r>
  <r>
    <s v="Malaysia"/>
    <x v="47"/>
    <s v="University of Malaya"/>
    <s v="Computer Science"/>
    <s v="Bachelor"/>
    <n v="4"/>
    <n v="4800"/>
    <n v="48.2"/>
    <n v="500"/>
    <n v="110"/>
    <n v="300"/>
    <n v="4.72"/>
    <n v="30110"/>
    <n v="7527.5"/>
    <n v="24000"/>
    <n v="25310"/>
    <n v="0.15941547658585187"/>
  </r>
  <r>
    <s v="USA"/>
    <x v="48"/>
    <s v="UC Berkeley"/>
    <s v="Computer Science"/>
    <s v="Bachelor"/>
    <n v="4"/>
    <n v="44900"/>
    <n v="84.2"/>
    <n v="2100"/>
    <n v="160"/>
    <n v="1500"/>
    <n v="1"/>
    <n v="151860"/>
    <n v="37965"/>
    <n v="100800"/>
    <n v="106960"/>
    <n v="0.29566706176741736"/>
  </r>
  <r>
    <s v="UK"/>
    <x v="49"/>
    <s v="University of Manchester"/>
    <s v="Economics"/>
    <s v="Bachelor"/>
    <n v="3"/>
    <n v="32000"/>
    <n v="68.400000000000006"/>
    <n v="1200"/>
    <n v="485"/>
    <n v="800"/>
    <n v="0.79"/>
    <n v="78085"/>
    <n v="26028.333333333332"/>
    <n v="43200"/>
    <n v="46085"/>
    <n v="0.40980982262918614"/>
  </r>
  <r>
    <s v="Canada"/>
    <x v="50"/>
    <s v="University of British Columbia"/>
    <s v="Psychology"/>
    <s v="Bachelor"/>
    <n v="4"/>
    <n v="31200"/>
    <n v="71.2"/>
    <n v="1700"/>
    <n v="235"/>
    <n v="900"/>
    <n v="1.35"/>
    <n v="116635"/>
    <n v="29158.75"/>
    <n v="81600"/>
    <n v="85435"/>
    <n v="0.26750117889141339"/>
  </r>
  <r>
    <s v="Australia"/>
    <x v="51"/>
    <s v="University of Sydney"/>
    <s v="Business"/>
    <s v="Bachelor"/>
    <n v="3"/>
    <n v="35000"/>
    <n v="72.8"/>
    <n v="1600"/>
    <n v="450"/>
    <n v="650"/>
    <n v="1.52"/>
    <n v="95000"/>
    <n v="31666.666666666668"/>
    <n v="57600"/>
    <n v="60000"/>
    <n v="0.36842105263157893"/>
  </r>
  <r>
    <s v="Germany"/>
    <x v="52"/>
    <s v="Free University of Berlin"/>
    <s v="International Business"/>
    <s v="Bachelor"/>
    <n v="3"/>
    <n v="0"/>
    <n v="65.2"/>
    <n v="900"/>
    <n v="75"/>
    <n v="550"/>
    <n v="0.92"/>
    <n v="34125"/>
    <n v="11375"/>
    <n v="32400"/>
    <n v="34125"/>
    <n v="0"/>
  </r>
  <r>
    <s v="Spain"/>
    <x v="53"/>
    <s v="University of Barcelona"/>
    <s v="Architecture"/>
    <s v="Bachelor"/>
    <n v="4"/>
    <n v="2800"/>
    <n v="62.4"/>
    <n v="950"/>
    <n v="160"/>
    <n v="500"/>
    <n v="0.92"/>
    <n v="50560"/>
    <n v="12640"/>
    <n v="45600"/>
    <n v="47760"/>
    <n v="5.5379746835443035E-2"/>
  </r>
  <r>
    <s v="Italy"/>
    <x v="54"/>
    <s v="Politecnico di Milano"/>
    <s v="Design"/>
    <s v="Bachelor"/>
    <n v="3"/>
    <n v="4200"/>
    <n v="63.8"/>
    <n v="1100"/>
    <n v="120"/>
    <n v="650"/>
    <n v="0.92"/>
    <n v="45870"/>
    <n v="15290"/>
    <n v="39600"/>
    <n v="41670"/>
    <n v="9.1563113145846961E-2"/>
  </r>
  <r>
    <s v="Netherlands"/>
    <x v="55"/>
    <s v="Erasmus University"/>
    <s v="Economics"/>
    <s v="Bachelor"/>
    <n v="3"/>
    <n v="11200"/>
    <n v="71.5"/>
    <n v="1300"/>
    <n v="180"/>
    <n v="720"/>
    <n v="0.92"/>
    <n v="60340"/>
    <n v="20113.333333333332"/>
    <n v="46800"/>
    <n v="49140"/>
    <n v="0.18561484918793503"/>
  </r>
  <r>
    <s v="Finland"/>
    <x v="56"/>
    <s v="University of Helsinki"/>
    <s v="Computer Science"/>
    <s v="Bachelor"/>
    <n v="3"/>
    <n v="0"/>
    <n v="70.2"/>
    <n v="1100"/>
    <n v="120"/>
    <n v="400"/>
    <n v="0.92"/>
    <n v="40920"/>
    <n v="13640"/>
    <n v="39600"/>
    <n v="40920"/>
    <n v="0"/>
  </r>
  <r>
    <s v="Norway"/>
    <x v="57"/>
    <s v="University of Oslo"/>
    <s v="Environmental Science"/>
    <s v="Bachelor"/>
    <n v="3"/>
    <n v="0"/>
    <n v="75.599999999999994"/>
    <n v="1400"/>
    <n v="135"/>
    <n v="450"/>
    <n v="10.45"/>
    <n v="51885"/>
    <n v="17295"/>
    <n v="50400"/>
    <n v="51885"/>
    <n v="0"/>
  </r>
  <r>
    <s v="Japan"/>
    <x v="58"/>
    <s v="Osaka University"/>
    <s v="Engineering"/>
    <s v="Bachelor"/>
    <n v="4"/>
    <n v="6800"/>
    <n v="71.2"/>
    <n v="900"/>
    <n v="220"/>
    <n v="750"/>
    <n v="145.80000000000001"/>
    <n v="53220"/>
    <n v="13305"/>
    <n v="43200"/>
    <n v="46420"/>
    <n v="0.12777151446824503"/>
  </r>
  <r>
    <s v="Japan"/>
    <x v="59"/>
    <s v="Kyoto University"/>
    <s v="Computer Science"/>
    <s v="Master"/>
    <n v="2"/>
    <n v="8500"/>
    <n v="71.8"/>
    <n v="900"/>
    <n v="220"/>
    <n v="750"/>
    <n v="145.80000000000001"/>
    <n v="31820"/>
    <n v="15910"/>
    <n v="21600"/>
    <n v="23320"/>
    <n v="0.26712759270898806"/>
  </r>
  <r>
    <s v="Japan"/>
    <x v="60"/>
    <s v="Nagoya University"/>
    <s v="Information Science"/>
    <s v="Bachelor"/>
    <n v="4"/>
    <n v="7800"/>
    <n v="68.5"/>
    <n v="750"/>
    <n v="220"/>
    <n v="750"/>
    <n v="145.80000000000001"/>
    <n v="47020"/>
    <n v="11755"/>
    <n v="36000"/>
    <n v="39220"/>
    <n v="0.1658868566567418"/>
  </r>
  <r>
    <s v="Japan"/>
    <x v="61"/>
    <s v="Tohoku University"/>
    <s v="Software Engineering"/>
    <s v="Master"/>
    <n v="2"/>
    <n v="8200"/>
    <n v="65.400000000000006"/>
    <n v="650"/>
    <n v="220"/>
    <n v="750"/>
    <n v="145.80000000000001"/>
    <n v="25520"/>
    <n v="12760"/>
    <n v="15600"/>
    <n v="17320"/>
    <n v="0.32131661442006271"/>
  </r>
  <r>
    <s v="Japan"/>
    <x v="62"/>
    <s v="Kyushu University"/>
    <s v="Computer Engineering"/>
    <s v="Bachelor"/>
    <n v="4"/>
    <n v="7500"/>
    <n v="64.8"/>
    <n v="600"/>
    <n v="220"/>
    <n v="750"/>
    <n v="145.80000000000001"/>
    <n v="39520"/>
    <n v="9880"/>
    <n v="28800"/>
    <n v="32020"/>
    <n v="0.18977732793522267"/>
  </r>
  <r>
    <s v="Japan"/>
    <x v="63"/>
    <s v="Hokkaido University"/>
    <s v="Data Science"/>
    <s v="Master"/>
    <n v="2"/>
    <n v="8100"/>
    <n v="63.5"/>
    <n v="550"/>
    <n v="220"/>
    <n v="750"/>
    <n v="145.80000000000001"/>
    <n v="23020"/>
    <n v="11510"/>
    <n v="13200"/>
    <n v="14920"/>
    <n v="0.35186794092093832"/>
  </r>
  <r>
    <s v="Japan"/>
    <x v="5"/>
    <s v="Tokyo Institute of Technology"/>
    <s v="Artificial Intelligence"/>
    <s v="PhD"/>
    <n v="3"/>
    <n v="8900"/>
    <n v="76.400000000000006"/>
    <n v="1100"/>
    <n v="220"/>
    <n v="750"/>
    <n v="145.80000000000001"/>
    <n v="50970"/>
    <n v="16990"/>
    <n v="39600"/>
    <n v="42070"/>
    <n v="0.17461251716696097"/>
  </r>
  <r>
    <s v="Japan"/>
    <x v="64"/>
    <s v="University of Tsukuba"/>
    <s v="Information Systems"/>
    <s v="Bachelor"/>
    <n v="4"/>
    <n v="7200"/>
    <n v="64.2"/>
    <n v="600"/>
    <n v="220"/>
    <n v="750"/>
    <n v="145.80000000000001"/>
    <n v="39220"/>
    <n v="9805"/>
    <n v="28800"/>
    <n v="32020"/>
    <n v="0.18357980622131564"/>
  </r>
  <r>
    <s v="Japan"/>
    <x v="65"/>
    <s v="Kobe University"/>
    <s v="Computer Science"/>
    <s v="Master"/>
    <n v="2"/>
    <n v="7900"/>
    <n v="67.8"/>
    <n v="700"/>
    <n v="220"/>
    <n v="750"/>
    <n v="145.80000000000001"/>
    <n v="26420"/>
    <n v="13210"/>
    <n v="16800"/>
    <n v="18520"/>
    <n v="0.29901589704769116"/>
  </r>
  <r>
    <s v="Japan"/>
    <x v="66"/>
    <s v="Kanazawa University"/>
    <s v="Software Engineering"/>
    <s v="Bachelor"/>
    <n v="4"/>
    <n v="7100"/>
    <n v="62.5"/>
    <n v="500"/>
    <n v="220"/>
    <n v="750"/>
    <n v="145.80000000000001"/>
    <n v="34320"/>
    <n v="8580"/>
    <n v="24000"/>
    <n v="27220"/>
    <n v="0.20687645687645687"/>
  </r>
  <r>
    <s v="Japan"/>
    <x v="67"/>
    <s v="Hiroshima University"/>
    <s v="Information Technology"/>
    <s v="Master"/>
    <n v="2"/>
    <n v="7600"/>
    <n v="63.8"/>
    <n v="550"/>
    <n v="220"/>
    <n v="750"/>
    <n v="145.80000000000001"/>
    <n v="22520"/>
    <n v="11260"/>
    <n v="13200"/>
    <n v="14920"/>
    <n v="0.33747779751332146"/>
  </r>
  <r>
    <s v="Australia"/>
    <x v="68"/>
    <s v="University of Adelaide"/>
    <s v="Computer Science"/>
    <s v="Bachelor"/>
    <n v="3"/>
    <n v="32800"/>
    <n v="68.5"/>
    <n v="1100"/>
    <n v="450"/>
    <n v="650"/>
    <n v="1.52"/>
    <n v="74800"/>
    <n v="24933.333333333332"/>
    <n v="39600"/>
    <n v="42000"/>
    <n v="0.43850267379679142"/>
  </r>
  <r>
    <s v="Australia"/>
    <x v="69"/>
    <s v="University of Western Australia"/>
    <s v="Software Engineering"/>
    <s v="Master"/>
    <n v="2"/>
    <n v="34500"/>
    <n v="69.8"/>
    <n v="1200"/>
    <n v="450"/>
    <n v="650"/>
    <n v="1.52"/>
    <n v="65050"/>
    <n v="32525"/>
    <n v="28800"/>
    <n v="30550"/>
    <n v="0.53036126056879329"/>
  </r>
  <r>
    <s v="Australia"/>
    <x v="70"/>
    <s v="Griffith University"/>
    <s v="Information Technology"/>
    <s v="Bachelor"/>
    <n v="3"/>
    <n v="31200"/>
    <n v="67.5"/>
    <n v="1100"/>
    <n v="450"/>
    <n v="650"/>
    <n v="1.52"/>
    <n v="73200"/>
    <n v="24400"/>
    <n v="39600"/>
    <n v="42000"/>
    <n v="0.42622950819672129"/>
  </r>
  <r>
    <s v="Australia"/>
    <x v="71"/>
    <s v="University of Tasmania"/>
    <s v="Data Science"/>
    <s v="Master"/>
    <n v="2"/>
    <n v="30800"/>
    <n v="65.400000000000006"/>
    <n v="950"/>
    <n v="450"/>
    <n v="650"/>
    <n v="1.52"/>
    <n v="55350"/>
    <n v="27675"/>
    <n v="22800"/>
    <n v="24550"/>
    <n v="0.55645889792231251"/>
  </r>
  <r>
    <s v="Australia"/>
    <x v="72"/>
    <s v="University of Newcastle"/>
    <s v="Computer Engineering"/>
    <s v="Bachelor"/>
    <n v="4"/>
    <n v="31500"/>
    <n v="66.8"/>
    <n v="1000"/>
    <n v="450"/>
    <n v="650"/>
    <n v="1.52"/>
    <n v="82550"/>
    <n v="20637.5"/>
    <n v="48000"/>
    <n v="51050"/>
    <n v="0.38158691701998787"/>
  </r>
  <r>
    <s v="Australia"/>
    <x v="73"/>
    <s v="University of Wollongong"/>
    <s v="Artificial Intelligence"/>
    <s v="Master"/>
    <n v="2"/>
    <n v="32900"/>
    <n v="67.2"/>
    <n v="1050"/>
    <n v="450"/>
    <n v="650"/>
    <n v="1.52"/>
    <n v="59850"/>
    <n v="29925"/>
    <n v="25200"/>
    <n v="26950"/>
    <n v="0.54970760233918126"/>
  </r>
  <r>
    <s v="Australia"/>
    <x v="74"/>
    <s v="Charles Darwin University"/>
    <s v="Information Systems"/>
    <s v="Bachelor"/>
    <n v="3"/>
    <n v="29800"/>
    <n v="64.5"/>
    <n v="900"/>
    <n v="450"/>
    <n v="650"/>
    <n v="1.52"/>
    <n v="64600"/>
    <n v="21533.333333333332"/>
    <n v="32400"/>
    <n v="34800"/>
    <n v="0.46130030959752322"/>
  </r>
  <r>
    <s v="Australia"/>
    <x v="75"/>
    <s v="James Cook University"/>
    <s v="Data Analytics"/>
    <s v="Master"/>
    <n v="2"/>
    <n v="31200"/>
    <n v="65.8"/>
    <n v="950"/>
    <n v="450"/>
    <n v="650"/>
    <n v="1.52"/>
    <n v="55750"/>
    <n v="27875"/>
    <n v="22800"/>
    <n v="24550"/>
    <n v="0.55964125560538114"/>
  </r>
  <r>
    <s v="Australia"/>
    <x v="76"/>
    <s v="USC"/>
    <s v="Software Development"/>
    <s v="Bachelor"/>
    <n v="3"/>
    <n v="29500"/>
    <n v="66.2"/>
    <n v="1000"/>
    <n v="450"/>
    <n v="650"/>
    <n v="1.52"/>
    <n v="67900"/>
    <n v="22633.333333333332"/>
    <n v="36000"/>
    <n v="38400"/>
    <n v="0.43446244477172313"/>
  </r>
  <r>
    <s v="Australia"/>
    <x v="77"/>
    <s v="University of New England"/>
    <s v="Computing Science"/>
    <s v="Master"/>
    <n v="2"/>
    <n v="30500"/>
    <n v="64.8"/>
    <n v="850"/>
    <n v="450"/>
    <n v="650"/>
    <n v="1.52"/>
    <n v="52650"/>
    <n v="26325"/>
    <n v="20400"/>
    <n v="22150"/>
    <n v="0.57929724596391263"/>
  </r>
  <r>
    <s v="Germany"/>
    <x v="78"/>
    <s v="TU Dresden"/>
    <s v="Computer Science"/>
    <s v="Master"/>
    <n v="2"/>
    <n v="500"/>
    <n v="65.8"/>
    <n v="750"/>
    <n v="75"/>
    <n v="550"/>
    <n v="0.92"/>
    <n v="19675"/>
    <n v="9837.5"/>
    <n v="18000"/>
    <n v="19175"/>
    <n v="2.5412960609911054E-2"/>
  </r>
  <r>
    <s v="Germany"/>
    <x v="79"/>
    <s v="University of Stuttgart"/>
    <s v="Software Engineering"/>
    <s v="Bachelor"/>
    <n v="3"/>
    <n v="450"/>
    <n v="68.5"/>
    <n v="850"/>
    <n v="75"/>
    <n v="550"/>
    <n v="0.92"/>
    <n v="32775"/>
    <n v="10925"/>
    <n v="30600"/>
    <n v="32325"/>
    <n v="1.3729977116704805E-2"/>
  </r>
  <r>
    <s v="Germany"/>
    <x v="80"/>
    <s v="TU Hamburg"/>
    <s v="Data Engineering"/>
    <s v="Master"/>
    <n v="2"/>
    <n v="500"/>
    <n v="71.2"/>
    <n v="950"/>
    <n v="75"/>
    <n v="550"/>
    <n v="0.92"/>
    <n v="24475"/>
    <n v="12237.5"/>
    <n v="22800"/>
    <n v="23975"/>
    <n v="2.0429009193054137E-2"/>
  </r>
  <r>
    <s v="Germany"/>
    <x v="81"/>
    <s v="RWTH Aachen"/>
    <s v="Computer Engineering"/>
    <s v="Bachelor"/>
    <n v="3"/>
    <n v="500"/>
    <n v="66.400000000000006"/>
    <n v="700"/>
    <n v="75"/>
    <n v="550"/>
    <n v="0.92"/>
    <n v="27425"/>
    <n v="9141.6666666666661"/>
    <n v="25200"/>
    <n v="26925"/>
    <n v="1.8231540565177756E-2"/>
  </r>
  <r>
    <s v="Germany"/>
    <x v="82"/>
    <s v="KIT"/>
    <s v="Artificial Intelligence"/>
    <s v="Master"/>
    <n v="2"/>
    <n v="500"/>
    <n v="67.8"/>
    <n v="800"/>
    <n v="75"/>
    <n v="550"/>
    <n v="0.92"/>
    <n v="20875"/>
    <n v="10437.5"/>
    <n v="19200"/>
    <n v="20375"/>
    <n v="2.3952095808383235E-2"/>
  </r>
  <r>
    <s v="Germany"/>
    <x v="83"/>
    <s v="TU Darmstadt"/>
    <s v="Information Systems"/>
    <s v="Bachelor"/>
    <n v="3"/>
    <n v="450"/>
    <n v="66.900000000000006"/>
    <n v="750"/>
    <n v="75"/>
    <n v="550"/>
    <n v="0.92"/>
    <n v="29175"/>
    <n v="9725"/>
    <n v="27000"/>
    <n v="28725"/>
    <n v="1.5424164524421594E-2"/>
  </r>
  <r>
    <s v="Germany"/>
    <x v="84"/>
    <s v="TU Braunschweig"/>
    <s v="Software Systems"/>
    <s v="Master"/>
    <n v="2"/>
    <n v="500"/>
    <n v="64.5"/>
    <n v="650"/>
    <n v="75"/>
    <n v="550"/>
    <n v="0.92"/>
    <n v="17275"/>
    <n v="8637.5"/>
    <n v="15600"/>
    <n v="16775"/>
    <n v="2.8943560057887119E-2"/>
  </r>
  <r>
    <s v="Germany"/>
    <x v="85"/>
    <s v="University of Jena"/>
    <s v="Data Science"/>
    <s v="Bachelor"/>
    <n v="3"/>
    <n v="450"/>
    <n v="63.8"/>
    <n v="600"/>
    <n v="75"/>
    <n v="550"/>
    <n v="0.92"/>
    <n v="23775"/>
    <n v="7925"/>
    <n v="21600"/>
    <n v="23325"/>
    <n v="1.8927444794952682E-2"/>
  </r>
  <r>
    <s v="Germany"/>
    <x v="86"/>
    <s v="Leibniz University"/>
    <s v="Digital Engineering"/>
    <s v="Master"/>
    <n v="2"/>
    <n v="500"/>
    <n v="66.2"/>
    <n v="750"/>
    <n v="75"/>
    <n v="550"/>
    <n v="0.92"/>
    <n v="19675"/>
    <n v="9837.5"/>
    <n v="18000"/>
    <n v="19175"/>
    <n v="2.5412960609911054E-2"/>
  </r>
  <r>
    <s v="Germany"/>
    <x v="87"/>
    <s v="University of Freiburg"/>
    <s v="Robotics &amp; AI"/>
    <s v="Master"/>
    <n v="2"/>
    <n v="500"/>
    <n v="67.5"/>
    <n v="800"/>
    <n v="75"/>
    <n v="550"/>
    <n v="0.92"/>
    <n v="20875"/>
    <n v="10437.5"/>
    <n v="19200"/>
    <n v="20375"/>
    <n v="2.3952095808383235E-2"/>
  </r>
  <r>
    <s v="USA"/>
    <x v="88"/>
    <s v="University of Pennsylvania"/>
    <s v="Computer Science"/>
    <s v="Master"/>
    <n v="2"/>
    <n v="51900"/>
    <n v="76.8"/>
    <n v="1900"/>
    <n v="160"/>
    <n v="1500"/>
    <n v="1"/>
    <n v="100660"/>
    <n v="50330"/>
    <n v="45600"/>
    <n v="48760"/>
    <n v="0.51559705940790779"/>
  </r>
  <r>
    <s v="USA"/>
    <x v="89"/>
    <s v="University of Chicago"/>
    <s v="Data Analytics"/>
    <s v="Master"/>
    <n v="2"/>
    <n v="52400"/>
    <n v="78.900000000000006"/>
    <n v="2000"/>
    <n v="160"/>
    <n v="1500"/>
    <n v="1"/>
    <n v="103560"/>
    <n v="51780"/>
    <n v="48000"/>
    <n v="51160"/>
    <n v="0.50598686751641564"/>
  </r>
  <r>
    <s v="USA"/>
    <x v="90"/>
    <s v="Johns Hopkins"/>
    <s v="Artificial Intelligence"/>
    <s v="PhD"/>
    <n v="5"/>
    <n v="53600"/>
    <n v="72.5"/>
    <n v="1700"/>
    <n v="160"/>
    <n v="1500"/>
    <n v="1"/>
    <n v="163260"/>
    <n v="32652"/>
    <n v="102000"/>
    <n v="109660"/>
    <n v="0.32831067009677817"/>
  </r>
  <r>
    <s v="USA"/>
    <x v="91"/>
    <s v="Vanderbilt University"/>
    <s v="Computer Engineering"/>
    <s v="Bachelor"/>
    <n v="4"/>
    <n v="50800"/>
    <n v="71.2"/>
    <n v="1600"/>
    <n v="160"/>
    <n v="1500"/>
    <n v="1"/>
    <n v="133760"/>
    <n v="33440"/>
    <n v="76800"/>
    <n v="82960"/>
    <n v="0.37978468899521534"/>
  </r>
  <r>
    <s v="USA"/>
    <x v="92"/>
    <s v="Duke University"/>
    <s v="Software Engineering"/>
    <s v="Master"/>
    <n v="2"/>
    <n v="51500"/>
    <n v="70.8"/>
    <n v="1500"/>
    <n v="160"/>
    <n v="1500"/>
    <n v="1"/>
    <n v="90660"/>
    <n v="45330"/>
    <n v="36000"/>
    <n v="39160"/>
    <n v="0.5680564747407898"/>
  </r>
  <r>
    <s v="USA"/>
    <x v="93"/>
    <s v="University of Wisconsin"/>
    <s v="Computer Science"/>
    <s v="PhD"/>
    <n v="5"/>
    <n v="38200"/>
    <n v="69.5"/>
    <n v="1400"/>
    <n v="160"/>
    <n v="1500"/>
    <n v="1"/>
    <n v="129860"/>
    <n v="25972"/>
    <n v="84000"/>
    <n v="91660"/>
    <n v="0.29416294470968735"/>
  </r>
  <r>
    <s v="USA"/>
    <x v="94"/>
    <s v="Arizona State University"/>
    <s v="Information Technology"/>
    <s v="Bachelor"/>
    <n v="4"/>
    <n v="41200"/>
    <n v="70.2"/>
    <n v="1300"/>
    <n v="160"/>
    <n v="1500"/>
    <n v="1"/>
    <n v="109760"/>
    <n v="27440"/>
    <n v="62400"/>
    <n v="68560"/>
    <n v="0.37536443148688048"/>
  </r>
  <r>
    <s v="USA"/>
    <x v="95"/>
    <s v="University of Colorado"/>
    <s v="Data Science"/>
    <s v="Master"/>
    <n v="2"/>
    <n v="39800"/>
    <n v="71.5"/>
    <n v="1600"/>
    <n v="160"/>
    <n v="1500"/>
    <n v="1"/>
    <n v="81360"/>
    <n v="40680"/>
    <n v="38400"/>
    <n v="41560"/>
    <n v="0.48918387413962633"/>
  </r>
  <r>
    <s v="USA"/>
    <x v="96"/>
    <s v="University of Minnesota"/>
    <s v="Computer Science"/>
    <s v="Bachelor"/>
    <n v="4"/>
    <n v="42500"/>
    <n v="72.8"/>
    <n v="1500"/>
    <n v="160"/>
    <n v="1500"/>
    <n v="1"/>
    <n v="120660"/>
    <n v="30165"/>
    <n v="72000"/>
    <n v="78160"/>
    <n v="0.35222940493949945"/>
  </r>
  <r>
    <s v="USA"/>
    <x v="97"/>
    <s v="UC Davis"/>
    <s v="Computer Engineering"/>
    <s v="Master"/>
    <n v="2"/>
    <n v="42800"/>
    <n v="73.5"/>
    <n v="1700"/>
    <n v="160"/>
    <n v="1500"/>
    <n v="1"/>
    <n v="86760"/>
    <n v="43380"/>
    <n v="40800"/>
    <n v="43960"/>
    <n v="0.49331489165514064"/>
  </r>
  <r>
    <s v="UK"/>
    <x v="1"/>
    <s v="University College London"/>
    <s v="Computer Science"/>
    <s v="Master"/>
    <n v="1"/>
    <n v="39200"/>
    <n v="76.2"/>
    <n v="1900"/>
    <n v="485"/>
    <n v="800"/>
    <n v="0.79"/>
    <n v="63285"/>
    <n v="63285"/>
    <n v="22800"/>
    <n v="24085"/>
    <n v="0.61942008374812352"/>
  </r>
  <r>
    <s v="UK"/>
    <x v="98"/>
    <s v="University of Leeds"/>
    <s v="Software Engineering"/>
    <s v="Bachelor"/>
    <n v="3"/>
    <n v="28500"/>
    <n v="65.8"/>
    <n v="950"/>
    <n v="485"/>
    <n v="800"/>
    <n v="0.79"/>
    <n v="65585"/>
    <n v="21861.666666666668"/>
    <n v="34200"/>
    <n v="37085"/>
    <n v="0.43455058321262485"/>
  </r>
  <r>
    <s v="UK"/>
    <x v="99"/>
    <s v="University of Warwick"/>
    <s v="Data Science"/>
    <s v="Master"/>
    <n v="1"/>
    <n v="36800"/>
    <n v="67.2"/>
    <n v="1000"/>
    <n v="485"/>
    <n v="800"/>
    <n v="0.79"/>
    <n v="50085"/>
    <n v="50085"/>
    <n v="12000"/>
    <n v="13285"/>
    <n v="0.73475092343016868"/>
  </r>
  <r>
    <s v="UK"/>
    <x v="100"/>
    <s v="University of Sheffield"/>
    <s v="Artificial Intelligence"/>
    <s v="PhD"/>
    <n v="3"/>
    <n v="27900"/>
    <n v="64.5"/>
    <n v="850"/>
    <n v="485"/>
    <n v="800"/>
    <n v="0.79"/>
    <n v="61385"/>
    <n v="20461.666666666668"/>
    <n v="30600"/>
    <n v="33485"/>
    <n v="0.4545084303983058"/>
  </r>
  <r>
    <s v="UK"/>
    <x v="101"/>
    <s v="University of Birmingham"/>
    <s v="Computer Engineering"/>
    <s v="Bachelor"/>
    <n v="3"/>
    <n v="29500"/>
    <n v="66.8"/>
    <n v="950"/>
    <n v="485"/>
    <n v="800"/>
    <n v="0.79"/>
    <n v="66585"/>
    <n v="22195"/>
    <n v="34200"/>
    <n v="37085"/>
    <n v="0.4430427273409927"/>
  </r>
  <r>
    <s v="UK"/>
    <x v="102"/>
    <s v="University of Southampton"/>
    <s v="Cybersecurity"/>
    <s v="Master"/>
    <n v="1"/>
    <n v="32400"/>
    <n v="65.900000000000006"/>
    <n v="900"/>
    <n v="485"/>
    <n v="800"/>
    <n v="0.79"/>
    <n v="44485"/>
    <n v="44485"/>
    <n v="10800"/>
    <n v="12085"/>
    <n v="0.72833539395301783"/>
  </r>
  <r>
    <s v="UK"/>
    <x v="103"/>
    <s v="University of Nottingham"/>
    <s v="Computer Science"/>
    <s v="Bachelor"/>
    <n v="3"/>
    <n v="28900"/>
    <n v="64.8"/>
    <n v="850"/>
    <n v="485"/>
    <n v="800"/>
    <n v="0.79"/>
    <n v="62385"/>
    <n v="20795"/>
    <n v="30600"/>
    <n v="33485"/>
    <n v="0.46325238438727256"/>
  </r>
  <r>
    <s v="UK"/>
    <x v="104"/>
    <s v="Cardiff University"/>
    <s v="Software Development"/>
    <s v="Master"/>
    <n v="1"/>
    <n v="31200"/>
    <n v="64.2"/>
    <n v="800"/>
    <n v="485"/>
    <n v="800"/>
    <n v="0.79"/>
    <n v="42085"/>
    <n v="42085"/>
    <n v="9600"/>
    <n v="10885"/>
    <n v="0.74135677794938815"/>
  </r>
  <r>
    <s v="UK"/>
    <x v="105"/>
    <s v="Queen's University Belfast"/>
    <s v="Computing Systems"/>
    <s v="Bachelor"/>
    <n v="3"/>
    <n v="27500"/>
    <n v="63.5"/>
    <n v="750"/>
    <n v="485"/>
    <n v="800"/>
    <n v="0.79"/>
    <n v="57385"/>
    <n v="19128.333333333332"/>
    <n v="27000"/>
    <n v="29885"/>
    <n v="0.47921930818158054"/>
  </r>
  <r>
    <s v="UK"/>
    <x v="72"/>
    <s v="Newcastle University"/>
    <s v="Data Analytics"/>
    <s v="Master"/>
    <n v="1"/>
    <n v="30800"/>
    <n v="64.599999999999994"/>
    <n v="800"/>
    <n v="485"/>
    <n v="800"/>
    <n v="0.79"/>
    <n v="41685"/>
    <n v="41685"/>
    <n v="9600"/>
    <n v="10885"/>
    <n v="0.73887489504617965"/>
  </r>
  <r>
    <s v="Canada"/>
    <x v="106"/>
    <s v="McMaster University"/>
    <s v="Software Engineering"/>
    <s v="Bachelor"/>
    <n v="4"/>
    <n v="32500"/>
    <n v="68.5"/>
    <n v="1200"/>
    <n v="235"/>
    <n v="900"/>
    <n v="1.35"/>
    <n v="93935"/>
    <n v="23483.75"/>
    <n v="57600"/>
    <n v="61435"/>
    <n v="0.34598392505455899"/>
  </r>
  <r>
    <s v="Canada"/>
    <x v="107"/>
    <s v="Western University"/>
    <s v="Computer Science"/>
    <s v="Master"/>
    <n v="2"/>
    <n v="29800"/>
    <n v="65.8"/>
    <n v="1100"/>
    <n v="235"/>
    <n v="900"/>
    <n v="1.35"/>
    <n v="58235"/>
    <n v="29117.5"/>
    <n v="26400"/>
    <n v="28435"/>
    <n v="0.51171975616038468"/>
  </r>
  <r>
    <s v="Canada"/>
    <x v="108"/>
    <s v="Dalhousie University"/>
    <s v="Data Science"/>
    <s v="Master"/>
    <n v="2"/>
    <n v="28500"/>
    <n v="64.5"/>
    <n v="1200"/>
    <n v="235"/>
    <n v="900"/>
    <n v="1.35"/>
    <n v="59335"/>
    <n v="29667.5"/>
    <n v="28800"/>
    <n v="30835"/>
    <n v="0.48032358641611189"/>
  </r>
  <r>
    <s v="Canada"/>
    <x v="109"/>
    <s v="University of Victoria"/>
    <s v="Computer Engineering"/>
    <s v="Bachelor"/>
    <n v="4"/>
    <n v="27900"/>
    <n v="69.2"/>
    <n v="1300"/>
    <n v="235"/>
    <n v="900"/>
    <n v="1.35"/>
    <n v="94135"/>
    <n v="23533.75"/>
    <n v="62400"/>
    <n v="66235"/>
    <n v="0.29638285441121792"/>
  </r>
  <r>
    <s v="Canada"/>
    <x v="110"/>
    <s v="Laval University"/>
    <s v="Artificial Intelligence"/>
    <s v="Master"/>
    <n v="2"/>
    <n v="21500"/>
    <n v="63.8"/>
    <n v="900"/>
    <n v="235"/>
    <n v="900"/>
    <n v="1.35"/>
    <n v="45135"/>
    <n v="22567.5"/>
    <n v="21600"/>
    <n v="23635"/>
    <n v="0.47634873158302871"/>
  </r>
  <r>
    <s v="Canada"/>
    <x v="111"/>
    <s v="University of Manitoba"/>
    <s v="Computer Science"/>
    <s v="Bachelor"/>
    <n v="4"/>
    <n v="26800"/>
    <n v="62.5"/>
    <n v="950"/>
    <n v="235"/>
    <n v="900"/>
    <n v="1.35"/>
    <n v="76235"/>
    <n v="19058.75"/>
    <n v="45600"/>
    <n v="49435"/>
    <n v="0.35154456614415952"/>
  </r>
  <r>
    <s v="Canada"/>
    <x v="112"/>
    <s v="University of Regina"/>
    <s v="Software Systems"/>
    <s v="Bachelor"/>
    <n v="4"/>
    <n v="25500"/>
    <n v="61.8"/>
    <n v="900"/>
    <n v="235"/>
    <n v="900"/>
    <n v="1.35"/>
    <n v="72535"/>
    <n v="18133.75"/>
    <n v="43200"/>
    <n v="47035"/>
    <n v="0.35155442200317089"/>
  </r>
  <r>
    <s v="Canada"/>
    <x v="113"/>
    <s v="Memorial University"/>
    <s v="Computer Science"/>
    <s v="Master"/>
    <n v="2"/>
    <n v="19800"/>
    <n v="63.2"/>
    <n v="950"/>
    <n v="235"/>
    <n v="900"/>
    <n v="1.35"/>
    <n v="44635"/>
    <n v="22317.5"/>
    <n v="22800"/>
    <n v="24835"/>
    <n v="0.4435980732608939"/>
  </r>
  <r>
    <s v="Canada"/>
    <x v="114"/>
    <s v="University of Saskatchewan"/>
    <s v="Data Analytics"/>
    <s v="Master"/>
    <n v="2"/>
    <n v="24500"/>
    <n v="62.8"/>
    <n v="1000"/>
    <n v="235"/>
    <n v="900"/>
    <n v="1.35"/>
    <n v="50535"/>
    <n v="25267.5"/>
    <n v="24000"/>
    <n v="26035"/>
    <n v="0.48481250618383298"/>
  </r>
  <r>
    <s v="Canada"/>
    <x v="115"/>
    <s v="Université de Sherbrooke"/>
    <s v="Computer Engineering"/>
    <s v="PhD"/>
    <n v="4"/>
    <n v="20500"/>
    <n v="61.5"/>
    <n v="850"/>
    <n v="235"/>
    <n v="900"/>
    <n v="1.35"/>
    <n v="65135"/>
    <n v="16283.75"/>
    <n v="40800"/>
    <n v="44635"/>
    <n v="0.31473094342519381"/>
  </r>
  <r>
    <s v="USA"/>
    <x v="116"/>
    <s v="Carnegie Mellon"/>
    <s v="Computer Science"/>
    <s v="Master"/>
    <n v="2"/>
    <n v="51200"/>
    <n v="72.400000000000006"/>
    <n v="1800"/>
    <n v="160"/>
    <n v="1500"/>
    <n v="1"/>
    <n v="97560"/>
    <n v="48780"/>
    <n v="43200"/>
    <n v="46360"/>
    <n v="0.52480524805248052"/>
  </r>
  <r>
    <s v="USA"/>
    <x v="117"/>
    <s v="UIUC"/>
    <s v="Computer Science"/>
    <s v="PhD"/>
    <n v="5"/>
    <n v="45800"/>
    <n v="68.5"/>
    <n v="1400"/>
    <n v="160"/>
    <n v="1500"/>
    <n v="1"/>
    <n v="137460"/>
    <n v="27492"/>
    <n v="84000"/>
    <n v="91660"/>
    <n v="0.33318783646151606"/>
  </r>
  <r>
    <s v="Canada"/>
    <x v="118"/>
    <s v="University of Calgary"/>
    <s v="Software Engineering"/>
    <s v="Bachelor"/>
    <n v="4"/>
    <n v="26500"/>
    <n v="69.2"/>
    <n v="1300"/>
    <n v="235"/>
    <n v="900"/>
    <n v="1.35"/>
    <n v="92735"/>
    <n v="23183.75"/>
    <n v="62400"/>
    <n v="66235"/>
    <n v="0.28576050035046097"/>
  </r>
  <r>
    <s v="Brazil"/>
    <x v="119"/>
    <s v="University of Sao Paulo"/>
    <s v="Computer Science"/>
    <s v="Master"/>
    <n v="2"/>
    <n v="0"/>
    <n v="48.5"/>
    <n v="600"/>
    <n v="160"/>
    <n v="400"/>
    <n v="4.95"/>
    <n v="15360"/>
    <n v="7680"/>
    <n v="14400"/>
    <n v="15360"/>
    <n v="0"/>
  </r>
  <r>
    <s v="Turkey"/>
    <x v="120"/>
    <s v="Bogazici University"/>
    <s v="Computer Engineering"/>
    <s v="Bachelor"/>
    <n v="4"/>
    <n v="1800"/>
    <n v="42.8"/>
    <n v="450"/>
    <n v="100"/>
    <n v="300"/>
    <n v="30.5"/>
    <n v="24700"/>
    <n v="6175"/>
    <n v="21600"/>
    <n v="22900"/>
    <n v="7.28744939271255E-2"/>
  </r>
  <r>
    <s v="Russia"/>
    <x v="121"/>
    <s v="Moscow State University"/>
    <s v="Applied Mathematics"/>
    <s v="Master"/>
    <n v="2"/>
    <n v="3900"/>
    <n v="51.2"/>
    <n v="700"/>
    <n v="120"/>
    <n v="350"/>
    <n v="92.8"/>
    <n v="21520"/>
    <n v="10760"/>
    <n v="16800"/>
    <n v="17620"/>
    <n v="0.18122676579925651"/>
  </r>
  <r>
    <s v="Mexico"/>
    <x v="122"/>
    <s v="UNAM"/>
    <s v="Computer Engineering"/>
    <s v="Bachelor"/>
    <n v="4"/>
    <n v="800"/>
    <n v="44.6"/>
    <n v="500"/>
    <n v="160"/>
    <n v="400"/>
    <n v="17.2"/>
    <n v="26560"/>
    <n v="6640"/>
    <n v="24000"/>
    <n v="25760"/>
    <n v="3.0120481927710843E-2"/>
  </r>
  <r>
    <s v="Greece"/>
    <x v="123"/>
    <s v="National Technical University"/>
    <s v="Software Engineering"/>
    <s v="Master"/>
    <n v="2"/>
    <n v="2500"/>
    <n v="54.8"/>
    <n v="550"/>
    <n v="120"/>
    <n v="400"/>
    <n v="0.92"/>
    <n v="16620"/>
    <n v="8310"/>
    <n v="13200"/>
    <n v="14120"/>
    <n v="0.15042117930204574"/>
  </r>
  <r>
    <s v="Thailand"/>
    <x v="124"/>
    <s v="Chulalongkorn University"/>
    <s v="Computer Science"/>
    <s v="Bachelor"/>
    <n v="4"/>
    <n v="3800"/>
    <n v="46.5"/>
    <n v="450"/>
    <n v="140"/>
    <n v="300"/>
    <n v="35.200000000000003"/>
    <n v="26740"/>
    <n v="6685"/>
    <n v="21600"/>
    <n v="22940"/>
    <n v="0.14210919970082272"/>
  </r>
  <r>
    <s v="UAE"/>
    <x v="125"/>
    <s v="American University in Dubai"/>
    <s v="Computer Science"/>
    <s v="Bachelor"/>
    <n v="4"/>
    <n v="29500"/>
    <n v="72.400000000000006"/>
    <n v="1200"/>
    <n v="270"/>
    <n v="800"/>
    <n v="3.67"/>
    <n v="90570"/>
    <n v="22642.5"/>
    <n v="57600"/>
    <n v="61070"/>
    <n v="0.32571491663906371"/>
  </r>
  <r>
    <s v="USA"/>
    <x v="126"/>
    <s v="Columbia University"/>
    <s v="Data Science"/>
    <s v="Master"/>
    <n v="2"/>
    <n v="52800"/>
    <n v="100"/>
    <n v="2500"/>
    <n v="160"/>
    <n v="1500"/>
    <n v="1"/>
    <n v="115960"/>
    <n v="57980"/>
    <n v="60000"/>
    <n v="63160"/>
    <n v="0.45532942393928943"/>
  </r>
  <r>
    <s v="USA"/>
    <x v="127"/>
    <s v="Cornell University"/>
    <s v="Computer Science"/>
    <s v="PhD"/>
    <n v="5"/>
    <n v="49800"/>
    <n v="70.5"/>
    <n v="1600"/>
    <n v="160"/>
    <n v="1500"/>
    <n v="1"/>
    <n v="153460"/>
    <n v="30692"/>
    <n v="96000"/>
    <n v="103660"/>
    <n v="0.32451453147399972"/>
  </r>
  <r>
    <s v="China"/>
    <x v="128"/>
    <s v="SUSTech"/>
    <s v="Artificial Intelligence"/>
    <s v="Master"/>
    <n v="2"/>
    <n v="8200"/>
    <n v="58.4"/>
    <n v="800"/>
    <n v="140"/>
    <n v="400"/>
    <n v="7.18"/>
    <n v="28340"/>
    <n v="14170"/>
    <n v="19200"/>
    <n v="20140"/>
    <n v="0.2893436838390967"/>
  </r>
  <r>
    <s v="South Africa"/>
    <x v="129"/>
    <s v="University of Cape Town"/>
    <s v="Computer Science"/>
    <s v="Bachelor"/>
    <n v="3"/>
    <n v="5900"/>
    <n v="49.2"/>
    <n v="600"/>
    <n v="140"/>
    <n v="400"/>
    <n v="18.72"/>
    <n v="28840"/>
    <n v="9613.3333333333339"/>
    <n v="21600"/>
    <n v="22940"/>
    <n v="0.20457697642163661"/>
  </r>
  <r>
    <s v="Egypt"/>
    <x v="130"/>
    <s v="American University in Cairo"/>
    <s v="Computer Engineering"/>
    <s v="Bachelor"/>
    <n v="4"/>
    <n v="19800"/>
    <n v="38.4"/>
    <n v="450"/>
    <n v="130"/>
    <n v="350"/>
    <n v="30.9"/>
    <n v="42930"/>
    <n v="10732.5"/>
    <n v="21600"/>
    <n v="23130"/>
    <n v="0.46121593291404611"/>
  </r>
  <r>
    <s v="Argentina"/>
    <x v="131"/>
    <s v="University of Buenos Aires"/>
    <s v="Software Engineering"/>
    <s v="Bachelor"/>
    <n v="5"/>
    <n v="0"/>
    <n v="42.6"/>
    <n v="400"/>
    <n v="150"/>
    <n v="300"/>
    <n v="821.5"/>
    <n v="25650"/>
    <n v="5130"/>
    <n v="24000"/>
    <n v="25650"/>
    <n v="0"/>
  </r>
  <r>
    <s v="Indonesia"/>
    <x v="132"/>
    <s v="University of Indonesia"/>
    <s v="Information Systems"/>
    <s v="Bachelor"/>
    <n v="4"/>
    <n v="4200"/>
    <n v="45.8"/>
    <n v="500"/>
    <n v="130"/>
    <n v="300"/>
    <n v="15640"/>
    <n v="29530"/>
    <n v="7382.5"/>
    <n v="24000"/>
    <n v="25330"/>
    <n v="0.14222824246528953"/>
  </r>
  <r>
    <s v="Saudi Arabia"/>
    <x v="133"/>
    <s v="King Saud University"/>
    <s v="Computer Science"/>
    <s v="Master"/>
    <n v="2"/>
    <n v="7800"/>
    <n v="52.4"/>
    <n v="800"/>
    <n v="250"/>
    <n v="600"/>
    <n v="3.75"/>
    <n v="28450"/>
    <n v="14225"/>
    <n v="19200"/>
    <n v="20650"/>
    <n v="0.27416520210896311"/>
  </r>
  <r>
    <s v="Nigeria"/>
    <x v="134"/>
    <s v="University of Lagos"/>
    <s v="Computer Engineering"/>
    <s v="Bachelor"/>
    <n v="4"/>
    <n v="2500"/>
    <n v="40.200000000000003"/>
    <n v="400"/>
    <n v="180"/>
    <n v="300"/>
    <n v="860.2"/>
    <n v="23080"/>
    <n v="5770"/>
    <n v="19200"/>
    <n v="20580"/>
    <n v="0.10831889081455806"/>
  </r>
  <r>
    <s v="Vietnam"/>
    <x v="135"/>
    <s v="HCMUT"/>
    <s v="Software Engineering"/>
    <s v="Bachelor"/>
    <n v="4"/>
    <n v="3200"/>
    <n v="43.6"/>
    <n v="450"/>
    <n v="120"/>
    <n v="250"/>
    <n v="24450"/>
    <n v="25920"/>
    <n v="6480"/>
    <n v="21600"/>
    <n v="22720"/>
    <n v="0.12345679012345678"/>
  </r>
  <r>
    <s v="Netherlands"/>
    <x v="136"/>
    <s v="TU Eindhoven"/>
    <s v="Computer Science"/>
    <s v="Master"/>
    <n v="2"/>
    <n v="15600"/>
    <n v="69.8"/>
    <n v="950"/>
    <n v="180"/>
    <n v="720"/>
    <n v="0.92"/>
    <n v="40020"/>
    <n v="20010"/>
    <n v="22800"/>
    <n v="24420"/>
    <n v="0.38980509745127434"/>
  </r>
  <r>
    <s v="Netherlands"/>
    <x v="137"/>
    <s v="University of Twente"/>
    <s v="Artificial Intelligence"/>
    <s v="Bachelor"/>
    <n v="3"/>
    <n v="11200"/>
    <n v="65.400000000000006"/>
    <n v="750"/>
    <n v="180"/>
    <n v="720"/>
    <n v="0.92"/>
    <n v="40540"/>
    <n v="13513.333333333334"/>
    <n v="27000"/>
    <n v="29340"/>
    <n v="0.27627035027133695"/>
  </r>
  <r>
    <s v="Netherlands"/>
    <x v="138"/>
    <s v="University of Groningen"/>
    <s v="Computing Science"/>
    <s v="Master"/>
    <n v="2"/>
    <n v="14800"/>
    <n v="66.8"/>
    <n v="800"/>
    <n v="180"/>
    <n v="720"/>
    <n v="0.92"/>
    <n v="35620"/>
    <n v="17810"/>
    <n v="19200"/>
    <n v="20820"/>
    <n v="0.41549691184727683"/>
  </r>
  <r>
    <s v="Netherlands"/>
    <x v="139"/>
    <s v="Maastricht University"/>
    <s v="Data Science"/>
    <s v="Bachelor"/>
    <n v="3"/>
    <n v="11500"/>
    <n v="67.2"/>
    <n v="850"/>
    <n v="180"/>
    <n v="720"/>
    <n v="0.92"/>
    <n v="44440"/>
    <n v="14813.333333333334"/>
    <n v="30600"/>
    <n v="32940"/>
    <n v="0.25877587758775877"/>
  </r>
  <r>
    <s v="Netherlands"/>
    <x v="140"/>
    <s v="Radboud University"/>
    <s v="Software Science"/>
    <s v="Master"/>
    <n v="2"/>
    <n v="14500"/>
    <n v="66.5"/>
    <n v="800"/>
    <n v="180"/>
    <n v="720"/>
    <n v="0.92"/>
    <n v="35320"/>
    <n v="17660"/>
    <n v="19200"/>
    <n v="20820"/>
    <n v="0.41053227633069084"/>
  </r>
  <r>
    <s v="Netherlands"/>
    <x v="141"/>
    <s v="Tilburg University"/>
    <s v="Information Systems"/>
    <s v="Bachelor"/>
    <n v="3"/>
    <n v="11300"/>
    <n v="65.8"/>
    <n v="750"/>
    <n v="180"/>
    <n v="720"/>
    <n v="0.92"/>
    <n v="40640"/>
    <n v="13546.666666666666"/>
    <n v="27000"/>
    <n v="29340"/>
    <n v="0.27805118110236221"/>
  </r>
  <r>
    <s v="Netherlands"/>
    <x v="142"/>
    <s v="Utrecht University"/>
    <s v="Game Technology"/>
    <s v="Master"/>
    <n v="2"/>
    <n v="15200"/>
    <n v="70.2"/>
    <n v="1000"/>
    <n v="180"/>
    <n v="720"/>
    <n v="0.92"/>
    <n v="40820"/>
    <n v="20410"/>
    <n v="24000"/>
    <n v="25620"/>
    <n v="0.37236648701616853"/>
  </r>
  <r>
    <s v="Netherlands"/>
    <x v="143"/>
    <s v="Leiden University"/>
    <s v="Computer Engineering"/>
    <s v="Bachelor"/>
    <n v="3"/>
    <n v="11400"/>
    <n v="69.5"/>
    <n v="950"/>
    <n v="180"/>
    <n v="720"/>
    <n v="0.92"/>
    <n v="47940"/>
    <n v="15980"/>
    <n v="34200"/>
    <n v="36540"/>
    <n v="0.23779724655819776"/>
  </r>
  <r>
    <s v="Netherlands"/>
    <x v="144"/>
    <s v="Wageningen University"/>
    <s v="Bioinformatics"/>
    <s v="Master"/>
    <n v="2"/>
    <n v="14900"/>
    <n v="65.2"/>
    <n v="750"/>
    <n v="180"/>
    <n v="720"/>
    <n v="0.92"/>
    <n v="34520"/>
    <n v="17260"/>
    <n v="18000"/>
    <n v="19620"/>
    <n v="0.43163383545770567"/>
  </r>
  <r>
    <s v="Netherlands"/>
    <x v="6"/>
    <s v="VU Amsterdam"/>
    <s v="Business Analytics"/>
    <s v="Master"/>
    <n v="2"/>
    <n v="15400"/>
    <n v="73.5"/>
    <n v="1100"/>
    <n v="180"/>
    <n v="720"/>
    <n v="0.92"/>
    <n v="43420"/>
    <n v="21710"/>
    <n v="26400"/>
    <n v="28020"/>
    <n v="0.35467526485490558"/>
  </r>
  <r>
    <s v="Singapore"/>
    <x v="7"/>
    <s v="Nanyang Technological University"/>
    <s v="Computer Science"/>
    <s v="Bachelor"/>
    <n v="4"/>
    <n v="32500"/>
    <n v="81.099999999999994"/>
    <n v="1500"/>
    <n v="90"/>
    <n v="800"/>
    <n v="1.34"/>
    <n v="107790"/>
    <n v="26947.5"/>
    <n v="72000"/>
    <n v="75290"/>
    <n v="0.30151219964746268"/>
  </r>
  <r>
    <s v="Singapore"/>
    <x v="7"/>
    <s v="Singapore Management University"/>
    <s v="Information Systems"/>
    <s v="Bachelor"/>
    <n v="4"/>
    <n v="31800"/>
    <n v="81.099999999999994"/>
    <n v="1500"/>
    <n v="90"/>
    <n v="800"/>
    <n v="1.34"/>
    <n v="107090"/>
    <n v="26772.5"/>
    <n v="72000"/>
    <n v="75290"/>
    <n v="0.29694649360351105"/>
  </r>
  <r>
    <s v="Singapore"/>
    <x v="7"/>
    <s v="SUTD"/>
    <s v="Computer Science &amp; Design"/>
    <s v="Bachelor"/>
    <n v="4"/>
    <n v="31200"/>
    <n v="81.099999999999994"/>
    <n v="1500"/>
    <n v="90"/>
    <n v="800"/>
    <n v="1.34"/>
    <n v="106490"/>
    <n v="26622.5"/>
    <n v="72000"/>
    <n v="75290"/>
    <n v="0.29298525683162741"/>
  </r>
  <r>
    <s v="Singapore"/>
    <x v="7"/>
    <s v="SIT"/>
    <s v="Software Engineering"/>
    <s v="Bachelor"/>
    <n v="4"/>
    <n v="29800"/>
    <n v="81.099999999999994"/>
    <n v="1500"/>
    <n v="90"/>
    <n v="800"/>
    <n v="1.34"/>
    <n v="105090"/>
    <n v="26272.5"/>
    <n v="72000"/>
    <n v="75290"/>
    <n v="0.28356646683794845"/>
  </r>
  <r>
    <s v="Singapore"/>
    <x v="7"/>
    <s v="NUS"/>
    <s v="Artificial Intelligence"/>
    <s v="Master"/>
    <n v="2"/>
    <n v="35600"/>
    <n v="81.099999999999994"/>
    <n v="1500"/>
    <n v="90"/>
    <n v="800"/>
    <n v="1.34"/>
    <n v="73290"/>
    <n v="36645"/>
    <n v="36000"/>
    <n v="37690"/>
    <n v="0.48574157456678946"/>
  </r>
  <r>
    <s v="Singapore"/>
    <x v="7"/>
    <s v="NTU"/>
    <s v="Data Science &amp; AI"/>
    <s v="Master"/>
    <n v="2"/>
    <n v="34900"/>
    <n v="81.099999999999994"/>
    <n v="1500"/>
    <n v="90"/>
    <n v="800"/>
    <n v="1.34"/>
    <n v="72590"/>
    <n v="36295"/>
    <n v="36000"/>
    <n v="37690"/>
    <n v="0.48078247692519632"/>
  </r>
  <r>
    <s v="Singapore"/>
    <x v="7"/>
    <s v="SUTD"/>
    <s v="Technology &amp; Innovation"/>
    <s v="Master"/>
    <n v="2"/>
    <n v="33800"/>
    <n v="81.099999999999994"/>
    <n v="1500"/>
    <n v="90"/>
    <n v="800"/>
    <n v="1.34"/>
    <n v="71490"/>
    <n v="35745"/>
    <n v="36000"/>
    <n v="37690"/>
    <n v="0.47279339767799694"/>
  </r>
  <r>
    <s v="Singapore"/>
    <x v="7"/>
    <s v="SMU"/>
    <s v="Computing &amp; Innovation"/>
    <s v="Master"/>
    <n v="2"/>
    <n v="34200"/>
    <n v="81.099999999999994"/>
    <n v="1500"/>
    <n v="90"/>
    <n v="800"/>
    <n v="1.34"/>
    <n v="71890"/>
    <n v="35945"/>
    <n v="36000"/>
    <n v="37690"/>
    <n v="0.47572680484072888"/>
  </r>
  <r>
    <s v="Singapore"/>
    <x v="7"/>
    <s v="NUS"/>
    <s v="Computer Engineering"/>
    <s v="PhD"/>
    <n v="4"/>
    <n v="38500"/>
    <n v="81.099999999999994"/>
    <n v="1500"/>
    <n v="90"/>
    <n v="800"/>
    <n v="1.34"/>
    <n v="113790"/>
    <n v="28447.5"/>
    <n v="72000"/>
    <n v="75290"/>
    <n v="0.33834256085772035"/>
  </r>
  <r>
    <s v="Singapore"/>
    <x v="7"/>
    <s v="NTU"/>
    <s v="Digital Systems &amp; AI"/>
    <s v="PhD"/>
    <n v="4"/>
    <n v="37900"/>
    <n v="81.099999999999994"/>
    <n v="1500"/>
    <n v="90"/>
    <n v="800"/>
    <n v="1.34"/>
    <n v="113190"/>
    <n v="28297.5"/>
    <n v="72000"/>
    <n v="75290"/>
    <n v="0.33483523279441646"/>
  </r>
  <r>
    <s v="France"/>
    <x v="8"/>
    <s v="École Polytechnique"/>
    <s v="Computer Science"/>
    <s v="Master"/>
    <n v="2"/>
    <n v="15600"/>
    <n v="74.599999999999994"/>
    <n v="1500"/>
    <n v="99"/>
    <n v="650"/>
    <n v="0.92"/>
    <n v="52999"/>
    <n v="26499.5"/>
    <n v="36000"/>
    <n v="37399"/>
    <n v="0.29434517632408158"/>
  </r>
  <r>
    <s v="France"/>
    <x v="145"/>
    <s v="INSA Toulouse"/>
    <s v="Software Engineering"/>
    <s v="Bachelor"/>
    <n v="3"/>
    <n v="4200"/>
    <n v="65.8"/>
    <n v="750"/>
    <n v="99"/>
    <n v="650"/>
    <n v="0.92"/>
    <n v="33249"/>
    <n v="11083"/>
    <n v="27000"/>
    <n v="29049"/>
    <n v="0.1263195885590544"/>
  </r>
  <r>
    <s v="France"/>
    <x v="146"/>
    <s v="École Normale Supérieure Lyon"/>
    <s v="Data Science"/>
    <s v="Master"/>
    <n v="2"/>
    <n v="4800"/>
    <n v="68.5"/>
    <n v="850"/>
    <n v="99"/>
    <n v="650"/>
    <n v="0.92"/>
    <n v="26599"/>
    <n v="13299.5"/>
    <n v="20400"/>
    <n v="21799"/>
    <n v="0.18045791195157712"/>
  </r>
  <r>
    <s v="France"/>
    <x v="147"/>
    <s v="Grenoble INP"/>
    <s v="Artificial Intelligence"/>
    <s v="Master"/>
    <n v="2"/>
    <n v="4500"/>
    <n v="66.400000000000006"/>
    <n v="800"/>
    <n v="99"/>
    <n v="650"/>
    <n v="0.92"/>
    <n v="25099"/>
    <n v="12549.5"/>
    <n v="19200"/>
    <n v="20599"/>
    <n v="0.17929001155424518"/>
  </r>
  <r>
    <s v="France"/>
    <x v="148"/>
    <s v="Université Nice Sophia Antipolis"/>
    <s v="Computer Engineering"/>
    <s v="Bachelor"/>
    <n v="3"/>
    <n v="3900"/>
    <n v="69.2"/>
    <n v="900"/>
    <n v="99"/>
    <n v="650"/>
    <n v="0.92"/>
    <n v="38349"/>
    <n v="12783"/>
    <n v="32400"/>
    <n v="34449"/>
    <n v="0.10169756708127982"/>
  </r>
  <r>
    <s v="France"/>
    <x v="149"/>
    <s v="University of Bordeaux"/>
    <s v="Information Systems"/>
    <s v="Master"/>
    <n v="2"/>
    <n v="4200"/>
    <n v="67.8"/>
    <n v="850"/>
    <n v="99"/>
    <n v="650"/>
    <n v="0.92"/>
    <n v="25999"/>
    <n v="12999.5"/>
    <n v="20400"/>
    <n v="21799"/>
    <n v="0.16154467479518442"/>
  </r>
  <r>
    <s v="France"/>
    <x v="150"/>
    <s v="Université de Lille"/>
    <s v="Software Development"/>
    <s v="Bachelor"/>
    <n v="3"/>
    <n v="3800"/>
    <n v="65.5"/>
    <n v="750"/>
    <n v="99"/>
    <n v="650"/>
    <n v="0.92"/>
    <n v="32849"/>
    <n v="10949.666666666666"/>
    <n v="27000"/>
    <n v="29049"/>
    <n v="0.11568084264361168"/>
  </r>
  <r>
    <s v="France"/>
    <x v="151"/>
    <s v="INSA Rennes"/>
    <s v="Cybersecurity"/>
    <s v="Master"/>
    <n v="2"/>
    <n v="4500"/>
    <n v="64.8"/>
    <n v="700"/>
    <n v="99"/>
    <n v="650"/>
    <n v="0.92"/>
    <n v="22699"/>
    <n v="11349.5"/>
    <n v="16800"/>
    <n v="18199"/>
    <n v="0.19824661879377947"/>
  </r>
  <r>
    <s v="France"/>
    <x v="152"/>
    <s v="University of Strasbourg"/>
    <s v="Digital Systems"/>
    <s v="Bachelor"/>
    <n v="3"/>
    <n v="3900"/>
    <n v="66.2"/>
    <n v="800"/>
    <n v="99"/>
    <n v="650"/>
    <n v="0.92"/>
    <n v="34749"/>
    <n v="11583"/>
    <n v="28800"/>
    <n v="30849"/>
    <n v="0.1122334455667789"/>
  </r>
  <r>
    <s v="France"/>
    <x v="153"/>
    <s v="University of Montpellier"/>
    <s v="Data Engineering"/>
    <s v="Master"/>
    <n v="2"/>
    <n v="4100"/>
    <n v="65.900000000000006"/>
    <n v="750"/>
    <n v="99"/>
    <n v="650"/>
    <n v="0.92"/>
    <n v="23499"/>
    <n v="11749.5"/>
    <n v="18000"/>
    <n v="19399"/>
    <n v="0.17447550959615302"/>
  </r>
  <r>
    <s v="Switzerland"/>
    <x v="154"/>
    <s v="EPFL"/>
    <s v="Computer Science"/>
    <s v="Master"/>
    <n v="2"/>
    <n v="1460"/>
    <n v="89.8"/>
    <n v="1900"/>
    <n v="88"/>
    <n v="1200"/>
    <n v="0.89"/>
    <n v="49548"/>
    <n v="24774"/>
    <n v="45600"/>
    <n v="48088"/>
    <n v="2.9466376039396142E-2"/>
  </r>
  <r>
    <s v="Switzerland"/>
    <x v="155"/>
    <s v="University of Geneva"/>
    <s v="Data Science"/>
    <s v="Bachelor"/>
    <n v="3"/>
    <n v="1380"/>
    <n v="90.5"/>
    <n v="2000"/>
    <n v="88"/>
    <n v="1200"/>
    <n v="0.89"/>
    <n v="77068"/>
    <n v="25689.333333333332"/>
    <n v="72000"/>
    <n v="75688"/>
    <n v="1.7906264597498313E-2"/>
  </r>
  <r>
    <s v="Switzerland"/>
    <x v="156"/>
    <s v="University of Bern"/>
    <s v="Software Engineering"/>
    <s v="Master"/>
    <n v="2"/>
    <n v="1420"/>
    <n v="85.4"/>
    <n v="1700"/>
    <n v="88"/>
    <n v="1200"/>
    <n v="0.89"/>
    <n v="44708"/>
    <n v="22354"/>
    <n v="40800"/>
    <n v="43288"/>
    <n v="3.1761653395365484E-2"/>
  </r>
  <r>
    <s v="Switzerland"/>
    <x v="157"/>
    <s v="University of St. Gallen"/>
    <s v="Business Informatics"/>
    <s v="Bachelor"/>
    <n v="3"/>
    <n v="1440"/>
    <n v="86.2"/>
    <n v="1600"/>
    <n v="88"/>
    <n v="1200"/>
    <n v="0.89"/>
    <n v="62728"/>
    <n v="20909.333333333332"/>
    <n v="57600"/>
    <n v="61288"/>
    <n v="2.2956255579645455E-2"/>
  </r>
  <r>
    <s v="Switzerland"/>
    <x v="158"/>
    <s v="USI"/>
    <s v="Artificial Intelligence"/>
    <s v="Master"/>
    <n v="2"/>
    <n v="1460"/>
    <n v="84.5"/>
    <n v="1500"/>
    <n v="88"/>
    <n v="1200"/>
    <n v="0.89"/>
    <n v="39948"/>
    <n v="19974"/>
    <n v="36000"/>
    <n v="38488"/>
    <n v="3.6547511765294881E-2"/>
  </r>
  <r>
    <s v="Switzerland"/>
    <x v="159"/>
    <s v="University of Fribourg"/>
    <s v="Computer Engineering"/>
    <s v="Bachelor"/>
    <n v="3"/>
    <n v="1380"/>
    <n v="83.8"/>
    <n v="1400"/>
    <n v="88"/>
    <n v="1200"/>
    <n v="0.89"/>
    <n v="55468"/>
    <n v="18489.333333333332"/>
    <n v="50400"/>
    <n v="54088"/>
    <n v="2.4879209634383788E-2"/>
  </r>
  <r>
    <s v="Switzerland"/>
    <x v="160"/>
    <s v="University of Neuchatel"/>
    <s v="Information Systems"/>
    <s v="Master"/>
    <n v="2"/>
    <n v="1420"/>
    <n v="84.2"/>
    <n v="1500"/>
    <n v="88"/>
    <n v="1200"/>
    <n v="0.89"/>
    <n v="39908"/>
    <n v="19954"/>
    <n v="36000"/>
    <n v="38488"/>
    <n v="3.5581838227924226E-2"/>
  </r>
  <r>
    <s v="Switzerland"/>
    <x v="33"/>
    <s v="University of Basel"/>
    <s v="Computational Science"/>
    <s v="Master"/>
    <n v="2"/>
    <n v="1440"/>
    <n v="87.5"/>
    <n v="1800"/>
    <n v="88"/>
    <n v="1200"/>
    <n v="0.89"/>
    <n v="47128"/>
    <n v="23564"/>
    <n v="43200"/>
    <n v="45688"/>
    <n v="3.0555084026481074E-2"/>
  </r>
  <r>
    <s v="Switzerland"/>
    <x v="161"/>
    <s v="University of Lucerne"/>
    <s v="Digital Innovation"/>
    <s v="Bachelor"/>
    <n v="3"/>
    <n v="1380"/>
    <n v="85.8"/>
    <n v="1600"/>
    <n v="88"/>
    <n v="1200"/>
    <n v="0.89"/>
    <n v="62668"/>
    <n v="20889.333333333332"/>
    <n v="57600"/>
    <n v="61288"/>
    <n v="2.2020808067913449E-2"/>
  </r>
  <r>
    <s v="Switzerland"/>
    <x v="162"/>
    <s v="ZHAW"/>
    <s v="Data Engineering"/>
    <s v="Master"/>
    <n v="2"/>
    <n v="1460"/>
    <n v="86.4"/>
    <n v="1700"/>
    <n v="88"/>
    <n v="1200"/>
    <n v="0.89"/>
    <n v="44748"/>
    <n v="22374"/>
    <n v="40800"/>
    <n v="43288"/>
    <n v="3.2627156520961834E-2"/>
  </r>
  <r>
    <s v="Denmark"/>
    <x v="11"/>
    <s v="University of Copenhagen"/>
    <s v="Computer Science"/>
    <s v="Master"/>
    <n v="2"/>
    <n v="8800"/>
    <n v="83.2"/>
    <n v="1500"/>
    <n v="110"/>
    <n v="600"/>
    <n v="0.15"/>
    <n v="46110"/>
    <n v="23055"/>
    <n v="36000"/>
    <n v="37310"/>
    <n v="0.19084797224029496"/>
  </r>
  <r>
    <s v="Denmark"/>
    <x v="163"/>
    <s v="Aarhus University"/>
    <s v="Data Science"/>
    <s v="Master"/>
    <n v="2"/>
    <n v="8600"/>
    <n v="77.400000000000006"/>
    <n v="1200"/>
    <n v="110"/>
    <n v="600"/>
    <n v="0.15"/>
    <n v="38710"/>
    <n v="19355"/>
    <n v="28800"/>
    <n v="30110"/>
    <n v="0.22216481529320589"/>
  </r>
  <r>
    <s v="Denmark"/>
    <x v="43"/>
    <s v="Aalborg University"/>
    <s v="Software Engineering"/>
    <s v="Master"/>
    <n v="2"/>
    <n v="8400"/>
    <n v="75.099999999999994"/>
    <n v="1000"/>
    <n v="110"/>
    <n v="600"/>
    <n v="0.15"/>
    <n v="33710"/>
    <n v="16855"/>
    <n v="24000"/>
    <n v="25310"/>
    <n v="0.24918421833283891"/>
  </r>
  <r>
    <s v="China"/>
    <x v="12"/>
    <s v="Tsinghua University"/>
    <s v="Computer Science"/>
    <s v="Master"/>
    <n v="3"/>
    <n v="8900"/>
    <n v="51.2"/>
    <n v="800"/>
    <n v="140"/>
    <n v="400"/>
    <n v="7.15"/>
    <n v="39040"/>
    <n v="13013.333333333334"/>
    <n v="28800"/>
    <n v="30140"/>
    <n v="0.22797131147540983"/>
  </r>
  <r>
    <s v="China"/>
    <x v="12"/>
    <s v="Peking University"/>
    <s v="Data Science"/>
    <s v="Master"/>
    <n v="3"/>
    <n v="8500"/>
    <n v="51.2"/>
    <n v="750"/>
    <n v="140"/>
    <n v="400"/>
    <n v="7.15"/>
    <n v="36840"/>
    <n v="12280"/>
    <n v="27000"/>
    <n v="28340"/>
    <n v="0.23072747014115091"/>
  </r>
  <r>
    <s v="China"/>
    <x v="164"/>
    <s v="Fudan University"/>
    <s v="Software Engineering"/>
    <s v="Master"/>
    <n v="2.5"/>
    <n v="7800"/>
    <n v="48.9"/>
    <n v="700"/>
    <n v="140"/>
    <n v="400"/>
    <n v="7.15"/>
    <n v="29940"/>
    <n v="11976"/>
    <n v="21000"/>
    <n v="22140"/>
    <n v="0.26052104208416832"/>
  </r>
  <r>
    <s v="China"/>
    <x v="164"/>
    <s v="Shanghai Jiao Tong University"/>
    <s v="Artificial Intelligence"/>
    <s v="Master"/>
    <n v="2.5"/>
    <n v="8200"/>
    <n v="48.9"/>
    <n v="720"/>
    <n v="140"/>
    <n v="400"/>
    <n v="7.15"/>
    <n v="30940"/>
    <n v="12376"/>
    <n v="21600"/>
    <n v="22740"/>
    <n v="0.26502908855850033"/>
  </r>
  <r>
    <s v="China"/>
    <x v="165"/>
    <s v="Zhejiang University"/>
    <s v="Computer Engineering"/>
    <s v="Master"/>
    <n v="3"/>
    <n v="7500"/>
    <n v="45.3"/>
    <n v="550"/>
    <n v="140"/>
    <n v="400"/>
    <n v="7.15"/>
    <n v="28640"/>
    <n v="9546.6666666666661"/>
    <n v="19800"/>
    <n v="21140"/>
    <n v="0.26187150837988826"/>
  </r>
  <r>
    <s v="China"/>
    <x v="166"/>
    <s v="Nanjing University"/>
    <s v="Information Technology"/>
    <s v="Master"/>
    <n v="3"/>
    <n v="7200"/>
    <n v="44.1"/>
    <n v="500"/>
    <n v="140"/>
    <n v="400"/>
    <n v="7.15"/>
    <n v="26540"/>
    <n v="8846.6666666666661"/>
    <n v="18000"/>
    <n v="19340"/>
    <n v="0.27128862094951017"/>
  </r>
  <r>
    <s v="China"/>
    <x v="167"/>
    <s v="Sun Yat-sen University"/>
    <s v="Computer Science"/>
    <s v="Master"/>
    <n v="3"/>
    <n v="6900"/>
    <n v="43.8"/>
    <n v="480"/>
    <n v="140"/>
    <n v="400"/>
    <n v="7.15"/>
    <n v="25520"/>
    <n v="8506.6666666666661"/>
    <n v="17280"/>
    <n v="18620"/>
    <n v="0.27037617554858934"/>
  </r>
  <r>
    <s v="China"/>
    <x v="168"/>
    <s v="Wuhan University"/>
    <s v="Software Engineering"/>
    <s v="Master"/>
    <n v="3"/>
    <n v="6500"/>
    <n v="41.2"/>
    <n v="450"/>
    <n v="140"/>
    <n v="400"/>
    <n v="7.15"/>
    <n v="24040"/>
    <n v="8013.333333333333"/>
    <n v="16200"/>
    <n v="17540"/>
    <n v="0.2703826955074875"/>
  </r>
  <r>
    <s v="China"/>
    <x v="169"/>
    <s v="Xi'an Jiaotong University"/>
    <s v="Data Science"/>
    <s v="Master"/>
    <n v="3"/>
    <n v="6300"/>
    <n v="40.5"/>
    <n v="420"/>
    <n v="140"/>
    <n v="400"/>
    <n v="7.15"/>
    <n v="22760"/>
    <n v="7586.666666666667"/>
    <n v="15120"/>
    <n v="16460"/>
    <n v="0.27680140597539543"/>
  </r>
  <r>
    <s v="China"/>
    <x v="170"/>
    <s v="Sichuan University"/>
    <s v="Computer Engineering"/>
    <s v="Master"/>
    <n v="3"/>
    <n v="6100"/>
    <n v="39.799999999999997"/>
    <n v="400"/>
    <n v="140"/>
    <n v="400"/>
    <n v="7.15"/>
    <n v="21840"/>
    <n v="7280"/>
    <n v="14400"/>
    <n v="15740"/>
    <n v="0.27930402930402931"/>
  </r>
  <r>
    <s v="South Korea"/>
    <x v="13"/>
    <s v="Seoul National University"/>
    <s v="Computer Science"/>
    <s v="Master"/>
    <n v="2"/>
    <n v="7200"/>
    <n v="85.1"/>
    <n v="950"/>
    <n v="90"/>
    <n v="800"/>
    <n v="1300"/>
    <n v="31690"/>
    <n v="15845"/>
    <n v="22800"/>
    <n v="24490"/>
    <n v="0.22720100978226571"/>
  </r>
  <r>
    <s v="South Korea"/>
    <x v="13"/>
    <s v="Korea University"/>
    <s v="Artificial Intelligence"/>
    <s v="Master"/>
    <n v="2"/>
    <n v="7000"/>
    <n v="85.1"/>
    <n v="920"/>
    <n v="90"/>
    <n v="800"/>
    <n v="1300"/>
    <n v="30770"/>
    <n v="15385"/>
    <n v="22080"/>
    <n v="23770"/>
    <n v="0.22749431264218395"/>
  </r>
  <r>
    <s v="South Korea"/>
    <x v="13"/>
    <s v="Yonsei University"/>
    <s v="Data Science"/>
    <s v="Master"/>
    <n v="2"/>
    <n v="6900"/>
    <n v="85.1"/>
    <n v="900"/>
    <n v="90"/>
    <n v="800"/>
    <n v="1300"/>
    <n v="30190"/>
    <n v="15095"/>
    <n v="21600"/>
    <n v="23290"/>
    <n v="0.22855250082808878"/>
  </r>
  <r>
    <s v="South Korea"/>
    <x v="13"/>
    <s v="Hanyang University"/>
    <s v="Software Engineering"/>
    <s v="Master"/>
    <n v="2"/>
    <n v="6500"/>
    <n v="85.1"/>
    <n v="850"/>
    <n v="90"/>
    <n v="800"/>
    <n v="1300"/>
    <n v="28590"/>
    <n v="14295"/>
    <n v="20400"/>
    <n v="22090"/>
    <n v="0.22735222105631339"/>
  </r>
  <r>
    <s v="South Korea"/>
    <x v="13"/>
    <s v="Sungkyunkwan University"/>
    <s v="Computer Engineering"/>
    <s v="Master"/>
    <n v="2"/>
    <n v="6400"/>
    <n v="85.1"/>
    <n v="840"/>
    <n v="90"/>
    <n v="800"/>
    <n v="1300"/>
    <n v="28250"/>
    <n v="14125"/>
    <n v="20160"/>
    <n v="21850"/>
    <n v="0.22654867256637168"/>
  </r>
  <r>
    <s v="South Korea"/>
    <x v="46"/>
    <s v="KAIST"/>
    <s v="Robotics Engineering"/>
    <s v="Master"/>
    <n v="2"/>
    <n v="6800"/>
    <n v="75.400000000000006"/>
    <n v="700"/>
    <n v="90"/>
    <n v="800"/>
    <n v="1300"/>
    <n v="25290"/>
    <n v="12645"/>
    <n v="16800"/>
    <n v="18490"/>
    <n v="0.26888098062475285"/>
  </r>
  <r>
    <s v="South Korea"/>
    <x v="46"/>
    <s v="Chungnam National University"/>
    <s v="Information Systems"/>
    <s v="Master"/>
    <n v="2"/>
    <n v="5900"/>
    <n v="75.400000000000006"/>
    <n v="650"/>
    <n v="90"/>
    <n v="800"/>
    <n v="1300"/>
    <n v="23190"/>
    <n v="11595"/>
    <n v="15600"/>
    <n v="17290"/>
    <n v="0.25442000862440706"/>
  </r>
  <r>
    <s v="South Korea"/>
    <x v="15"/>
    <s v="Pusan National University"/>
    <s v="Computer Science"/>
    <s v="Master"/>
    <n v="2"/>
    <n v="5800"/>
    <n v="73.2"/>
    <n v="600"/>
    <n v="90"/>
    <n v="800"/>
    <n v="1300"/>
    <n v="21890"/>
    <n v="10945"/>
    <n v="14400"/>
    <n v="16090"/>
    <n v="0.26496116948378257"/>
  </r>
  <r>
    <s v="South Korea"/>
    <x v="15"/>
    <s v="Dong-A University"/>
    <s v="Software Engineering"/>
    <s v="Master"/>
    <n v="2"/>
    <n v="5600"/>
    <n v="73.2"/>
    <n v="580"/>
    <n v="90"/>
    <n v="800"/>
    <n v="1300"/>
    <n v="21210"/>
    <n v="10605"/>
    <n v="13920"/>
    <n v="15610"/>
    <n v="0.264026402640264"/>
  </r>
  <r>
    <s v="South Korea"/>
    <x v="171"/>
    <s v="Kyungpook National University"/>
    <s v="Data Analytics"/>
    <s v="Master"/>
    <n v="2"/>
    <n v="5500"/>
    <n v="71.8"/>
    <n v="550"/>
    <n v="90"/>
    <n v="800"/>
    <n v="1300"/>
    <n v="20390"/>
    <n v="10195"/>
    <n v="13200"/>
    <n v="14890"/>
    <n v="0.26974006866110839"/>
  </r>
  <r>
    <s v="South Korea"/>
    <x v="171"/>
    <s v="Yeungnam University"/>
    <s v="Computer Engineering"/>
    <s v="Master"/>
    <n v="2"/>
    <n v="5400"/>
    <n v="71.8"/>
    <n v="530"/>
    <n v="90"/>
    <n v="800"/>
    <n v="1300"/>
    <n v="19810"/>
    <n v="9905"/>
    <n v="12720"/>
    <n v="14410"/>
    <n v="0.27258960121150932"/>
  </r>
  <r>
    <s v="South Korea"/>
    <x v="172"/>
    <s v="Chonnam National University"/>
    <s v="Information Technology"/>
    <s v="Master"/>
    <n v="2"/>
    <n v="5300"/>
    <n v="70.5"/>
    <n v="520"/>
    <n v="90"/>
    <n v="800"/>
    <n v="1300"/>
    <n v="19470"/>
    <n v="9735"/>
    <n v="12480"/>
    <n v="14170"/>
    <n v="0.27221366204417052"/>
  </r>
  <r>
    <s v="South Korea"/>
    <x v="172"/>
    <s v="Chosun University"/>
    <s v="Computer Science"/>
    <s v="Master"/>
    <n v="2"/>
    <n v="5200"/>
    <n v="70.5"/>
    <n v="500"/>
    <n v="90"/>
    <n v="800"/>
    <n v="1300"/>
    <n v="18890"/>
    <n v="9445"/>
    <n v="12000"/>
    <n v="13690"/>
    <n v="0.27527792482795127"/>
  </r>
  <r>
    <s v="South Korea"/>
    <x v="173"/>
    <s v="Ulsan National Institute of Science and Technology"/>
    <s v="AI Engineering"/>
    <s v="Master"/>
    <n v="2"/>
    <n v="6100"/>
    <n v="72.3"/>
    <n v="580"/>
    <n v="90"/>
    <n v="800"/>
    <n v="1300"/>
    <n v="21710"/>
    <n v="10855"/>
    <n v="13920"/>
    <n v="15610"/>
    <n v="0.2809765085214187"/>
  </r>
  <r>
    <s v="South Korea"/>
    <x v="173"/>
    <s v="University of Ulsan"/>
    <s v="Software Systems"/>
    <s v="Master"/>
    <n v="2"/>
    <n v="5100"/>
    <n v="72.3"/>
    <n v="550"/>
    <n v="90"/>
    <n v="800"/>
    <n v="1300"/>
    <n v="19990"/>
    <n v="9995"/>
    <n v="13200"/>
    <n v="14890"/>
    <n v="0.25512756378189094"/>
  </r>
  <r>
    <s v="South Korea"/>
    <x v="174"/>
    <s v="POSTECH"/>
    <s v="Computer Engineering"/>
    <s v="Master"/>
    <n v="2"/>
    <n v="6300"/>
    <n v="71.2"/>
    <n v="570"/>
    <n v="90"/>
    <n v="800"/>
    <n v="1300"/>
    <n v="21670"/>
    <n v="10835"/>
    <n v="13680"/>
    <n v="15370"/>
    <n v="0.29072450392247345"/>
  </r>
  <r>
    <s v="South Korea"/>
    <x v="175"/>
    <s v="Incheon National University"/>
    <s v="Data Science"/>
    <s v="Master"/>
    <n v="2"/>
    <n v="5000"/>
    <n v="76.400000000000006"/>
    <n v="600"/>
    <n v="90"/>
    <n v="800"/>
    <n v="1300"/>
    <n v="21090"/>
    <n v="10545"/>
    <n v="14400"/>
    <n v="16090"/>
    <n v="0.23707918444760551"/>
  </r>
  <r>
    <s v="South Korea"/>
    <x v="176"/>
    <s v="Sungkyunkwan University (Suwon)"/>
    <s v="Computer Systems"/>
    <s v="Master"/>
    <n v="2"/>
    <n v="5900"/>
    <n v="77.8"/>
    <n v="650"/>
    <n v="90"/>
    <n v="800"/>
    <n v="1300"/>
    <n v="23190"/>
    <n v="11595"/>
    <n v="15600"/>
    <n v="17290"/>
    <n v="0.25442000862440706"/>
  </r>
  <r>
    <s v="South Korea"/>
    <x v="46"/>
    <s v="Hanbat National University"/>
    <s v="Information Security"/>
    <s v="Master"/>
    <n v="2"/>
    <n v="4900"/>
    <n v="75.400000000000006"/>
    <n v="540"/>
    <n v="90"/>
    <n v="800"/>
    <n v="1300"/>
    <n v="19550"/>
    <n v="9775"/>
    <n v="12960"/>
    <n v="14650"/>
    <n v="0.2506393861892583"/>
  </r>
  <r>
    <s v="South Korea"/>
    <x v="177"/>
    <s v="Chungbuk National University"/>
    <s v="Computer Networks"/>
    <s v="Master"/>
    <n v="2"/>
    <n v="4800"/>
    <n v="70.099999999999994"/>
    <n v="520"/>
    <n v="90"/>
    <n v="800"/>
    <n v="1300"/>
    <n v="18970"/>
    <n v="9485"/>
    <n v="12480"/>
    <n v="14170"/>
    <n v="0.25303110173958882"/>
  </r>
  <r>
    <s v="USA"/>
    <x v="29"/>
    <s v="Stanford University"/>
    <s v="Computer Science"/>
    <s v="Bachelor"/>
    <n v="4"/>
    <n v="57000"/>
    <n v="95.2"/>
    <n v="2400"/>
    <n v="160"/>
    <n v="1500"/>
    <n v="1"/>
    <n v="178360"/>
    <n v="44590"/>
    <n v="115200"/>
    <n v="121360"/>
    <n v="0.3195783808028706"/>
  </r>
  <r>
    <s v="USA"/>
    <x v="0"/>
    <s v="MIT"/>
    <s v="Computer Science"/>
    <s v="Bachelor"/>
    <n v="4"/>
    <n v="55800"/>
    <n v="83.5"/>
    <n v="2300"/>
    <n v="160"/>
    <n v="1500"/>
    <n v="1"/>
    <n v="172360"/>
    <n v="43090"/>
    <n v="110400"/>
    <n v="116560"/>
    <n v="0.32374100719424459"/>
  </r>
  <r>
    <s v="USA"/>
    <x v="178"/>
    <s v="Yale University"/>
    <s v="Computer Science"/>
    <s v="Bachelor"/>
    <n v="4"/>
    <n v="54500"/>
    <n v="79.8"/>
    <n v="2100"/>
    <n v="160"/>
    <n v="1500"/>
    <n v="1"/>
    <n v="161460"/>
    <n v="40365"/>
    <n v="100800"/>
    <n v="106960"/>
    <n v="0.33754490276229404"/>
  </r>
  <r>
    <s v="USA"/>
    <x v="179"/>
    <s v="Princeton University"/>
    <s v="Computer Science"/>
    <s v="Bachelor"/>
    <n v="4"/>
    <n v="54000"/>
    <n v="81.2"/>
    <n v="2000"/>
    <n v="160"/>
    <n v="1500"/>
    <n v="1"/>
    <n v="156160"/>
    <n v="39040"/>
    <n v="96000"/>
    <n v="102160"/>
    <n v="0.34579918032786883"/>
  </r>
  <r>
    <s v="USA"/>
    <x v="88"/>
    <s v="University of Pennsylvania"/>
    <s v="Computer Science"/>
    <s v="Bachelor"/>
    <n v="4"/>
    <n v="53500"/>
    <n v="82.4"/>
    <n v="1900"/>
    <n v="160"/>
    <n v="1500"/>
    <n v="1"/>
    <n v="150860"/>
    <n v="37715"/>
    <n v="91200"/>
    <n v="97360"/>
    <n v="0.35463343497282246"/>
  </r>
  <r>
    <s v="USA"/>
    <x v="180"/>
    <s v="UCLA"/>
    <s v="Computer Science"/>
    <s v="Bachelor"/>
    <n v="4"/>
    <n v="43000"/>
    <n v="88.7"/>
    <n v="2200"/>
    <n v="160"/>
    <n v="1500"/>
    <n v="1"/>
    <n v="154760"/>
    <n v="38690"/>
    <n v="105600"/>
    <n v="111760"/>
    <n v="0.27784957353321271"/>
  </r>
  <r>
    <s v="USA"/>
    <x v="48"/>
    <s v="UC Berkeley"/>
    <s v="Computer Science"/>
    <s v="Bachelor"/>
    <n v="4"/>
    <n v="43500"/>
    <n v="91.5"/>
    <n v="2300"/>
    <n v="160"/>
    <n v="1500"/>
    <n v="1"/>
    <n v="160060"/>
    <n v="40015"/>
    <n v="110400"/>
    <n v="116560"/>
    <n v="0.27177308509309012"/>
  </r>
  <r>
    <s v="USA"/>
    <x v="19"/>
    <s v="University of Michigan"/>
    <s v="Computer Science"/>
    <s v="Bachelor"/>
    <n v="4"/>
    <n v="52000"/>
    <n v="75.400000000000006"/>
    <n v="1700"/>
    <n v="160"/>
    <n v="1500"/>
    <n v="1"/>
    <n v="139760"/>
    <n v="34940"/>
    <n v="81600"/>
    <n v="87760"/>
    <n v="0.3720663995420721"/>
  </r>
  <r>
    <s v="USA"/>
    <x v="21"/>
    <s v="University of Texas Austin"/>
    <s v="Computer Science"/>
    <s v="Bachelor"/>
    <n v="4"/>
    <n v="40500"/>
    <n v="72.8"/>
    <n v="1800"/>
    <n v="160"/>
    <n v="1500"/>
    <n v="1"/>
    <n v="133060"/>
    <n v="33265"/>
    <n v="86400"/>
    <n v="92560"/>
    <n v="0.30437396663159477"/>
  </r>
  <r>
    <s v="USA"/>
    <x v="39"/>
    <s v="University of Washington"/>
    <s v="Computer Science"/>
    <s v="Bachelor"/>
    <n v="4"/>
    <n v="39800"/>
    <n v="85.6"/>
    <n v="2000"/>
    <n v="160"/>
    <n v="1500"/>
    <n v="1"/>
    <n v="141960"/>
    <n v="35490"/>
    <n v="96000"/>
    <n v="102160"/>
    <n v="0.28036066497604961"/>
  </r>
  <r>
    <s v="USA"/>
    <x v="93"/>
    <s v="University of Wisconsin-Madison"/>
    <s v="Computer Science"/>
    <s v="Bachelor"/>
    <n v="4"/>
    <n v="37500"/>
    <n v="71.2"/>
    <n v="1600"/>
    <n v="160"/>
    <n v="1500"/>
    <n v="1"/>
    <n v="120460"/>
    <n v="30115"/>
    <n v="76800"/>
    <n v="82960"/>
    <n v="0.31130665781172173"/>
  </r>
  <r>
    <s v="USA"/>
    <x v="181"/>
    <s v="University of Illinois Urbana-Champaign"/>
    <s v="Computer Science"/>
    <s v="Bachelor"/>
    <n v="4"/>
    <n v="36800"/>
    <n v="70.5"/>
    <n v="1500"/>
    <n v="160"/>
    <n v="1500"/>
    <n v="1"/>
    <n v="114960"/>
    <n v="28740"/>
    <n v="72000"/>
    <n v="78160"/>
    <n v="0.32011134307585248"/>
  </r>
  <r>
    <s v="USA"/>
    <x v="20"/>
    <s v="Georgia Tech"/>
    <s v="Computer Science"/>
    <s v="Bachelor"/>
    <n v="4"/>
    <n v="33500"/>
    <n v="76.8"/>
    <n v="1700"/>
    <n v="160"/>
    <n v="1500"/>
    <n v="1"/>
    <n v="121260"/>
    <n v="30315"/>
    <n v="81600"/>
    <n v="87760"/>
    <n v="0.27626587497938315"/>
  </r>
  <r>
    <s v="USA"/>
    <x v="182"/>
    <s v="Ohio State University"/>
    <s v="Computer Science"/>
    <s v="Bachelor"/>
    <n v="4"/>
    <n v="32800"/>
    <n v="71.400000000000006"/>
    <n v="1400"/>
    <n v="160"/>
    <n v="1500"/>
    <n v="1"/>
    <n v="106160"/>
    <n v="26540"/>
    <n v="67200"/>
    <n v="73360"/>
    <n v="0.30896759608138658"/>
  </r>
  <r>
    <s v="USA"/>
    <x v="183"/>
    <s v="Purdue University"/>
    <s v="Computer Science"/>
    <s v="Bachelor"/>
    <n v="4"/>
    <n v="31500"/>
    <n v="68.900000000000006"/>
    <n v="1300"/>
    <n v="160"/>
    <n v="1500"/>
    <n v="1"/>
    <n v="100060"/>
    <n v="25015"/>
    <n v="62400"/>
    <n v="68560"/>
    <n v="0.31481111333200079"/>
  </r>
  <r>
    <s v="USA"/>
    <x v="184"/>
    <s v="University of Florida"/>
    <s v="Computer Science"/>
    <s v="Bachelor"/>
    <n v="4"/>
    <n v="28500"/>
    <n v="70.2"/>
    <n v="1400"/>
    <n v="160"/>
    <n v="1500"/>
    <n v="1"/>
    <n v="101860"/>
    <n v="25465"/>
    <n v="67200"/>
    <n v="73360"/>
    <n v="0.27979579815432948"/>
  </r>
  <r>
    <s v="USA"/>
    <x v="94"/>
    <s v="Arizona State University"/>
    <s v="Computer Science"/>
    <s v="Bachelor"/>
    <n v="4"/>
    <n v="28000"/>
    <n v="72.5"/>
    <n v="1500"/>
    <n v="160"/>
    <n v="1500"/>
    <n v="1"/>
    <n v="106160"/>
    <n v="26540"/>
    <n v="72000"/>
    <n v="78160"/>
    <n v="0.26375282592313487"/>
  </r>
  <r>
    <s v="USA"/>
    <x v="185"/>
    <s v="NC State University"/>
    <s v="Computer Science"/>
    <s v="Bachelor"/>
    <n v="4"/>
    <n v="27500"/>
    <n v="71.8"/>
    <n v="1400"/>
    <n v="160"/>
    <n v="1500"/>
    <n v="1"/>
    <n v="100860"/>
    <n v="25215"/>
    <n v="67200"/>
    <n v="73360"/>
    <n v="0.27265516557604602"/>
  </r>
  <r>
    <s v="USA"/>
    <x v="186"/>
    <s v="Texas A&amp;M University"/>
    <s v="Computer Science"/>
    <s v="Bachelor"/>
    <n v="4"/>
    <n v="27000"/>
    <n v="69.5"/>
    <n v="1300"/>
    <n v="160"/>
    <n v="1500"/>
    <n v="1"/>
    <n v="95560"/>
    <n v="23890"/>
    <n v="62400"/>
    <n v="68560"/>
    <n v="0.2825449979070741"/>
  </r>
  <r>
    <s v="USA"/>
    <x v="187"/>
    <s v="Oregon State University"/>
    <s v="Computer Science"/>
    <s v="Bachelor"/>
    <n v="4"/>
    <n v="26500"/>
    <n v="70.099999999999994"/>
    <n v="1300"/>
    <n v="160"/>
    <n v="1500"/>
    <n v="1"/>
    <n v="95060"/>
    <n v="23765"/>
    <n v="62400"/>
    <n v="68560"/>
    <n v="0.27877130233536712"/>
  </r>
  <r>
    <s v="UK"/>
    <x v="0"/>
    <s v="University of Cambridge"/>
    <s v="Computer Science"/>
    <s v="Bachelor"/>
    <n v="3"/>
    <n v="38500"/>
    <n v="78.5"/>
    <n v="1800"/>
    <n v="490"/>
    <n v="800"/>
    <n v="0.79"/>
    <n v="106190"/>
    <n v="35396.666666666664"/>
    <n v="64800"/>
    <n v="67690"/>
    <n v="0.36255767963085034"/>
  </r>
  <r>
    <s v="UK"/>
    <x v="31"/>
    <s v="University of Oxford"/>
    <s v="Computer Science"/>
    <s v="Bachelor"/>
    <n v="3"/>
    <n v="37900"/>
    <n v="77.8"/>
    <n v="1850"/>
    <n v="490"/>
    <n v="800"/>
    <n v="0.79"/>
    <n v="107390"/>
    <n v="35796.666666666664"/>
    <n v="66600"/>
    <n v="69490"/>
    <n v="0.35291926622590558"/>
  </r>
  <r>
    <s v="UK"/>
    <x v="1"/>
    <s v="Imperial College London"/>
    <s v="Computer Science"/>
    <s v="Bachelor"/>
    <n v="3"/>
    <n v="37500"/>
    <n v="83.2"/>
    <n v="2200"/>
    <n v="490"/>
    <n v="800"/>
    <n v="0.79"/>
    <n v="119590"/>
    <n v="39863.333333333336"/>
    <n v="79200"/>
    <n v="82090"/>
    <n v="0.3135713688435488"/>
  </r>
  <r>
    <s v="UK"/>
    <x v="1"/>
    <s v="University College London"/>
    <s v="Computer Science"/>
    <s v="Bachelor"/>
    <n v="3"/>
    <n v="36800"/>
    <n v="83.2"/>
    <n v="2100"/>
    <n v="490"/>
    <n v="800"/>
    <n v="0.79"/>
    <n v="115290"/>
    <n v="38430"/>
    <n v="75600"/>
    <n v="78490"/>
    <n v="0.31919507329343394"/>
  </r>
  <r>
    <s v="UK"/>
    <x v="1"/>
    <s v="King's College London"/>
    <s v="Computer Science"/>
    <s v="Bachelor"/>
    <n v="3"/>
    <n v="35500"/>
    <n v="83.2"/>
    <n v="2000"/>
    <n v="490"/>
    <n v="800"/>
    <n v="0.79"/>
    <n v="110390"/>
    <n v="36796.666666666664"/>
    <n v="72000"/>
    <n v="74890"/>
    <n v="0.32158710028082255"/>
  </r>
  <r>
    <s v="UK"/>
    <x v="188"/>
    <s v="University of Edinburgh"/>
    <s v="Computer Science"/>
    <s v="Bachelor"/>
    <n v="4"/>
    <n v="32500"/>
    <n v="75.400000000000006"/>
    <n v="1600"/>
    <n v="490"/>
    <n v="800"/>
    <n v="0.79"/>
    <n v="112990"/>
    <n v="28247.5"/>
    <n v="76800"/>
    <n v="80490"/>
    <n v="0.28763607398884855"/>
  </r>
  <r>
    <s v="UK"/>
    <x v="49"/>
    <s v="University of Manchester"/>
    <s v="Computer Science"/>
    <s v="Bachelor"/>
    <n v="3"/>
    <n v="31800"/>
    <n v="72.099999999999994"/>
    <n v="1400"/>
    <n v="490"/>
    <n v="800"/>
    <n v="0.79"/>
    <n v="85090"/>
    <n v="28363.333333333332"/>
    <n v="50400"/>
    <n v="53290"/>
    <n v="0.37372194147373372"/>
  </r>
  <r>
    <s v="UK"/>
    <x v="22"/>
    <s v="University of Bristol"/>
    <s v="Computer Science"/>
    <s v="Bachelor"/>
    <n v="3"/>
    <n v="31500"/>
    <n v="74.8"/>
    <n v="1500"/>
    <n v="490"/>
    <n v="800"/>
    <n v="0.79"/>
    <n v="88390"/>
    <n v="29463.333333333332"/>
    <n v="54000"/>
    <n v="56890"/>
    <n v="0.3563751555605838"/>
  </r>
  <r>
    <s v="UK"/>
    <x v="99"/>
    <s v="University of Warwick"/>
    <s v="Computer Science"/>
    <s v="Bachelor"/>
    <n v="3"/>
    <n v="31200"/>
    <n v="71.5"/>
    <n v="1300"/>
    <n v="490"/>
    <n v="800"/>
    <n v="0.79"/>
    <n v="80890"/>
    <n v="26963.333333333332"/>
    <n v="46800"/>
    <n v="49690"/>
    <n v="0.38570898751390775"/>
  </r>
  <r>
    <s v="UK"/>
    <x v="41"/>
    <s v="University of Glasgow"/>
    <s v="Computer Science"/>
    <s v="Bachelor"/>
    <n v="4"/>
    <n v="30800"/>
    <n v="73.2"/>
    <n v="1400"/>
    <n v="490"/>
    <n v="800"/>
    <n v="0.79"/>
    <n v="101690"/>
    <n v="25422.5"/>
    <n v="67200"/>
    <n v="70890"/>
    <n v="0.30288130592978663"/>
  </r>
  <r>
    <s v="UK"/>
    <x v="101"/>
    <s v="University of Birmingham"/>
    <s v="Computer Science"/>
    <s v="Bachelor"/>
    <n v="3"/>
    <n v="30500"/>
    <n v="71.8"/>
    <n v="1300"/>
    <n v="490"/>
    <n v="800"/>
    <n v="0.79"/>
    <n v="80190"/>
    <n v="26730"/>
    <n v="46800"/>
    <n v="49690"/>
    <n v="0.38034667664297295"/>
  </r>
  <r>
    <s v="UK"/>
    <x v="98"/>
    <s v="University of Leeds"/>
    <s v="Computer Science"/>
    <s v="Bachelor"/>
    <n v="3"/>
    <n v="30200"/>
    <n v="71.2"/>
    <n v="1250"/>
    <n v="490"/>
    <n v="800"/>
    <n v="0.79"/>
    <n v="78090"/>
    <n v="26030"/>
    <n v="45000"/>
    <n v="47890"/>
    <n v="0.38673325649891149"/>
  </r>
  <r>
    <s v="UK"/>
    <x v="100"/>
    <s v="University of Sheffield"/>
    <s v="Computer Science"/>
    <s v="Bachelor"/>
    <n v="3"/>
    <n v="29800"/>
    <n v="70.5"/>
    <n v="1200"/>
    <n v="490"/>
    <n v="800"/>
    <n v="0.79"/>
    <n v="75890"/>
    <n v="25296.666666666668"/>
    <n v="43200"/>
    <n v="46090"/>
    <n v="0.39267360653577549"/>
  </r>
  <r>
    <s v="UK"/>
    <x v="103"/>
    <s v="University of Nottingham"/>
    <s v="Computer Science"/>
    <s v="Bachelor"/>
    <n v="3"/>
    <n v="29500"/>
    <n v="70.8"/>
    <n v="1150"/>
    <n v="490"/>
    <n v="800"/>
    <n v="0.79"/>
    <n v="73790"/>
    <n v="24596.666666666668"/>
    <n v="41400"/>
    <n v="44290"/>
    <n v="0.39978316845100964"/>
  </r>
  <r>
    <s v="UK"/>
    <x v="102"/>
    <s v="University of Southampton"/>
    <s v="Computer Science"/>
    <s v="Bachelor"/>
    <n v="3"/>
    <n v="29200"/>
    <n v="72.400000000000006"/>
    <n v="1300"/>
    <n v="490"/>
    <n v="800"/>
    <n v="0.79"/>
    <n v="78890"/>
    <n v="26296.666666666668"/>
    <n v="46800"/>
    <n v="49690"/>
    <n v="0.37013563189250853"/>
  </r>
  <r>
    <s v="UK"/>
    <x v="92"/>
    <s v="Durham University"/>
    <s v="Computer Science"/>
    <s v="Bachelor"/>
    <n v="3"/>
    <n v="28900"/>
    <n v="71.599999999999994"/>
    <n v="1250"/>
    <n v="490"/>
    <n v="800"/>
    <n v="0.79"/>
    <n v="76790"/>
    <n v="25596.666666666668"/>
    <n v="45000"/>
    <n v="47890"/>
    <n v="0.3763510873811694"/>
  </r>
  <r>
    <s v="UK"/>
    <x v="189"/>
    <s v="University of Liverpool"/>
    <s v="Computer Science"/>
    <s v="Bachelor"/>
    <n v="3"/>
    <n v="28600"/>
    <n v="70.2"/>
    <n v="1100"/>
    <n v="490"/>
    <n v="800"/>
    <n v="0.79"/>
    <n v="71090"/>
    <n v="23696.666666666668"/>
    <n v="39600"/>
    <n v="42490"/>
    <n v="0.40230693487128993"/>
  </r>
  <r>
    <s v="UK"/>
    <x v="104"/>
    <s v="Cardiff University"/>
    <s v="Computer Science"/>
    <s v="Bachelor"/>
    <n v="3"/>
    <n v="28300"/>
    <n v="69.8"/>
    <n v="1050"/>
    <n v="490"/>
    <n v="800"/>
    <n v="0.79"/>
    <n v="68990"/>
    <n v="22996.666666666668"/>
    <n v="37800"/>
    <n v="40690"/>
    <n v="0.41020437744600668"/>
  </r>
  <r>
    <s v="UK"/>
    <x v="72"/>
    <s v="Newcastle University"/>
    <s v="Computer Science"/>
    <s v="Bachelor"/>
    <n v="3"/>
    <n v="28000"/>
    <n v="70.099999999999994"/>
    <n v="1100"/>
    <n v="490"/>
    <n v="800"/>
    <n v="0.79"/>
    <n v="70490"/>
    <n v="23496.666666666668"/>
    <n v="39600"/>
    <n v="42490"/>
    <n v="0.39721946375372391"/>
  </r>
  <r>
    <s v="UK"/>
    <x v="190"/>
    <s v="University of Aberdeen"/>
    <s v="Computer Science"/>
    <s v="Bachelor"/>
    <n v="4"/>
    <n v="27700"/>
    <n v="69.5"/>
    <n v="1000"/>
    <n v="490"/>
    <n v="800"/>
    <n v="0.79"/>
    <n v="79390"/>
    <n v="19847.5"/>
    <n v="48000"/>
    <n v="51690"/>
    <n v="0.34891044212117395"/>
  </r>
  <r>
    <s v="UK"/>
    <x v="191"/>
    <s v="University of Leicester"/>
    <s v="Computer Science"/>
    <s v="Bachelor"/>
    <n v="3"/>
    <n v="27400"/>
    <n v="68.900000000000006"/>
    <n v="950"/>
    <n v="490"/>
    <n v="800"/>
    <n v="0.79"/>
    <n v="64490"/>
    <n v="21496.666666666668"/>
    <n v="34200"/>
    <n v="37090"/>
    <n v="0.42487207318964182"/>
  </r>
  <r>
    <s v="UK"/>
    <x v="192"/>
    <s v="University of Reading"/>
    <s v="Computer Science"/>
    <s v="Bachelor"/>
    <n v="3"/>
    <n v="27100"/>
    <n v="71.2"/>
    <n v="1150"/>
    <n v="490"/>
    <n v="800"/>
    <n v="0.79"/>
    <n v="71390"/>
    <n v="23796.666666666668"/>
    <n v="41400"/>
    <n v="44290"/>
    <n v="0.37960498669281412"/>
  </r>
  <r>
    <s v="UK"/>
    <x v="193"/>
    <s v="University of Sussex"/>
    <s v="Computer Science"/>
    <s v="Bachelor"/>
    <n v="3"/>
    <n v="26800"/>
    <n v="72.5"/>
    <n v="1200"/>
    <n v="490"/>
    <n v="800"/>
    <n v="0.79"/>
    <n v="72890"/>
    <n v="24296.666666666668"/>
    <n v="43200"/>
    <n v="46090"/>
    <n v="0.36767732199204278"/>
  </r>
  <r>
    <s v="UK"/>
    <x v="194"/>
    <s v="University of Essex"/>
    <s v="Computer Science"/>
    <s v="Bachelor"/>
    <n v="3"/>
    <n v="26500"/>
    <n v="69.8"/>
    <n v="1000"/>
    <n v="490"/>
    <n v="800"/>
    <n v="0.79"/>
    <n v="65390"/>
    <n v="21796.666666666668"/>
    <n v="36000"/>
    <n v="38890"/>
    <n v="0.40526074323291023"/>
  </r>
  <r>
    <s v="UK"/>
    <x v="195"/>
    <s v="University of Bath"/>
    <s v="Computer Science"/>
    <s v="Bachelor"/>
    <n v="3"/>
    <n v="26200"/>
    <n v="73.400000000000006"/>
    <n v="1250"/>
    <n v="490"/>
    <n v="800"/>
    <n v="0.79"/>
    <n v="74090"/>
    <n v="24696.666666666668"/>
    <n v="45000"/>
    <n v="47890"/>
    <n v="0.35362397084626807"/>
  </r>
  <r>
    <s v="UK"/>
    <x v="196"/>
    <s v="University of Surrey"/>
    <s v="Computer Science"/>
    <s v="Bachelor"/>
    <n v="3"/>
    <n v="25900"/>
    <n v="71.8"/>
    <n v="1150"/>
    <n v="490"/>
    <n v="800"/>
    <n v="0.79"/>
    <n v="70190"/>
    <n v="23396.666666666668"/>
    <n v="41400"/>
    <n v="44290"/>
    <n v="0.36899843282518879"/>
  </r>
  <r>
    <s v="UK"/>
    <x v="197"/>
    <s v="University of Exeter"/>
    <s v="Computer Science"/>
    <s v="Bachelor"/>
    <n v="3"/>
    <n v="25600"/>
    <n v="72.099999999999994"/>
    <n v="1200"/>
    <n v="490"/>
    <n v="800"/>
    <n v="0.79"/>
    <n v="71690"/>
    <n v="23896.666666666668"/>
    <n v="43200"/>
    <n v="46090"/>
    <n v="0.35709303947551962"/>
  </r>
  <r>
    <s v="UK"/>
    <x v="198"/>
    <s v="University of Kent"/>
    <s v="Computer Science"/>
    <s v="Bachelor"/>
    <n v="3"/>
    <n v="25300"/>
    <n v="70.5"/>
    <n v="1100"/>
    <n v="490"/>
    <n v="800"/>
    <n v="0.79"/>
    <n v="67790"/>
    <n v="22596.666666666668"/>
    <n v="39600"/>
    <n v="42490"/>
    <n v="0.37321138811034077"/>
  </r>
  <r>
    <s v="UK"/>
    <x v="199"/>
    <s v="University of Dundee"/>
    <s v="Computer Science"/>
    <s v="Bachelor"/>
    <n v="4"/>
    <n v="25000"/>
    <n v="68.900000000000006"/>
    <n v="950"/>
    <n v="490"/>
    <n v="800"/>
    <n v="0.79"/>
    <n v="74290"/>
    <n v="18572.5"/>
    <n v="45600"/>
    <n v="49290"/>
    <n v="0.33651904697805896"/>
  </r>
  <r>
    <s v="UK"/>
    <x v="200"/>
    <s v="University of Strathclyde"/>
    <s v="Computer Science"/>
    <s v="Bachelor"/>
    <n v="4"/>
    <n v="24700"/>
    <n v="69.2"/>
    <n v="1000"/>
    <n v="490"/>
    <n v="800"/>
    <n v="0.79"/>
    <n v="76390"/>
    <n v="19097.5"/>
    <n v="48000"/>
    <n v="51690"/>
    <n v="0.32334075140725227"/>
  </r>
  <r>
    <s v="UK"/>
    <x v="201"/>
    <s v="Heriot-Watt University"/>
    <s v="Computer Science"/>
    <s v="Bachelor"/>
    <n v="4"/>
    <n v="24400"/>
    <n v="69.5"/>
    <n v="1050"/>
    <n v="490"/>
    <n v="800"/>
    <n v="0.79"/>
    <n v="78490"/>
    <n v="19622.5"/>
    <n v="50400"/>
    <n v="54090"/>
    <n v="0.31086762644922922"/>
  </r>
  <r>
    <s v="UK"/>
    <x v="202"/>
    <s v="Loughborough University"/>
    <s v="Computer Science"/>
    <s v="Bachelor"/>
    <n v="3"/>
    <n v="24100"/>
    <n v="68.5"/>
    <n v="900"/>
    <n v="490"/>
    <n v="800"/>
    <n v="0.79"/>
    <n v="59390"/>
    <n v="19796.666666666668"/>
    <n v="32400"/>
    <n v="35290"/>
    <n v="0.40579222091261152"/>
  </r>
  <r>
    <s v="UK"/>
    <x v="203"/>
    <s v="Brunel University London"/>
    <s v="Computer Science"/>
    <s v="Bachelor"/>
    <n v="3"/>
    <n v="23800"/>
    <n v="83.2"/>
    <n v="1800"/>
    <n v="490"/>
    <n v="800"/>
    <n v="0.79"/>
    <n v="91490"/>
    <n v="30496.666666666668"/>
    <n v="64800"/>
    <n v="67690"/>
    <n v="0.26013771996939555"/>
  </r>
  <r>
    <s v="UK"/>
    <x v="204"/>
    <s v="Queen Mary University of London"/>
    <s v="Computer Science"/>
    <s v="Bachelor"/>
    <n v="3"/>
    <n v="23500"/>
    <n v="83.2"/>
    <n v="1900"/>
    <n v="490"/>
    <n v="800"/>
    <n v="0.79"/>
    <n v="94790"/>
    <n v="31596.666666666668"/>
    <n v="68400"/>
    <n v="71290"/>
    <n v="0.24791644688258255"/>
  </r>
  <r>
    <s v="UK"/>
    <x v="205"/>
    <s v="Royal Holloway University"/>
    <s v="Computer Science"/>
    <s v="Bachelor"/>
    <n v="3"/>
    <n v="23200"/>
    <n v="75.5"/>
    <n v="1400"/>
    <n v="490"/>
    <n v="800"/>
    <n v="0.79"/>
    <n v="76490"/>
    <n v="25496.666666666668"/>
    <n v="50400"/>
    <n v="53290"/>
    <n v="0.30330762191136096"/>
  </r>
  <r>
    <s v="UK"/>
    <x v="206"/>
    <s v="Lancaster University"/>
    <s v="Computer Science"/>
    <s v="Bachelor"/>
    <n v="3"/>
    <n v="22900"/>
    <n v="69.8"/>
    <n v="1000"/>
    <n v="490"/>
    <n v="800"/>
    <n v="0.79"/>
    <n v="61790"/>
    <n v="20596.666666666668"/>
    <n v="36000"/>
    <n v="38890"/>
    <n v="0.37061013108917301"/>
  </r>
  <r>
    <s v="UK"/>
    <x v="207"/>
    <s v="Swansea University"/>
    <s v="Computer Science"/>
    <s v="Bachelor"/>
    <n v="3"/>
    <n v="22600"/>
    <n v="68.5"/>
    <n v="950"/>
    <n v="490"/>
    <n v="800"/>
    <n v="0.79"/>
    <n v="59690"/>
    <n v="19896.666666666668"/>
    <n v="34200"/>
    <n v="37090"/>
    <n v="0.37862288490534429"/>
  </r>
  <r>
    <s v="UK"/>
    <x v="208"/>
    <s v="Aston University"/>
    <s v="Computer Science"/>
    <s v="Bachelor"/>
    <n v="3"/>
    <n v="22300"/>
    <n v="71.8"/>
    <n v="1200"/>
    <n v="490"/>
    <n v="800"/>
    <n v="0.79"/>
    <n v="68390"/>
    <n v="22796.666666666668"/>
    <n v="43200"/>
    <n v="46090"/>
    <n v="0.32607106302090949"/>
  </r>
  <r>
    <s v="UK"/>
    <x v="209"/>
    <s v="University of Hull"/>
    <s v="Computer Science"/>
    <s v="Bachelor"/>
    <n v="3"/>
    <n v="22000"/>
    <n v="67.900000000000006"/>
    <n v="850"/>
    <n v="490"/>
    <n v="800"/>
    <n v="0.79"/>
    <n v="55490"/>
    <n v="18496.666666666668"/>
    <n v="30600"/>
    <n v="33490"/>
    <n v="0.39646783204180935"/>
  </r>
  <r>
    <s v="UK"/>
    <x v="210"/>
    <s v="Keele University"/>
    <s v="Computer Science"/>
    <s v="Bachelor"/>
    <n v="3"/>
    <n v="21700"/>
    <n v="67.5"/>
    <n v="800"/>
    <n v="490"/>
    <n v="800"/>
    <n v="0.79"/>
    <n v="53390"/>
    <n v="17796.666666666668"/>
    <n v="28800"/>
    <n v="31690"/>
    <n v="0.40644315414871701"/>
  </r>
  <r>
    <s v="UK"/>
    <x v="211"/>
    <s v="University of Plymouth"/>
    <s v="Computer Science"/>
    <s v="Bachelor"/>
    <n v="3"/>
    <n v="21400"/>
    <n v="69.2"/>
    <n v="950"/>
    <n v="490"/>
    <n v="800"/>
    <n v="0.79"/>
    <n v="58490"/>
    <n v="19496.666666666668"/>
    <n v="34200"/>
    <n v="37090"/>
    <n v="0.36587450846298514"/>
  </r>
  <r>
    <s v="UK"/>
    <x v="212"/>
    <s v="University of Portsmouth"/>
    <s v="Computer Science"/>
    <s v="Bachelor"/>
    <n v="3"/>
    <n v="21100"/>
    <n v="70.5"/>
    <n v="1000"/>
    <n v="490"/>
    <n v="800"/>
    <n v="0.79"/>
    <n v="59990"/>
    <n v="19996.666666666668"/>
    <n v="36000"/>
    <n v="38890"/>
    <n v="0.35172528754792465"/>
  </r>
  <r>
    <s v="UK"/>
    <x v="213"/>
    <s v="Ulster University"/>
    <s v="Computer Science"/>
    <s v="Bachelor"/>
    <n v="3"/>
    <n v="20800"/>
    <n v="67.2"/>
    <n v="800"/>
    <n v="490"/>
    <n v="800"/>
    <n v="0.79"/>
    <n v="52490"/>
    <n v="17496.666666666668"/>
    <n v="28800"/>
    <n v="31690"/>
    <n v="0.39626595542008003"/>
  </r>
  <r>
    <s v="UK"/>
    <x v="214"/>
    <s v="Northumbria University"/>
    <s v="Computer Science"/>
    <s v="Bachelor"/>
    <n v="3"/>
    <n v="20500"/>
    <n v="68.5"/>
    <n v="900"/>
    <n v="490"/>
    <n v="800"/>
    <n v="0.79"/>
    <n v="55790"/>
    <n v="18596.666666666668"/>
    <n v="32400"/>
    <n v="35290"/>
    <n v="0.36744936368524828"/>
  </r>
  <r>
    <s v="UK"/>
    <x v="215"/>
    <s v="Coventry University"/>
    <s v="Computer Science"/>
    <s v="Bachelor"/>
    <n v="3"/>
    <n v="20200"/>
    <n v="69.8"/>
    <n v="950"/>
    <n v="490"/>
    <n v="800"/>
    <n v="0.79"/>
    <n v="57290"/>
    <n v="19096.666666666668"/>
    <n v="34200"/>
    <n v="37090"/>
    <n v="0.35259207540582999"/>
  </r>
  <r>
    <s v="UK"/>
    <x v="216"/>
    <s v="Oxford Brookes University"/>
    <s v="Computer Science"/>
    <s v="Bachelor"/>
    <n v="3"/>
    <n v="19900"/>
    <n v="77.8"/>
    <n v="1500"/>
    <n v="490"/>
    <n v="800"/>
    <n v="0.79"/>
    <n v="76790"/>
    <n v="25596.666666666668"/>
    <n v="54000"/>
    <n v="56890"/>
    <n v="0.25914832660502668"/>
  </r>
  <r>
    <s v="UK"/>
    <x v="217"/>
    <s v="De Montfort University"/>
    <s v="Computer Science"/>
    <s v="Bachelor"/>
    <n v="3"/>
    <n v="19600"/>
    <n v="68.900000000000006"/>
    <n v="900"/>
    <n v="490"/>
    <n v="800"/>
    <n v="0.79"/>
    <n v="54890"/>
    <n v="18296.666666666668"/>
    <n v="32400"/>
    <n v="35290"/>
    <n v="0.35707779194753142"/>
  </r>
  <r>
    <s v="UK"/>
    <x v="218"/>
    <s v="University of Westminster"/>
    <s v="Computer Science"/>
    <s v="Bachelor"/>
    <n v="3"/>
    <n v="19300"/>
    <n v="83.2"/>
    <n v="1800"/>
    <n v="490"/>
    <n v="800"/>
    <n v="0.79"/>
    <n v="86990"/>
    <n v="28996.666666666668"/>
    <n v="64800"/>
    <n v="67690"/>
    <n v="0.22186458213587767"/>
  </r>
  <r>
    <s v="UK"/>
    <x v="219"/>
    <s v="University of Greenwich"/>
    <s v="Computer Science"/>
    <s v="Bachelor"/>
    <n v="3"/>
    <n v="19000"/>
    <n v="83.2"/>
    <n v="1700"/>
    <n v="490"/>
    <n v="800"/>
    <n v="0.79"/>
    <n v="83090"/>
    <n v="27696.666666666668"/>
    <n v="61200"/>
    <n v="64090"/>
    <n v="0.22866770971236008"/>
  </r>
  <r>
    <s v="UK"/>
    <x v="220"/>
    <s v="Kingston University"/>
    <s v="Computer Science"/>
    <s v="Bachelor"/>
    <n v="3"/>
    <n v="18700"/>
    <n v="83.2"/>
    <n v="1600"/>
    <n v="490"/>
    <n v="800"/>
    <n v="0.79"/>
    <n v="79190"/>
    <n v="26396.666666666668"/>
    <n v="57600"/>
    <n v="60490"/>
    <n v="0.23614092688470767"/>
  </r>
  <r>
    <s v="Canada"/>
    <x v="2"/>
    <s v="University of Toronto"/>
    <s v="Computer Science"/>
    <s v="Bachelor"/>
    <n v="4"/>
    <n v="45200"/>
    <n v="73.5"/>
    <n v="1800"/>
    <n v="235"/>
    <n v="600"/>
    <n v="1.35"/>
    <n v="134235"/>
    <n v="33558.75"/>
    <n v="86400"/>
    <n v="89035"/>
    <n v="0.33672291131225091"/>
  </r>
  <r>
    <s v="Canada"/>
    <x v="2"/>
    <s v="University of Toronto"/>
    <s v="Computer Science"/>
    <s v="Master"/>
    <n v="2"/>
    <n v="28500"/>
    <n v="73.5"/>
    <n v="1800"/>
    <n v="235"/>
    <n v="600"/>
    <n v="1.35"/>
    <n v="73135"/>
    <n v="36567.5"/>
    <n v="43200"/>
    <n v="44635"/>
    <n v="0.38969029876256239"/>
  </r>
  <r>
    <s v="Canada"/>
    <x v="50"/>
    <s v="University of British Columbia"/>
    <s v="Computer Science"/>
    <s v="Bachelor"/>
    <n v="4"/>
    <n v="43800"/>
    <n v="71.2"/>
    <n v="1900"/>
    <n v="235"/>
    <n v="600"/>
    <n v="1.35"/>
    <n v="137635"/>
    <n v="34408.75"/>
    <n v="91200"/>
    <n v="93835"/>
    <n v="0.31823300759254552"/>
  </r>
  <r>
    <s v="Canada"/>
    <x v="50"/>
    <s v="University of British Columbia"/>
    <s v="Computer Science"/>
    <s v="Master"/>
    <n v="2"/>
    <n v="27900"/>
    <n v="71.2"/>
    <n v="1900"/>
    <n v="235"/>
    <n v="600"/>
    <n v="1.35"/>
    <n v="74935"/>
    <n v="37467.5"/>
    <n v="45600"/>
    <n v="47035"/>
    <n v="0.37232267965570159"/>
  </r>
  <r>
    <s v="Canada"/>
    <x v="221"/>
    <s v="McGill University"/>
    <s v="Computer Science"/>
    <s v="Bachelor"/>
    <n v="4"/>
    <n v="41500"/>
    <n v="65.8"/>
    <n v="1500"/>
    <n v="235"/>
    <n v="600"/>
    <n v="1.35"/>
    <n v="116135"/>
    <n v="29033.75"/>
    <n v="72000"/>
    <n v="74635"/>
    <n v="0.35734274766435614"/>
  </r>
  <r>
    <s v="Canada"/>
    <x v="221"/>
    <s v="McGill University"/>
    <s v="Computer Science"/>
    <s v="Master"/>
    <n v="2"/>
    <n v="26800"/>
    <n v="65.8"/>
    <n v="1500"/>
    <n v="235"/>
    <n v="600"/>
    <n v="1.35"/>
    <n v="64235"/>
    <n v="32117.5"/>
    <n v="36000"/>
    <n v="37435"/>
    <n v="0.4172180275550712"/>
  </r>
  <r>
    <s v="Canada"/>
    <x v="35"/>
    <s v="University of Waterloo"/>
    <s v="Computer Science"/>
    <s v="Bachelor"/>
    <n v="4"/>
    <n v="40900"/>
    <n v="62.4"/>
    <n v="1300"/>
    <n v="235"/>
    <n v="600"/>
    <n v="1.35"/>
    <n v="105935"/>
    <n v="26483.75"/>
    <n v="62400"/>
    <n v="65035"/>
    <n v="0.38608580733468634"/>
  </r>
  <r>
    <s v="Canada"/>
    <x v="35"/>
    <s v="University of Waterloo"/>
    <s v="Computer Science"/>
    <s v="Master"/>
    <n v="2"/>
    <n v="26200"/>
    <n v="62.4"/>
    <n v="1300"/>
    <n v="235"/>
    <n v="600"/>
    <n v="1.35"/>
    <n v="58835"/>
    <n v="29417.5"/>
    <n v="31200"/>
    <n v="32635"/>
    <n v="0.44531316393303305"/>
  </r>
  <r>
    <s v="Canada"/>
    <x v="221"/>
    <s v="University of Montreal"/>
    <s v="Computer Science"/>
    <s v="Bachelor"/>
    <n v="4"/>
    <n v="39500"/>
    <n v="65.8"/>
    <n v="1400"/>
    <n v="235"/>
    <n v="600"/>
    <n v="1.35"/>
    <n v="109335"/>
    <n v="27333.75"/>
    <n v="67200"/>
    <n v="69835"/>
    <n v="0.36127498056432067"/>
  </r>
  <r>
    <s v="Canada"/>
    <x v="221"/>
    <s v="University of Montreal"/>
    <s v="Computer Science"/>
    <s v="Master"/>
    <n v="2"/>
    <n v="25800"/>
    <n v="65.8"/>
    <n v="1400"/>
    <n v="235"/>
    <n v="600"/>
    <n v="1.35"/>
    <n v="60835"/>
    <n v="30417.5"/>
    <n v="33600"/>
    <n v="35035"/>
    <n v="0.42409796991863236"/>
  </r>
  <r>
    <s v="Canada"/>
    <x v="40"/>
    <s v="University of Alberta"/>
    <s v="Computer Science"/>
    <s v="Bachelor"/>
    <n v="4"/>
    <n v="38200"/>
    <n v="61.9"/>
    <n v="1200"/>
    <n v="235"/>
    <n v="600"/>
    <n v="1.35"/>
    <n v="98435"/>
    <n v="24608.75"/>
    <n v="57600"/>
    <n v="60235"/>
    <n v="0.38807334789454973"/>
  </r>
  <r>
    <s v="Canada"/>
    <x v="40"/>
    <s v="University of Alberta"/>
    <s v="Computer Science"/>
    <s v="Master"/>
    <n v="2"/>
    <n v="24900"/>
    <n v="61.9"/>
    <n v="1200"/>
    <n v="235"/>
    <n v="600"/>
    <n v="1.35"/>
    <n v="55135"/>
    <n v="27567.5"/>
    <n v="28800"/>
    <n v="30235"/>
    <n v="0.45161875396753426"/>
  </r>
  <r>
    <s v="Canada"/>
    <x v="23"/>
    <s v="University of Ottawa"/>
    <s v="Computer Science"/>
    <s v="Bachelor"/>
    <n v="4"/>
    <n v="37800"/>
    <n v="63.5"/>
    <n v="1400"/>
    <n v="235"/>
    <n v="600"/>
    <n v="1.35"/>
    <n v="107635"/>
    <n v="26908.75"/>
    <n v="67200"/>
    <n v="69835"/>
    <n v="0.35118688159056072"/>
  </r>
  <r>
    <s v="Canada"/>
    <x v="23"/>
    <s v="University of Ottawa"/>
    <s v="Computer Science"/>
    <s v="Master"/>
    <n v="2"/>
    <n v="24500"/>
    <n v="63.5"/>
    <n v="1400"/>
    <n v="235"/>
    <n v="600"/>
    <n v="1.35"/>
    <n v="59535"/>
    <n v="29767.5"/>
    <n v="33600"/>
    <n v="35035"/>
    <n v="0.41152263374485598"/>
  </r>
  <r>
    <s v="Canada"/>
    <x v="118"/>
    <s v="University of Calgary"/>
    <s v="Computer Science"/>
    <s v="Bachelor"/>
    <n v="4"/>
    <n v="37200"/>
    <n v="62.8"/>
    <n v="1300"/>
    <n v="235"/>
    <n v="600"/>
    <n v="1.35"/>
    <n v="102235"/>
    <n v="25558.75"/>
    <n v="62400"/>
    <n v="65035"/>
    <n v="0.36386756003325671"/>
  </r>
  <r>
    <s v="Canada"/>
    <x v="118"/>
    <s v="University of Calgary"/>
    <s v="Computer Science"/>
    <s v="Master"/>
    <n v="2"/>
    <n v="24100"/>
    <n v="62.8"/>
    <n v="1300"/>
    <n v="235"/>
    <n v="600"/>
    <n v="1.35"/>
    <n v="56735"/>
    <n v="28367.5"/>
    <n v="31200"/>
    <n v="32635"/>
    <n v="0.42478188067330575"/>
  </r>
  <r>
    <s v="Canada"/>
    <x v="106"/>
    <s v="McMaster University"/>
    <s v="Computer Science"/>
    <s v="Bachelor"/>
    <n v="4"/>
    <n v="36500"/>
    <n v="64.2"/>
    <n v="1250"/>
    <n v="235"/>
    <n v="600"/>
    <n v="1.35"/>
    <n v="99135"/>
    <n v="24783.75"/>
    <n v="60000"/>
    <n v="62635"/>
    <n v="0.3681847985070863"/>
  </r>
  <r>
    <s v="Canada"/>
    <x v="106"/>
    <s v="McMaster University"/>
    <s v="Computer Science"/>
    <s v="Master"/>
    <n v="2"/>
    <n v="23800"/>
    <n v="64.2"/>
    <n v="1250"/>
    <n v="235"/>
    <n v="600"/>
    <n v="1.35"/>
    <n v="55235"/>
    <n v="27617.5"/>
    <n v="30000"/>
    <n v="31435"/>
    <n v="0.43088621345161582"/>
  </r>
  <r>
    <s v="Canada"/>
    <x v="1"/>
    <s v="Western University"/>
    <s v="Computer Science"/>
    <s v="Bachelor"/>
    <n v="4"/>
    <n v="35900"/>
    <n v="61.5"/>
    <n v="1200"/>
    <n v="235"/>
    <n v="600"/>
    <n v="1.35"/>
    <n v="96135"/>
    <n v="24033.75"/>
    <n v="57600"/>
    <n v="60235"/>
    <n v="0.37343319290580956"/>
  </r>
  <r>
    <s v="Canada"/>
    <x v="1"/>
    <s v="Western University"/>
    <s v="Computer Science"/>
    <s v="Master"/>
    <n v="2"/>
    <n v="23500"/>
    <n v="61.5"/>
    <n v="1200"/>
    <n v="235"/>
    <n v="600"/>
    <n v="1.35"/>
    <n v="53735"/>
    <n v="26867.5"/>
    <n v="28800"/>
    <n v="30235"/>
    <n v="0.43733134828324183"/>
  </r>
  <r>
    <s v="Canada"/>
    <x v="220"/>
    <s v="Queen's University"/>
    <s v="Computer Science"/>
    <s v="Bachelor"/>
    <n v="4"/>
    <n v="35400"/>
    <n v="62.1"/>
    <n v="1300"/>
    <n v="235"/>
    <n v="600"/>
    <n v="1.35"/>
    <n v="100435"/>
    <n v="25108.75"/>
    <n v="62400"/>
    <n v="65035"/>
    <n v="0.35246676955244688"/>
  </r>
  <r>
    <s v="Canada"/>
    <x v="220"/>
    <s v="Queen's University"/>
    <s v="Computer Science"/>
    <s v="Master"/>
    <n v="2"/>
    <n v="23200"/>
    <n v="62.1"/>
    <n v="1300"/>
    <n v="235"/>
    <n v="600"/>
    <n v="1.35"/>
    <n v="55835"/>
    <n v="27917.5"/>
    <n v="31200"/>
    <n v="32635"/>
    <n v="0.41550998477657386"/>
  </r>
  <r>
    <s v="Canada"/>
    <x v="109"/>
    <s v="University of Victoria"/>
    <s v="Computer Science"/>
    <s v="Bachelor"/>
    <n v="4"/>
    <n v="34800"/>
    <n v="64.8"/>
    <n v="1400"/>
    <n v="235"/>
    <n v="600"/>
    <n v="1.35"/>
    <n v="104635"/>
    <n v="26158.75"/>
    <n v="67200"/>
    <n v="69835"/>
    <n v="0.33258469919243083"/>
  </r>
  <r>
    <s v="Canada"/>
    <x v="109"/>
    <s v="University of Victoria"/>
    <s v="Computer Science"/>
    <s v="Master"/>
    <n v="2"/>
    <n v="22900"/>
    <n v="64.8"/>
    <n v="1400"/>
    <n v="235"/>
    <n v="600"/>
    <n v="1.35"/>
    <n v="57935"/>
    <n v="28967.5"/>
    <n v="33600"/>
    <n v="35035"/>
    <n v="0.39527056183654097"/>
  </r>
  <r>
    <s v="Canada"/>
    <x v="108"/>
    <s v="Dalhousie University"/>
    <s v="Computer Science"/>
    <s v="Bachelor"/>
    <n v="4"/>
    <n v="34200"/>
    <n v="61.2"/>
    <n v="1200"/>
    <n v="235"/>
    <n v="600"/>
    <n v="1.35"/>
    <n v="94435"/>
    <n v="23608.75"/>
    <n v="57600"/>
    <n v="60235"/>
    <n v="0.36215386244506803"/>
  </r>
  <r>
    <s v="Canada"/>
    <x v="108"/>
    <s v="Dalhousie University"/>
    <s v="Computer Science"/>
    <s v="Master"/>
    <n v="2"/>
    <n v="22600"/>
    <n v="61.2"/>
    <n v="1200"/>
    <n v="235"/>
    <n v="600"/>
    <n v="1.35"/>
    <n v="52835"/>
    <n v="26417.5"/>
    <n v="28800"/>
    <n v="30235"/>
    <n v="0.42774675877732565"/>
  </r>
  <r>
    <s v="Canada"/>
    <x v="111"/>
    <s v="University of Manitoba"/>
    <s v="Computer Science"/>
    <s v="Bachelor"/>
    <n v="4"/>
    <n v="33600"/>
    <n v="59.8"/>
    <n v="1100"/>
    <n v="235"/>
    <n v="600"/>
    <n v="1.35"/>
    <n v="89035"/>
    <n v="22258.75"/>
    <n v="52800"/>
    <n v="55435"/>
    <n v="0.37737968214747009"/>
  </r>
  <r>
    <s v="Canada"/>
    <x v="111"/>
    <s v="University of Manitoba"/>
    <s v="Computer Science"/>
    <s v="Master"/>
    <n v="2"/>
    <n v="22300"/>
    <n v="59.8"/>
    <n v="1100"/>
    <n v="235"/>
    <n v="600"/>
    <n v="1.35"/>
    <n v="50135"/>
    <n v="25067.5"/>
    <n v="26400"/>
    <n v="27835"/>
    <n v="0.44479904258502045"/>
  </r>
  <r>
    <s v="Canada"/>
    <x v="110"/>
    <s v="Laval University"/>
    <s v="Computer Science"/>
    <s v="Bachelor"/>
    <n v="4"/>
    <n v="33000"/>
    <n v="58.5"/>
    <n v="1000"/>
    <n v="235"/>
    <n v="600"/>
    <n v="1.35"/>
    <n v="83635"/>
    <n v="20908.75"/>
    <n v="48000"/>
    <n v="50635"/>
    <n v="0.39457165062473842"/>
  </r>
  <r>
    <s v="Canada"/>
    <x v="110"/>
    <s v="Laval University"/>
    <s v="Computer Science"/>
    <s v="Master"/>
    <n v="2"/>
    <n v="22000"/>
    <n v="58.5"/>
    <n v="1000"/>
    <n v="235"/>
    <n v="600"/>
    <n v="1.35"/>
    <n v="47435"/>
    <n v="23717.5"/>
    <n v="24000"/>
    <n v="25435"/>
    <n v="0.4637925582375883"/>
  </r>
  <r>
    <s v="Canada"/>
    <x v="114"/>
    <s v="University of Saskatchewan"/>
    <s v="Computer Science"/>
    <s v="Bachelor"/>
    <n v="4"/>
    <n v="32400"/>
    <n v="58.2"/>
    <n v="950"/>
    <n v="235"/>
    <n v="600"/>
    <n v="1.35"/>
    <n v="80635"/>
    <n v="20158.75"/>
    <n v="45600"/>
    <n v="48235"/>
    <n v="0.40181062813914553"/>
  </r>
  <r>
    <s v="Canada"/>
    <x v="114"/>
    <s v="University of Saskatchewan"/>
    <s v="Computer Science"/>
    <s v="Master"/>
    <n v="2"/>
    <n v="21700"/>
    <n v="58.2"/>
    <n v="950"/>
    <n v="235"/>
    <n v="600"/>
    <n v="1.35"/>
    <n v="45935"/>
    <n v="22967.5"/>
    <n v="22800"/>
    <n v="24235"/>
    <n v="0.47240666158702516"/>
  </r>
  <r>
    <s v="Canada"/>
    <x v="113"/>
    <s v="Memorial University"/>
    <s v="Computer Science"/>
    <s v="Bachelor"/>
    <n v="4"/>
    <n v="31800"/>
    <n v="57.9"/>
    <n v="900"/>
    <n v="235"/>
    <n v="600"/>
    <n v="1.35"/>
    <n v="77635"/>
    <n v="19408.75"/>
    <n v="43200"/>
    <n v="45835"/>
    <n v="0.40960906807496616"/>
  </r>
  <r>
    <s v="Canada"/>
    <x v="113"/>
    <s v="Memorial University"/>
    <s v="Computer Science"/>
    <s v="Master"/>
    <n v="2"/>
    <n v="21400"/>
    <n v="57.9"/>
    <n v="900"/>
    <n v="235"/>
    <n v="600"/>
    <n v="1.35"/>
    <n v="44435"/>
    <n v="22217.5"/>
    <n v="21600"/>
    <n v="23035"/>
    <n v="0.48160234049735567"/>
  </r>
  <r>
    <s v="Canada"/>
    <x v="112"/>
    <s v="University of Regina"/>
    <s v="Computer Science"/>
    <s v="Bachelor"/>
    <n v="4"/>
    <n v="31200"/>
    <n v="57.5"/>
    <n v="900"/>
    <n v="235"/>
    <n v="600"/>
    <n v="1.35"/>
    <n v="77035"/>
    <n v="19258.75"/>
    <n v="43200"/>
    <n v="45835"/>
    <n v="0.4050107094177971"/>
  </r>
  <r>
    <s v="Canada"/>
    <x v="112"/>
    <s v="University of Regina"/>
    <s v="Computer Science"/>
    <s v="Master"/>
    <n v="2"/>
    <n v="21100"/>
    <n v="57.5"/>
    <n v="900"/>
    <n v="235"/>
    <n v="600"/>
    <n v="1.35"/>
    <n v="44135"/>
    <n v="22067.5"/>
    <n v="21600"/>
    <n v="23035"/>
    <n v="0.47807862240851934"/>
  </r>
  <r>
    <s v="Canada"/>
    <x v="115"/>
    <s v="University of Sherbrooke"/>
    <s v="Computer Science"/>
    <s v="Bachelor"/>
    <n v="4"/>
    <n v="30600"/>
    <n v="56.8"/>
    <n v="850"/>
    <n v="235"/>
    <n v="600"/>
    <n v="1.35"/>
    <n v="74035"/>
    <n v="18508.75"/>
    <n v="40800"/>
    <n v="43435"/>
    <n v="0.41331802525832378"/>
  </r>
  <r>
    <s v="Canada"/>
    <x v="115"/>
    <s v="University of Sherbrooke"/>
    <s v="Computer Science"/>
    <s v="Master"/>
    <n v="2"/>
    <n v="20800"/>
    <n v="56.8"/>
    <n v="850"/>
    <n v="235"/>
    <n v="600"/>
    <n v="1.35"/>
    <n v="42635"/>
    <n v="21317.5"/>
    <n v="20400"/>
    <n v="21835"/>
    <n v="0.48786208514131579"/>
  </r>
  <r>
    <s v="Canada"/>
    <x v="222"/>
    <s v="University of Windsor"/>
    <s v="Computer Science"/>
    <s v="Bachelor"/>
    <n v="4"/>
    <n v="30000"/>
    <n v="58.9"/>
    <n v="950"/>
    <n v="235"/>
    <n v="600"/>
    <n v="1.35"/>
    <n v="78235"/>
    <n v="19558.75"/>
    <n v="45600"/>
    <n v="48235"/>
    <n v="0.38346008819582028"/>
  </r>
  <r>
    <s v="Canada"/>
    <x v="222"/>
    <s v="University of Windsor"/>
    <s v="Computer Science"/>
    <s v="Master"/>
    <n v="2"/>
    <n v="20500"/>
    <n v="58.9"/>
    <n v="950"/>
    <n v="235"/>
    <n v="600"/>
    <n v="1.35"/>
    <n v="44735"/>
    <n v="22367.5"/>
    <n v="22800"/>
    <n v="24235"/>
    <n v="0.45825416340672853"/>
  </r>
  <r>
    <s v="Canada"/>
    <x v="223"/>
    <s v="University of New Brunswick"/>
    <s v="Computer Science"/>
    <s v="Bachelor"/>
    <n v="4"/>
    <n v="29400"/>
    <n v="57.2"/>
    <n v="900"/>
    <n v="235"/>
    <n v="600"/>
    <n v="1.35"/>
    <n v="75235"/>
    <n v="18808.75"/>
    <n v="43200"/>
    <n v="45835"/>
    <n v="0.3907755698810394"/>
  </r>
  <r>
    <s v="Canada"/>
    <x v="223"/>
    <s v="University of New Brunswick"/>
    <s v="Computer Science"/>
    <s v="Master"/>
    <n v="2"/>
    <n v="20200"/>
    <n v="57.2"/>
    <n v="900"/>
    <n v="235"/>
    <n v="600"/>
    <n v="1.35"/>
    <n v="43235"/>
    <n v="21617.5"/>
    <n v="21600"/>
    <n v="23035"/>
    <n v="0.46721406268069848"/>
  </r>
  <r>
    <s v="Canada"/>
    <x v="224"/>
    <s v="UQTR"/>
    <s v="Computer Science"/>
    <s v="Bachelor"/>
    <n v="4"/>
    <n v="28800"/>
    <n v="56.5"/>
    <n v="850"/>
    <n v="235"/>
    <n v="600"/>
    <n v="1.35"/>
    <n v="72235"/>
    <n v="18058.75"/>
    <n v="40800"/>
    <n v="43435"/>
    <n v="0.39869869176991762"/>
  </r>
  <r>
    <s v="Canada"/>
    <x v="224"/>
    <s v="UQTR"/>
    <s v="Computer Science"/>
    <s v="Master"/>
    <n v="2"/>
    <n v="19900"/>
    <n v="56.5"/>
    <n v="850"/>
    <n v="235"/>
    <n v="600"/>
    <n v="1.35"/>
    <n v="41735"/>
    <n v="20867.5"/>
    <n v="20400"/>
    <n v="21835"/>
    <n v="0.47681801844974242"/>
  </r>
  <r>
    <s v="Canada"/>
    <x v="225"/>
    <s v="Lakehead University"/>
    <s v="Computer Science"/>
    <s v="Bachelor"/>
    <n v="4"/>
    <n v="28200"/>
    <n v="56.2"/>
    <n v="800"/>
    <n v="235"/>
    <n v="600"/>
    <n v="1.35"/>
    <n v="69235"/>
    <n v="17308.75"/>
    <n v="38400"/>
    <n v="41035"/>
    <n v="0.4073084422618618"/>
  </r>
  <r>
    <s v="Canada"/>
    <x v="225"/>
    <s v="Lakehead University"/>
    <s v="Computer Science"/>
    <s v="Master"/>
    <n v="2"/>
    <n v="19600"/>
    <n v="56.2"/>
    <n v="800"/>
    <n v="235"/>
    <n v="600"/>
    <n v="1.35"/>
    <n v="40235"/>
    <n v="20117.5"/>
    <n v="19200"/>
    <n v="20635"/>
    <n v="0.4871380638747359"/>
  </r>
  <r>
    <s v="Canada"/>
    <x v="226"/>
    <s v="Laurentian University"/>
    <s v="Computer Science"/>
    <s v="Bachelor"/>
    <n v="4"/>
    <n v="27600"/>
    <n v="55.8"/>
    <n v="800"/>
    <n v="235"/>
    <n v="600"/>
    <n v="1.35"/>
    <n v="68635"/>
    <n v="17158.75"/>
    <n v="38400"/>
    <n v="41035"/>
    <n v="0.40212719458002477"/>
  </r>
  <r>
    <s v="Canada"/>
    <x v="226"/>
    <s v="Laurentian University"/>
    <s v="Computer Science"/>
    <s v="Master"/>
    <n v="2"/>
    <n v="19300"/>
    <n v="55.8"/>
    <n v="800"/>
    <n v="235"/>
    <n v="600"/>
    <n v="1.35"/>
    <n v="39935"/>
    <n v="19967.5"/>
    <n v="19200"/>
    <n v="20635"/>
    <n v="0.48328533867534745"/>
  </r>
  <r>
    <s v="Canada"/>
    <x v="227"/>
    <s v="UNBC"/>
    <s v="Computer Science"/>
    <s v="Bachelor"/>
    <n v="4"/>
    <n v="27000"/>
    <n v="55.5"/>
    <n v="750"/>
    <n v="235"/>
    <n v="600"/>
    <n v="1.35"/>
    <n v="65635"/>
    <n v="16408.75"/>
    <n v="36000"/>
    <n v="38635"/>
    <n v="0.41136588710291766"/>
  </r>
  <r>
    <s v="Canada"/>
    <x v="227"/>
    <s v="UNBC"/>
    <s v="Computer Science"/>
    <s v="Master"/>
    <n v="2"/>
    <n v="19000"/>
    <n v="55.5"/>
    <n v="750"/>
    <n v="235"/>
    <n v="600"/>
    <n v="1.35"/>
    <n v="38435"/>
    <n v="19217.5"/>
    <n v="18000"/>
    <n v="19435"/>
    <n v="0.49434109535579551"/>
  </r>
  <r>
    <s v="Australia"/>
    <x v="3"/>
    <s v="University of Melbourne"/>
    <s v="Computer Science"/>
    <s v="Bachelor"/>
    <n v="3"/>
    <n v="42500"/>
    <n v="72.8"/>
    <n v="1800"/>
    <n v="450"/>
    <n v="650"/>
    <n v="1.52"/>
    <n v="109700"/>
    <n v="36566.666666666664"/>
    <n v="64800"/>
    <n v="67200"/>
    <n v="0.38742023701002737"/>
  </r>
  <r>
    <s v="Australia"/>
    <x v="3"/>
    <s v="University of Melbourne"/>
    <s v="Computer Science"/>
    <s v="Master"/>
    <n v="2"/>
    <n v="45800"/>
    <n v="72.8"/>
    <n v="1800"/>
    <n v="450"/>
    <n v="650"/>
    <n v="1.52"/>
    <n v="90750"/>
    <n v="45375"/>
    <n v="43200"/>
    <n v="44950"/>
    <n v="0.50468319559228647"/>
  </r>
  <r>
    <s v="Australia"/>
    <x v="3"/>
    <s v="University of Melbourne"/>
    <s v="Computer Science"/>
    <s v="PhD"/>
    <n v="4"/>
    <n v="35000"/>
    <n v="72.8"/>
    <n v="1800"/>
    <n v="450"/>
    <n v="650"/>
    <n v="1.52"/>
    <n v="124450"/>
    <n v="31112.5"/>
    <n v="86400"/>
    <n v="89450"/>
    <n v="0.28123744475693052"/>
  </r>
  <r>
    <s v="Australia"/>
    <x v="51"/>
    <s v="University of Sydney"/>
    <s v="Computer Science"/>
    <s v="Bachelor"/>
    <n v="3"/>
    <n v="41800"/>
    <n v="74.5"/>
    <n v="2000"/>
    <n v="450"/>
    <n v="650"/>
    <n v="1.52"/>
    <n v="116200"/>
    <n v="38733.333333333336"/>
    <n v="72000"/>
    <n v="74400"/>
    <n v="0.35972461273666095"/>
  </r>
  <r>
    <s v="Australia"/>
    <x v="51"/>
    <s v="University of Sydney"/>
    <s v="Computer Science"/>
    <s v="Master"/>
    <n v="2"/>
    <n v="44900"/>
    <n v="74.5"/>
    <n v="2000"/>
    <n v="450"/>
    <n v="650"/>
    <n v="1.52"/>
    <n v="94650"/>
    <n v="47325"/>
    <n v="48000"/>
    <n v="49750"/>
    <n v="0.47437929212889596"/>
  </r>
  <r>
    <s v="Australia"/>
    <x v="51"/>
    <s v="University of Sydney"/>
    <s v="Computer Science"/>
    <s v="PhD"/>
    <n v="4"/>
    <n v="34500"/>
    <n v="74.5"/>
    <n v="2000"/>
    <n v="450"/>
    <n v="650"/>
    <n v="1.52"/>
    <n v="133550"/>
    <n v="33387.5"/>
    <n v="96000"/>
    <n v="99050"/>
    <n v="0.25833021340321977"/>
  </r>
  <r>
    <s v="Australia"/>
    <x v="36"/>
    <s v="Australian National University"/>
    <s v="Computer Science"/>
    <s v="Bachelor"/>
    <n v="3"/>
    <n v="41200"/>
    <n v="68.900000000000006"/>
    <n v="1600"/>
    <n v="450"/>
    <n v="650"/>
    <n v="1.52"/>
    <n v="101200"/>
    <n v="33733.333333333336"/>
    <n v="57600"/>
    <n v="60000"/>
    <n v="0.40711462450592883"/>
  </r>
  <r>
    <s v="Australia"/>
    <x v="36"/>
    <s v="Australian National University"/>
    <s v="Computer Science"/>
    <s v="Master"/>
    <n v="2"/>
    <n v="44200"/>
    <n v="68.900000000000006"/>
    <n v="1600"/>
    <n v="450"/>
    <n v="650"/>
    <n v="1.52"/>
    <n v="84350"/>
    <n v="42175"/>
    <n v="38400"/>
    <n v="40150"/>
    <n v="0.5240071132187315"/>
  </r>
  <r>
    <s v="Australia"/>
    <x v="36"/>
    <s v="Australian National University"/>
    <s v="Computer Science"/>
    <s v="PhD"/>
    <n v="4"/>
    <n v="34000"/>
    <n v="68.900000000000006"/>
    <n v="1600"/>
    <n v="450"/>
    <n v="650"/>
    <n v="1.52"/>
    <n v="113850"/>
    <n v="28462.5"/>
    <n v="76800"/>
    <n v="79850"/>
    <n v="0.29863855950812473"/>
  </r>
  <r>
    <s v="Australia"/>
    <x v="228"/>
    <s v="University of Queensland"/>
    <s v="Computer Science"/>
    <s v="Bachelor"/>
    <n v="3"/>
    <n v="40500"/>
    <n v="69.2"/>
    <n v="1500"/>
    <n v="450"/>
    <n v="650"/>
    <n v="1.52"/>
    <n v="96900"/>
    <n v="32300"/>
    <n v="54000"/>
    <n v="56400"/>
    <n v="0.41795665634674922"/>
  </r>
  <r>
    <s v="Australia"/>
    <x v="228"/>
    <s v="University of Queensland"/>
    <s v="Computer Science"/>
    <s v="Master"/>
    <n v="2"/>
    <n v="43500"/>
    <n v="69.2"/>
    <n v="1500"/>
    <n v="450"/>
    <n v="650"/>
    <n v="1.52"/>
    <n v="81250"/>
    <n v="40625"/>
    <n v="36000"/>
    <n v="37750"/>
    <n v="0.53538461538461535"/>
  </r>
  <r>
    <s v="Australia"/>
    <x v="228"/>
    <s v="University of Queensland"/>
    <s v="Computer Science"/>
    <s v="PhD"/>
    <n v="4"/>
    <n v="33500"/>
    <n v="69.2"/>
    <n v="1500"/>
    <n v="450"/>
    <n v="650"/>
    <n v="1.52"/>
    <n v="108550"/>
    <n v="27137.5"/>
    <n v="72000"/>
    <n v="75050"/>
    <n v="0.30861354214647629"/>
  </r>
  <r>
    <s v="Australia"/>
    <x v="51"/>
    <s v="University of New South Wales"/>
    <s v="Computer Science"/>
    <s v="Bachelor"/>
    <n v="3"/>
    <n v="40200"/>
    <n v="74.5"/>
    <n v="1900"/>
    <n v="450"/>
    <n v="650"/>
    <n v="1.52"/>
    <n v="111000"/>
    <n v="37000"/>
    <n v="68400"/>
    <n v="70800"/>
    <n v="0.36216216216216218"/>
  </r>
  <r>
    <s v="Australia"/>
    <x v="51"/>
    <s v="University of New South Wales"/>
    <s v="Computer Science"/>
    <s v="Master"/>
    <n v="2"/>
    <n v="43200"/>
    <n v="74.5"/>
    <n v="1900"/>
    <n v="450"/>
    <n v="650"/>
    <n v="1.52"/>
    <n v="90550"/>
    <n v="45275"/>
    <n v="45600"/>
    <n v="47350"/>
    <n v="0.47708448371065709"/>
  </r>
  <r>
    <s v="Australia"/>
    <x v="51"/>
    <s v="University of New South Wales"/>
    <s v="Computer Science"/>
    <s v="PhD"/>
    <n v="4"/>
    <n v="33200"/>
    <n v="74.5"/>
    <n v="1900"/>
    <n v="450"/>
    <n v="650"/>
    <n v="1.52"/>
    <n v="127450"/>
    <n v="31862.5"/>
    <n v="91200"/>
    <n v="94250"/>
    <n v="0.26049431149470381"/>
  </r>
  <r>
    <s v="Australia"/>
    <x v="3"/>
    <s v="Monash University"/>
    <s v="Computer Science"/>
    <s v="Bachelor"/>
    <n v="3"/>
    <n v="39800"/>
    <n v="72.8"/>
    <n v="1700"/>
    <n v="450"/>
    <n v="650"/>
    <n v="1.52"/>
    <n v="103400"/>
    <n v="34466.666666666664"/>
    <n v="61200"/>
    <n v="63600"/>
    <n v="0.38491295938104447"/>
  </r>
  <r>
    <s v="Australia"/>
    <x v="3"/>
    <s v="Monash University"/>
    <s v="Computer Science"/>
    <s v="Master"/>
    <n v="2"/>
    <n v="42800"/>
    <n v="72.8"/>
    <n v="1700"/>
    <n v="450"/>
    <n v="650"/>
    <n v="1.52"/>
    <n v="85350"/>
    <n v="42675"/>
    <n v="40800"/>
    <n v="42550"/>
    <n v="0.50146455770357357"/>
  </r>
  <r>
    <s v="Australia"/>
    <x v="3"/>
    <s v="Monash University"/>
    <s v="Computer Science"/>
    <s v="PhD"/>
    <n v="4"/>
    <n v="32800"/>
    <n v="72.8"/>
    <n v="1700"/>
    <n v="450"/>
    <n v="650"/>
    <n v="1.52"/>
    <n v="117450"/>
    <n v="29362.5"/>
    <n v="81600"/>
    <n v="84650"/>
    <n v="0.27926777352064708"/>
  </r>
  <r>
    <s v="Australia"/>
    <x v="68"/>
    <s v="University of Adelaide"/>
    <s v="Computer Science"/>
    <s v="Bachelor"/>
    <n v="3"/>
    <n v="39200"/>
    <n v="67.5"/>
    <n v="1400"/>
    <n v="450"/>
    <n v="650"/>
    <n v="1.52"/>
    <n v="92000"/>
    <n v="30666.666666666668"/>
    <n v="50400"/>
    <n v="52800"/>
    <n v="0.42608695652173911"/>
  </r>
  <r>
    <s v="Australia"/>
    <x v="68"/>
    <s v="University of Adelaide"/>
    <s v="Computer Science"/>
    <s v="Master"/>
    <n v="2"/>
    <n v="42200"/>
    <n v="67.5"/>
    <n v="1400"/>
    <n v="450"/>
    <n v="650"/>
    <n v="1.52"/>
    <n v="77550"/>
    <n v="38775"/>
    <n v="33600"/>
    <n v="35350"/>
    <n v="0.54416505480335264"/>
  </r>
  <r>
    <s v="Australia"/>
    <x v="68"/>
    <s v="University of Adelaide"/>
    <s v="Computer Science"/>
    <s v="PhD"/>
    <n v="4"/>
    <n v="32200"/>
    <n v="67.5"/>
    <n v="1400"/>
    <n v="450"/>
    <n v="650"/>
    <n v="1.52"/>
    <n v="102450"/>
    <n v="25612.5"/>
    <n v="67200"/>
    <n v="70250"/>
    <n v="0.31429965836993656"/>
  </r>
  <r>
    <s v="Australia"/>
    <x v="69"/>
    <s v="University of Western Australia"/>
    <s v="Computer Science"/>
    <s v="Bachelor"/>
    <n v="3"/>
    <n v="38800"/>
    <n v="68.2"/>
    <n v="1500"/>
    <n v="450"/>
    <n v="650"/>
    <n v="1.52"/>
    <n v="95200"/>
    <n v="31733.333333333332"/>
    <n v="54000"/>
    <n v="56400"/>
    <n v="0.40756302521008403"/>
  </r>
  <r>
    <s v="Australia"/>
    <x v="69"/>
    <s v="University of Western Australia"/>
    <s v="Computer Science"/>
    <s v="Master"/>
    <n v="2"/>
    <n v="41800"/>
    <n v="68.2"/>
    <n v="1500"/>
    <n v="450"/>
    <n v="650"/>
    <n v="1.52"/>
    <n v="79550"/>
    <n v="39775"/>
    <n v="36000"/>
    <n v="37750"/>
    <n v="0.52545568824638589"/>
  </r>
  <r>
    <s v="Australia"/>
    <x v="69"/>
    <s v="University of Western Australia"/>
    <s v="Computer Science"/>
    <s v="PhD"/>
    <n v="4"/>
    <n v="31800"/>
    <n v="68.2"/>
    <n v="1500"/>
    <n v="450"/>
    <n v="650"/>
    <n v="1.52"/>
    <n v="106850"/>
    <n v="26712.5"/>
    <n v="72000"/>
    <n v="75050"/>
    <n v="0.29761347683668693"/>
  </r>
  <r>
    <s v="Australia"/>
    <x v="228"/>
    <s v="Queensland University of Technology"/>
    <s v="Computer Science"/>
    <s v="Bachelor"/>
    <n v="3"/>
    <n v="38200"/>
    <n v="69.2"/>
    <n v="1400"/>
    <n v="450"/>
    <n v="650"/>
    <n v="1.52"/>
    <n v="91000"/>
    <n v="30333.333333333332"/>
    <n v="50400"/>
    <n v="52800"/>
    <n v="0.41978021978021979"/>
  </r>
  <r>
    <s v="Australia"/>
    <x v="228"/>
    <s v="Queensland University of Technology"/>
    <s v="Computer Science"/>
    <s v="Master"/>
    <n v="2"/>
    <n v="41200"/>
    <n v="69.2"/>
    <n v="1400"/>
    <n v="450"/>
    <n v="650"/>
    <n v="1.52"/>
    <n v="76550"/>
    <n v="38275"/>
    <n v="33600"/>
    <n v="35350"/>
    <n v="0.53821032005225344"/>
  </r>
  <r>
    <s v="Australia"/>
    <x v="228"/>
    <s v="Queensland University of Technology"/>
    <s v="Computer Science"/>
    <s v="PhD"/>
    <n v="4"/>
    <n v="31200"/>
    <n v="69.2"/>
    <n v="1400"/>
    <n v="450"/>
    <n v="650"/>
    <n v="1.52"/>
    <n v="101450"/>
    <n v="25362.5"/>
    <n v="67200"/>
    <n v="70250"/>
    <n v="0.30754066042385414"/>
  </r>
  <r>
    <s v="Australia"/>
    <x v="51"/>
    <s v="University of Technology Sydney"/>
    <s v="Computer Science"/>
    <s v="Bachelor"/>
    <n v="3"/>
    <n v="37800"/>
    <n v="74.5"/>
    <n v="1800"/>
    <n v="450"/>
    <n v="650"/>
    <n v="1.52"/>
    <n v="105000"/>
    <n v="35000"/>
    <n v="64800"/>
    <n v="67200"/>
    <n v="0.36"/>
  </r>
  <r>
    <s v="Australia"/>
    <x v="51"/>
    <s v="University of Technology Sydney"/>
    <s v="Computer Science"/>
    <s v="Master"/>
    <n v="2"/>
    <n v="40800"/>
    <n v="74.5"/>
    <n v="1800"/>
    <n v="450"/>
    <n v="650"/>
    <n v="1.52"/>
    <n v="85750"/>
    <n v="42875"/>
    <n v="43200"/>
    <n v="44950"/>
    <n v="0.47580174927113705"/>
  </r>
  <r>
    <s v="Australia"/>
    <x v="51"/>
    <s v="University of Technology Sydney"/>
    <s v="Computer Science"/>
    <s v="PhD"/>
    <n v="4"/>
    <n v="30800"/>
    <n v="74.5"/>
    <n v="1800"/>
    <n v="450"/>
    <n v="650"/>
    <n v="1.52"/>
    <n v="120250"/>
    <n v="30062.5"/>
    <n v="86400"/>
    <n v="89450"/>
    <n v="0.25613305613305615"/>
  </r>
  <r>
    <s v="Australia"/>
    <x v="3"/>
    <s v="RMIT University"/>
    <s v="Computer Science"/>
    <s v="Bachelor"/>
    <n v="3"/>
    <n v="37200"/>
    <n v="72.8"/>
    <n v="1600"/>
    <n v="450"/>
    <n v="650"/>
    <n v="1.52"/>
    <n v="97200"/>
    <n v="32400"/>
    <n v="57600"/>
    <n v="60000"/>
    <n v="0.38271604938271603"/>
  </r>
  <r>
    <s v="Australia"/>
    <x v="3"/>
    <s v="RMIT University"/>
    <s v="Computer Science"/>
    <s v="Master"/>
    <n v="2"/>
    <n v="40200"/>
    <n v="72.8"/>
    <n v="1600"/>
    <n v="450"/>
    <n v="650"/>
    <n v="1.52"/>
    <n v="80350"/>
    <n v="40175"/>
    <n v="38400"/>
    <n v="40150"/>
    <n v="0.50031113876789046"/>
  </r>
  <r>
    <s v="Australia"/>
    <x v="3"/>
    <s v="RMIT University"/>
    <s v="Computer Science"/>
    <s v="PhD"/>
    <n v="4"/>
    <n v="30200"/>
    <n v="72.8"/>
    <n v="1600"/>
    <n v="450"/>
    <n v="650"/>
    <n v="1.52"/>
    <n v="110050"/>
    <n v="27512.5"/>
    <n v="76800"/>
    <n v="79850"/>
    <n v="0.27442071785552019"/>
  </r>
  <r>
    <s v="Australia"/>
    <x v="73"/>
    <s v="University of Wollongong"/>
    <s v="Computer Science"/>
    <s v="Bachelor"/>
    <n v="3"/>
    <n v="36800"/>
    <n v="65.8"/>
    <n v="1300"/>
    <n v="450"/>
    <n v="650"/>
    <n v="1.52"/>
    <n v="86000"/>
    <n v="28666.666666666668"/>
    <n v="46800"/>
    <n v="49200"/>
    <n v="0.42790697674418604"/>
  </r>
  <r>
    <s v="Australia"/>
    <x v="73"/>
    <s v="University of Wollongong"/>
    <s v="Computer Science"/>
    <s v="Master"/>
    <n v="2"/>
    <n v="39800"/>
    <n v="65.8"/>
    <n v="1300"/>
    <n v="450"/>
    <n v="650"/>
    <n v="1.52"/>
    <n v="72750"/>
    <n v="36375"/>
    <n v="31200"/>
    <n v="32950"/>
    <n v="0.54707903780068734"/>
  </r>
  <r>
    <s v="Australia"/>
    <x v="73"/>
    <s v="University of Wollongong"/>
    <s v="Computer Science"/>
    <s v="PhD"/>
    <n v="4"/>
    <n v="29800"/>
    <n v="65.8"/>
    <n v="1300"/>
    <n v="450"/>
    <n v="650"/>
    <n v="1.52"/>
    <n v="95250"/>
    <n v="23812.5"/>
    <n v="62400"/>
    <n v="65450"/>
    <n v="0.31286089238845144"/>
  </r>
  <r>
    <s v="Australia"/>
    <x v="72"/>
    <s v="University of Newcastle"/>
    <s v="Computer Science"/>
    <s v="Bachelor"/>
    <n v="3"/>
    <n v="36200"/>
    <n v="66.2"/>
    <n v="1300"/>
    <n v="450"/>
    <n v="650"/>
    <n v="1.52"/>
    <n v="85400"/>
    <n v="28466.666666666668"/>
    <n v="46800"/>
    <n v="49200"/>
    <n v="0.42388758782201408"/>
  </r>
  <r>
    <s v="Australia"/>
    <x v="72"/>
    <s v="University of Newcastle"/>
    <s v="Computer Science"/>
    <s v="Master"/>
    <n v="2"/>
    <n v="39200"/>
    <n v="66.2"/>
    <n v="1300"/>
    <n v="450"/>
    <n v="650"/>
    <n v="1.52"/>
    <n v="72150"/>
    <n v="36075"/>
    <n v="31200"/>
    <n v="32950"/>
    <n v="0.54331254331254331"/>
  </r>
  <r>
    <s v="Australia"/>
    <x v="72"/>
    <s v="University of Newcastle"/>
    <s v="Computer Science"/>
    <s v="PhD"/>
    <n v="4"/>
    <n v="29200"/>
    <n v="66.2"/>
    <n v="1300"/>
    <n v="450"/>
    <n v="650"/>
    <n v="1.52"/>
    <n v="94650"/>
    <n v="23662.5"/>
    <n v="62400"/>
    <n v="65450"/>
    <n v="0.30850501848917061"/>
  </r>
  <r>
    <s v="Australia"/>
    <x v="71"/>
    <s v="University of Tasmania"/>
    <s v="Computer Science"/>
    <s v="Bachelor"/>
    <n v="3"/>
    <n v="35800"/>
    <n v="64.5"/>
    <n v="1200"/>
    <n v="450"/>
    <n v="650"/>
    <n v="1.52"/>
    <n v="81400"/>
    <n v="27133.333333333332"/>
    <n v="43200"/>
    <n v="45600"/>
    <n v="0.43980343980343978"/>
  </r>
  <r>
    <s v="Australia"/>
    <x v="71"/>
    <s v="University of Tasmania"/>
    <s v="Computer Science"/>
    <s v="Master"/>
    <n v="2"/>
    <n v="38800"/>
    <n v="64.5"/>
    <n v="1200"/>
    <n v="450"/>
    <n v="650"/>
    <n v="1.52"/>
    <n v="69350"/>
    <n v="34675"/>
    <n v="28800"/>
    <n v="30550"/>
    <n v="0.55948089401586154"/>
  </r>
  <r>
    <s v="Australia"/>
    <x v="71"/>
    <s v="University of Tasmania"/>
    <s v="Computer Science"/>
    <s v="PhD"/>
    <n v="4"/>
    <n v="28800"/>
    <n v="64.5"/>
    <n v="1200"/>
    <n v="450"/>
    <n v="650"/>
    <n v="1.52"/>
    <n v="89450"/>
    <n v="22362.5"/>
    <n v="57600"/>
    <n v="60650"/>
    <n v="0.3219675796534377"/>
  </r>
  <r>
    <s v="Australia"/>
    <x v="70"/>
    <s v="Griffith University"/>
    <s v="Computer Science"/>
    <s v="Bachelor"/>
    <n v="3"/>
    <n v="35200"/>
    <n v="68.5"/>
    <n v="1400"/>
    <n v="450"/>
    <n v="650"/>
    <n v="1.52"/>
    <n v="88000"/>
    <n v="29333.333333333332"/>
    <n v="50400"/>
    <n v="52800"/>
    <n v="0.4"/>
  </r>
  <r>
    <s v="Australia"/>
    <x v="70"/>
    <s v="Griffith University"/>
    <s v="Computer Science"/>
    <s v="Master"/>
    <n v="2"/>
    <n v="38200"/>
    <n v="68.5"/>
    <n v="1400"/>
    <n v="450"/>
    <n v="650"/>
    <n v="1.52"/>
    <n v="73550"/>
    <n v="36775"/>
    <n v="33600"/>
    <n v="35350"/>
    <n v="0.51937457511896667"/>
  </r>
  <r>
    <s v="Australia"/>
    <x v="70"/>
    <s v="Griffith University"/>
    <s v="Computer Science"/>
    <s v="PhD"/>
    <n v="4"/>
    <n v="28200"/>
    <n v="68.5"/>
    <n v="1400"/>
    <n v="450"/>
    <n v="650"/>
    <n v="1.52"/>
    <n v="98450"/>
    <n v="24612.5"/>
    <n v="67200"/>
    <n v="70250"/>
    <n v="0.28643981716607414"/>
  </r>
  <r>
    <s v="Australia"/>
    <x v="36"/>
    <s v="University of Canberra"/>
    <s v="Computer Science"/>
    <s v="Bachelor"/>
    <n v="3"/>
    <n v="34800"/>
    <n v="68.900000000000006"/>
    <n v="1500"/>
    <n v="450"/>
    <n v="650"/>
    <n v="1.52"/>
    <n v="91200"/>
    <n v="30400"/>
    <n v="54000"/>
    <n v="56400"/>
    <n v="0.38157894736842107"/>
  </r>
  <r>
    <s v="Australia"/>
    <x v="36"/>
    <s v="University of Canberra"/>
    <s v="Computer Science"/>
    <s v="Master"/>
    <n v="2"/>
    <n v="37800"/>
    <n v="68.900000000000006"/>
    <n v="1500"/>
    <n v="450"/>
    <n v="650"/>
    <n v="1.52"/>
    <n v="75550"/>
    <n v="37775"/>
    <n v="36000"/>
    <n v="37750"/>
    <n v="0.50033090668431501"/>
  </r>
  <r>
    <s v="Australia"/>
    <x v="36"/>
    <s v="University of Canberra"/>
    <s v="Computer Science"/>
    <s v="PhD"/>
    <n v="4"/>
    <n v="27800"/>
    <n v="68.900000000000006"/>
    <n v="1500"/>
    <n v="450"/>
    <n v="650"/>
    <n v="1.52"/>
    <n v="102850"/>
    <n v="25712.5"/>
    <n v="72000"/>
    <n v="75050"/>
    <n v="0.2702965483714147"/>
  </r>
  <r>
    <s v="Australia"/>
    <x v="75"/>
    <s v="James Cook University"/>
    <s v="Computer Science"/>
    <s v="Bachelor"/>
    <n v="3"/>
    <n v="34200"/>
    <n v="65.2"/>
    <n v="1200"/>
    <n v="450"/>
    <n v="650"/>
    <n v="1.52"/>
    <n v="79800"/>
    <n v="26600"/>
    <n v="43200"/>
    <n v="45600"/>
    <n v="0.42857142857142855"/>
  </r>
  <r>
    <s v="Australia"/>
    <x v="75"/>
    <s v="James Cook University"/>
    <s v="Computer Science"/>
    <s v="Master"/>
    <n v="2"/>
    <n v="37200"/>
    <n v="65.2"/>
    <n v="1200"/>
    <n v="450"/>
    <n v="650"/>
    <n v="1.52"/>
    <n v="67750"/>
    <n v="33875"/>
    <n v="28800"/>
    <n v="30550"/>
    <n v="0.54907749077490775"/>
  </r>
  <r>
    <s v="Australia"/>
    <x v="75"/>
    <s v="James Cook University"/>
    <s v="Computer Science"/>
    <s v="PhD"/>
    <n v="4"/>
    <n v="27200"/>
    <n v="65.2"/>
    <n v="1200"/>
    <n v="450"/>
    <n v="650"/>
    <n v="1.52"/>
    <n v="87850"/>
    <n v="21962.5"/>
    <n v="57600"/>
    <n v="60650"/>
    <n v="0.30961866818440525"/>
  </r>
  <r>
    <s v="Australia"/>
    <x v="77"/>
    <s v="University of New England"/>
    <s v="Computer Science"/>
    <s v="Bachelor"/>
    <n v="3"/>
    <n v="33800"/>
    <n v="63.8"/>
    <n v="1100"/>
    <n v="450"/>
    <n v="650"/>
    <n v="1.52"/>
    <n v="75800"/>
    <n v="25266.666666666668"/>
    <n v="39600"/>
    <n v="42000"/>
    <n v="0.44591029023746703"/>
  </r>
  <r>
    <s v="Australia"/>
    <x v="77"/>
    <s v="University of New England"/>
    <s v="Computer Science"/>
    <s v="Master"/>
    <n v="2"/>
    <n v="36800"/>
    <n v="63.8"/>
    <n v="1100"/>
    <n v="450"/>
    <n v="650"/>
    <n v="1.52"/>
    <n v="64950"/>
    <n v="32475"/>
    <n v="26400"/>
    <n v="28150"/>
    <n v="0.56658968437259427"/>
  </r>
  <r>
    <s v="Australia"/>
    <x v="77"/>
    <s v="University of New England"/>
    <s v="Computer Science"/>
    <s v="PhD"/>
    <n v="4"/>
    <n v="26800"/>
    <n v="63.8"/>
    <n v="1100"/>
    <n v="450"/>
    <n v="650"/>
    <n v="1.52"/>
    <n v="82650"/>
    <n v="20662.5"/>
    <n v="52800"/>
    <n v="55850"/>
    <n v="0.32425892316999394"/>
  </r>
  <r>
    <s v="Australia"/>
    <x v="229"/>
    <s v="University of Southern Queensland"/>
    <s v="Computer Science"/>
    <s v="Bachelor"/>
    <n v="3"/>
    <n v="33200"/>
    <n v="64.2"/>
    <n v="1100"/>
    <n v="450"/>
    <n v="650"/>
    <n v="1.52"/>
    <n v="75200"/>
    <n v="25066.666666666668"/>
    <n v="39600"/>
    <n v="42000"/>
    <n v="0.44148936170212766"/>
  </r>
  <r>
    <s v="Australia"/>
    <x v="229"/>
    <s v="University of Southern Queensland"/>
    <s v="Computer Science"/>
    <s v="Master"/>
    <n v="2"/>
    <n v="36200"/>
    <n v="64.2"/>
    <n v="1100"/>
    <n v="450"/>
    <n v="650"/>
    <n v="1.52"/>
    <n v="64350"/>
    <n v="32175"/>
    <n v="26400"/>
    <n v="28150"/>
    <n v="0.56254856254856256"/>
  </r>
  <r>
    <s v="Australia"/>
    <x v="229"/>
    <s v="University of Southern Queensland"/>
    <s v="Computer Science"/>
    <s v="PhD"/>
    <n v="4"/>
    <n v="26200"/>
    <n v="64.2"/>
    <n v="1100"/>
    <n v="450"/>
    <n v="650"/>
    <n v="1.52"/>
    <n v="82050"/>
    <n v="20512.5"/>
    <n v="52800"/>
    <n v="55850"/>
    <n v="0.31931748933577087"/>
  </r>
  <r>
    <s v="Australia"/>
    <x v="230"/>
    <s v="Federation University"/>
    <s v="Computer Science"/>
    <s v="Bachelor"/>
    <n v="3"/>
    <n v="32800"/>
    <n v="63.5"/>
    <n v="1000"/>
    <n v="450"/>
    <n v="650"/>
    <n v="1.52"/>
    <n v="71200"/>
    <n v="23733.333333333332"/>
    <n v="36000"/>
    <n v="38400"/>
    <n v="0.4606741573033708"/>
  </r>
  <r>
    <s v="Australia"/>
    <x v="230"/>
    <s v="Federation University"/>
    <s v="Computer Science"/>
    <s v="Master"/>
    <n v="2"/>
    <n v="35800"/>
    <n v="63.5"/>
    <n v="1000"/>
    <n v="450"/>
    <n v="650"/>
    <n v="1.52"/>
    <n v="61550"/>
    <n v="30775"/>
    <n v="24000"/>
    <n v="25750"/>
    <n v="0.58164094232331442"/>
  </r>
  <r>
    <s v="Australia"/>
    <x v="230"/>
    <s v="Federation University"/>
    <s v="Computer Science"/>
    <s v="PhD"/>
    <n v="4"/>
    <n v="25800"/>
    <n v="63.5"/>
    <n v="1000"/>
    <n v="450"/>
    <n v="650"/>
    <n v="1.52"/>
    <n v="76850"/>
    <n v="19212.5"/>
    <n v="48000"/>
    <n v="51050"/>
    <n v="0.33571893298633704"/>
  </r>
  <r>
    <s v="Australia"/>
    <x v="231"/>
    <s v="Southern Cross University"/>
    <s v="Computer Science"/>
    <s v="Bachelor"/>
    <n v="3"/>
    <n v="32200"/>
    <n v="63.2"/>
    <n v="1000"/>
    <n v="450"/>
    <n v="650"/>
    <n v="1.52"/>
    <n v="70600"/>
    <n v="23533.333333333332"/>
    <n v="36000"/>
    <n v="38400"/>
    <n v="0.45609065155807366"/>
  </r>
  <r>
    <s v="Australia"/>
    <x v="231"/>
    <s v="Southern Cross University"/>
    <s v="Computer Science"/>
    <s v="Master"/>
    <n v="2"/>
    <n v="35200"/>
    <n v="63.2"/>
    <n v="1000"/>
    <n v="450"/>
    <n v="650"/>
    <n v="1.52"/>
    <n v="60950"/>
    <n v="30475"/>
    <n v="24000"/>
    <n v="25750"/>
    <n v="0.57752255947497955"/>
  </r>
  <r>
    <s v="Australia"/>
    <x v="231"/>
    <s v="Southern Cross University"/>
    <s v="Computer Science"/>
    <s v="PhD"/>
    <n v="4"/>
    <n v="25200"/>
    <n v="63.2"/>
    <n v="1000"/>
    <n v="450"/>
    <n v="650"/>
    <n v="1.52"/>
    <n v="76250"/>
    <n v="19062.5"/>
    <n v="48000"/>
    <n v="51050"/>
    <n v="0.33049180327868855"/>
  </r>
  <r>
    <s v="USA"/>
    <x v="30"/>
    <s v="MIT"/>
    <s v="Computer Science"/>
    <s v="Master"/>
    <n v="2"/>
    <n v="58000"/>
    <n v="82.1"/>
    <n v="2100"/>
    <n v="160"/>
    <n v="1500"/>
    <n v="1"/>
    <n v="111560"/>
    <n v="55780"/>
    <n v="50400"/>
    <n v="53560"/>
    <n v="0.51989960559340265"/>
  </r>
  <r>
    <s v="UK"/>
    <x v="1"/>
    <s v="Imperial College London"/>
    <s v="Data Science"/>
    <s v="Master"/>
    <n v="1"/>
    <n v="42000"/>
    <n v="75.3"/>
    <n v="1800"/>
    <n v="485"/>
    <n v="800"/>
    <n v="0.79"/>
    <n v="64885"/>
    <n v="64885"/>
    <n v="21600"/>
    <n v="22885"/>
    <n v="0.647299067581105"/>
  </r>
  <r>
    <s v="Germany"/>
    <x v="4"/>
    <s v="TU Munich"/>
    <s v="Mechanical Engineering"/>
    <s v="Master"/>
    <n v="2"/>
    <n v="0"/>
    <n v="71.5"/>
    <n v="1200"/>
    <n v="110"/>
    <n v="900"/>
    <n v="0.92"/>
    <n v="30710"/>
    <n v="15355"/>
    <n v="28800"/>
    <n v="30710"/>
    <n v="0"/>
  </r>
  <r>
    <s v="Canada"/>
    <x v="2"/>
    <s v="University of Toronto"/>
    <s v="Business Analytics"/>
    <s v="Master"/>
    <n v="2"/>
    <n v="45000"/>
    <n v="73.8"/>
    <n v="1700"/>
    <n v="235"/>
    <n v="750"/>
    <n v="1.35"/>
    <n v="87535"/>
    <n v="43767.5"/>
    <n v="40800"/>
    <n v="42535"/>
    <n v="0.51408008225281321"/>
  </r>
  <r>
    <s v="Australia"/>
    <x v="3"/>
    <s v="University of Melbourne"/>
    <s v="Artificial Intelligence"/>
    <s v="PhD"/>
    <n v="4"/>
    <n v="29000"/>
    <n v="72.400000000000006"/>
    <n v="1500"/>
    <n v="450"/>
    <n v="650"/>
    <n v="1.52"/>
    <n v="104050"/>
    <n v="26012.5"/>
    <n v="72000"/>
    <n v="75050"/>
    <n v="0.27871215761653051"/>
  </r>
  <r>
    <s v="USA"/>
    <x v="29"/>
    <s v="Stanford University"/>
    <s v="Physics"/>
    <s v="PhD"/>
    <n v="5"/>
    <n v="52000"/>
    <n v="84.3"/>
    <n v="2300"/>
    <n v="160"/>
    <n v="1500"/>
    <n v="1"/>
    <n v="197660"/>
    <n v="39532"/>
    <n v="138000"/>
    <n v="145660"/>
    <n v="0.26307801274916526"/>
  </r>
  <r>
    <s v="UK"/>
    <x v="188"/>
    <s v="University of Edinburgh"/>
    <s v="Chemistry"/>
    <s v="Master"/>
    <n v="2"/>
    <n v="38000"/>
    <n v="67.8"/>
    <n v="1100"/>
    <n v="485"/>
    <n v="800"/>
    <n v="0.79"/>
    <n v="66485"/>
    <n v="33242.5"/>
    <n v="26400"/>
    <n v="28485"/>
    <n v="0.57155749417161761"/>
  </r>
  <r>
    <s v="Germany"/>
    <x v="52"/>
    <s v="Humboldt University"/>
    <s v="Computer Science"/>
    <s v="Bachelor"/>
    <n v="3"/>
    <n v="0"/>
    <n v="68.900000000000006"/>
    <n v="950"/>
    <n v="110"/>
    <n v="900"/>
    <n v="0.92"/>
    <n v="37010"/>
    <n v="12336.666666666666"/>
    <n v="34200"/>
    <n v="37010"/>
    <n v="0"/>
  </r>
  <r>
    <s v="Canada"/>
    <x v="50"/>
    <s v="University of British Columbia"/>
    <s v="Environmental Science"/>
    <s v="Master"/>
    <n v="2"/>
    <n v="42000"/>
    <n v="71.2"/>
    <n v="1600"/>
    <n v="235"/>
    <n v="750"/>
    <n v="1.35"/>
    <n v="82135"/>
    <n v="41067.5"/>
    <n v="38400"/>
    <n v="40135"/>
    <n v="0.51135325987703173"/>
  </r>
  <r>
    <s v="Australia"/>
    <x v="51"/>
    <s v="University of Sydney"/>
    <s v="Biotechnology"/>
    <s v="PhD"/>
    <n v="4"/>
    <n v="31000"/>
    <n v="75.599999999999994"/>
    <n v="1700"/>
    <n v="450"/>
    <n v="650"/>
    <n v="1.52"/>
    <n v="115650"/>
    <n v="28912.5"/>
    <n v="81600"/>
    <n v="84650"/>
    <n v="0.2680501513186338"/>
  </r>
  <r>
    <s v="USA"/>
    <x v="48"/>
    <s v="UC Berkeley"/>
    <s v="Mathematics"/>
    <s v="Master"/>
    <n v="2"/>
    <n v="54000"/>
    <n v="83.2"/>
    <n v="2000"/>
    <n v="160"/>
    <n v="1500"/>
    <n v="1"/>
    <n v="105160"/>
    <n v="52580"/>
    <n v="48000"/>
    <n v="51160"/>
    <n v="0.5135032331685051"/>
  </r>
  <r>
    <s v="UK"/>
    <x v="49"/>
    <s v="University of Manchester"/>
    <s v="Engineering"/>
    <s v="Bachelor"/>
    <n v="3"/>
    <n v="35000"/>
    <n v="65.400000000000006"/>
    <n v="900"/>
    <n v="485"/>
    <n v="800"/>
    <n v="0.79"/>
    <n v="70285"/>
    <n v="23428.333333333332"/>
    <n v="32400"/>
    <n v="35285"/>
    <n v="0.49797254037134525"/>
  </r>
  <r>
    <s v="Germany"/>
    <x v="80"/>
    <s v="University of Hamburg"/>
    <s v="Physics"/>
    <s v="Master"/>
    <n v="2"/>
    <n v="0"/>
    <n v="69.8"/>
    <n v="1100"/>
    <n v="110"/>
    <n v="900"/>
    <n v="0.92"/>
    <n v="28310"/>
    <n v="14155"/>
    <n v="26400"/>
    <n v="28310"/>
    <n v="0"/>
  </r>
  <r>
    <s v="Canada"/>
    <x v="221"/>
    <s v="McGill University"/>
    <s v="Computer Science"/>
    <s v="PhD"/>
    <n v="4"/>
    <n v="38000"/>
    <n v="68.900000000000006"/>
    <n v="1400"/>
    <n v="235"/>
    <n v="750"/>
    <n v="1.35"/>
    <n v="108435"/>
    <n v="27108.75"/>
    <n v="67200"/>
    <n v="70435"/>
    <n v="0.35044035597362477"/>
  </r>
  <r>
    <s v="Australia"/>
    <x v="228"/>
    <s v="University of Queensland"/>
    <s v="Data Science"/>
    <s v="Master"/>
    <n v="2"/>
    <n v="32000"/>
    <n v="68.7"/>
    <n v="1200"/>
    <n v="450"/>
    <n v="650"/>
    <n v="1.52"/>
    <n v="62550"/>
    <n v="31275"/>
    <n v="28800"/>
    <n v="30550"/>
    <n v="0.51159072741806555"/>
  </r>
  <r>
    <s v="USA"/>
    <x v="126"/>
    <s v="Columbia University"/>
    <s v="Economics"/>
    <s v="Master"/>
    <n v="2"/>
    <n v="62000"/>
    <n v="100"/>
    <n v="2500"/>
    <n v="160"/>
    <n v="1500"/>
    <n v="1"/>
    <n v="125160"/>
    <n v="62580"/>
    <n v="60000"/>
    <n v="63160"/>
    <n v="0.49536593160754233"/>
  </r>
  <r>
    <s v="UK"/>
    <x v="31"/>
    <s v="University of Oxford"/>
    <s v="Computer Science"/>
    <s v="PhD"/>
    <n v="4"/>
    <n v="40000"/>
    <n v="71.5"/>
    <n v="1400"/>
    <n v="485"/>
    <n v="800"/>
    <n v="0.79"/>
    <n v="110885"/>
    <n v="27721.25"/>
    <n v="67200"/>
    <n v="70885"/>
    <n v="0.36073409388104793"/>
  </r>
  <r>
    <s v="Germany"/>
    <x v="78"/>
    <s v="TU Dresden"/>
    <s v="Mechanical Engineering"/>
    <s v="Bachelor"/>
    <n v="3"/>
    <n v="0"/>
    <n v="65.400000000000006"/>
    <n v="800"/>
    <n v="110"/>
    <n v="900"/>
    <n v="0.92"/>
    <n v="31610"/>
    <n v="10536.666666666666"/>
    <n v="28800"/>
    <n v="31610"/>
    <n v="0"/>
  </r>
  <r>
    <s v="Canada"/>
    <x v="23"/>
    <s v="University of Ottawa"/>
    <s v="Artificial Intelligence"/>
    <s v="Master"/>
    <n v="2"/>
    <n v="40000"/>
    <n v="67.8"/>
    <n v="1300"/>
    <n v="235"/>
    <n v="750"/>
    <n v="1.35"/>
    <n v="72935"/>
    <n v="36467.5"/>
    <n v="31200"/>
    <n v="32935"/>
    <n v="0.54843353671076989"/>
  </r>
  <r>
    <s v="Australia"/>
    <x v="69"/>
    <s v="University of Western Australia"/>
    <s v="Physics"/>
    <s v="Master"/>
    <n v="2"/>
    <n v="30000"/>
    <n v="67.2"/>
    <n v="1100"/>
    <n v="450"/>
    <n v="650"/>
    <n v="1.52"/>
    <n v="58150"/>
    <n v="29075"/>
    <n v="26400"/>
    <n v="28150"/>
    <n v="0.51590713671539123"/>
  </r>
  <r>
    <s v="USA"/>
    <x v="20"/>
    <s v="Georgia Tech"/>
    <s v="Engineering"/>
    <s v="PhD"/>
    <n v="5"/>
    <n v="48000"/>
    <n v="71.2"/>
    <n v="1700"/>
    <n v="160"/>
    <n v="1500"/>
    <n v="1"/>
    <n v="157660"/>
    <n v="31532"/>
    <n v="102000"/>
    <n v="109660"/>
    <n v="0.30445261956108083"/>
  </r>
  <r>
    <s v="UK"/>
    <x v="22"/>
    <s v="University of Bristol"/>
    <s v="Data Science"/>
    <s v="Master"/>
    <n v="2"/>
    <n v="36000"/>
    <n v="68.900000000000006"/>
    <n v="1200"/>
    <n v="485"/>
    <n v="800"/>
    <n v="0.79"/>
    <n v="66885"/>
    <n v="33442.5"/>
    <n v="28800"/>
    <n v="30885"/>
    <n v="0.53823727293115053"/>
  </r>
  <r>
    <s v="Germany"/>
    <x v="232"/>
    <s v="Goethe University"/>
    <s v="Computer Science"/>
    <s v="Master"/>
    <n v="2"/>
    <n v="0"/>
    <n v="72.3"/>
    <n v="1300"/>
    <n v="110"/>
    <n v="900"/>
    <n v="0.92"/>
    <n v="33110"/>
    <n v="16555"/>
    <n v="31200"/>
    <n v="33110"/>
    <n v="0"/>
  </r>
  <r>
    <s v="Canada"/>
    <x v="118"/>
    <s v="University of Calgary"/>
    <s v="Mathematics"/>
    <s v="Bachelor"/>
    <n v="4"/>
    <n v="35000"/>
    <n v="65.400000000000006"/>
    <n v="1200"/>
    <n v="235"/>
    <n v="750"/>
    <n v="1.35"/>
    <n v="95835"/>
    <n v="23958.75"/>
    <n v="57600"/>
    <n v="60835"/>
    <n v="0.36521103980800335"/>
  </r>
  <r>
    <s v="Australia"/>
    <x v="68"/>
    <s v="University of Adelaide"/>
    <s v="Chemistry"/>
    <s v="PhD"/>
    <n v="4"/>
    <n v="28000"/>
    <n v="64.5"/>
    <n v="1000"/>
    <n v="450"/>
    <n v="650"/>
    <n v="1.52"/>
    <n v="79050"/>
    <n v="19762.5"/>
    <n v="48000"/>
    <n v="51050"/>
    <n v="0.35420619860847563"/>
  </r>
  <r>
    <s v="USA"/>
    <x v="180"/>
    <s v="UCLA"/>
    <s v="Computer Science"/>
    <s v="Master"/>
    <n v="2"/>
    <n v="52000"/>
    <n v="79.8"/>
    <n v="2200"/>
    <n v="160"/>
    <n v="1500"/>
    <n v="1"/>
    <n v="107960"/>
    <n v="53980"/>
    <n v="52800"/>
    <n v="55960"/>
    <n v="0.48165987402741756"/>
  </r>
  <r>
    <s v="UK"/>
    <x v="41"/>
    <s v="University of Glasgow"/>
    <s v="Physics"/>
    <s v="Bachelor"/>
    <n v="3"/>
    <n v="34000"/>
    <n v="64.5"/>
    <n v="950"/>
    <n v="485"/>
    <n v="800"/>
    <n v="0.79"/>
    <n v="71085"/>
    <n v="23695"/>
    <n v="34200"/>
    <n v="37085"/>
    <n v="0.47830062601111345"/>
  </r>
  <r>
    <s v="Germany"/>
    <x v="79"/>
    <s v="University of Stuttgart"/>
    <s v="Engineering"/>
    <s v="Master"/>
    <n v="2"/>
    <n v="0"/>
    <n v="68.7"/>
    <n v="1100"/>
    <n v="110"/>
    <n v="900"/>
    <n v="0.92"/>
    <n v="28310"/>
    <n v="14155"/>
    <n v="26400"/>
    <n v="28310"/>
    <n v="0"/>
  </r>
  <r>
    <s v="Canada"/>
    <x v="40"/>
    <s v="University of Alberta"/>
    <s v="Data Science"/>
    <s v="Master"/>
    <n v="2"/>
    <n v="37000"/>
    <n v="64.3"/>
    <n v="1100"/>
    <n v="235"/>
    <n v="750"/>
    <n v="1.35"/>
    <n v="65135"/>
    <n v="32567.5"/>
    <n v="26400"/>
    <n v="28135"/>
    <n v="0.56805097106010594"/>
  </r>
  <r>
    <s v="Australia"/>
    <x v="36"/>
    <s v="Australian National University"/>
    <s v="Computer Science"/>
    <s v="PhD"/>
    <n v="4"/>
    <n v="33000"/>
    <n v="69.8"/>
    <n v="1300"/>
    <n v="450"/>
    <n v="650"/>
    <n v="1.52"/>
    <n v="98450"/>
    <n v="24612.5"/>
    <n v="62400"/>
    <n v="65450"/>
    <n v="0.33519553072625696"/>
  </r>
  <r>
    <s v="USA"/>
    <x v="21"/>
    <s v="UT Austin"/>
    <s v="Mathematics"/>
    <s v="Master"/>
    <n v="2"/>
    <n v="45000"/>
    <n v="68.900000000000006"/>
    <n v="1600"/>
    <n v="160"/>
    <n v="1500"/>
    <n v="1"/>
    <n v="86560"/>
    <n v="43280"/>
    <n v="38400"/>
    <n v="41560"/>
    <n v="0.51987060998151569"/>
  </r>
  <r>
    <s v="UK"/>
    <x v="98"/>
    <s v="University of Leeds"/>
    <s v="Chemistry"/>
    <s v="PhD"/>
    <n v="4"/>
    <n v="35000"/>
    <n v="63.2"/>
    <n v="900"/>
    <n v="485"/>
    <n v="800"/>
    <n v="0.79"/>
    <n v="81885"/>
    <n v="20471.25"/>
    <n v="43200"/>
    <n v="46885"/>
    <n v="0.42742871099713015"/>
  </r>
  <r>
    <s v="Germany"/>
    <x v="32"/>
    <s v="Heidelberg University"/>
    <s v="Physics"/>
    <s v="Bachelor"/>
    <n v="3"/>
    <n v="0"/>
    <n v="67.8"/>
    <n v="1000"/>
    <n v="110"/>
    <n v="900"/>
    <n v="0.92"/>
    <n v="38810"/>
    <n v="12936.666666666666"/>
    <n v="36000"/>
    <n v="38810"/>
    <n v="0"/>
  </r>
  <r>
    <s v="Canada"/>
    <x v="108"/>
    <s v="Dalhousie University"/>
    <s v="Engineering"/>
    <s v="Master"/>
    <n v="2"/>
    <n v="36000"/>
    <n v="63.4"/>
    <n v="1000"/>
    <n v="235"/>
    <n v="750"/>
    <n v="1.35"/>
    <n v="61735"/>
    <n v="30867.5"/>
    <n v="24000"/>
    <n v="25735"/>
    <n v="0.58313760427634243"/>
  </r>
  <r>
    <s v="Australia"/>
    <x v="70"/>
    <s v="Griffith University"/>
    <s v="Data Science"/>
    <s v="Master"/>
    <n v="2"/>
    <n v="29000"/>
    <n v="65.400000000000006"/>
    <n v="1100"/>
    <n v="450"/>
    <n v="650"/>
    <n v="1.52"/>
    <n v="57150"/>
    <n v="28575"/>
    <n v="26400"/>
    <n v="28150"/>
    <n v="0.50743657042869639"/>
  </r>
  <r>
    <s v="USA"/>
    <x v="39"/>
    <s v="University of Washington"/>
    <s v="Computer Science"/>
    <s v="PhD"/>
    <n v="5"/>
    <n v="50000"/>
    <n v="77.8"/>
    <n v="2000"/>
    <n v="160"/>
    <n v="1500"/>
    <n v="1"/>
    <n v="177660"/>
    <n v="35532"/>
    <n v="120000"/>
    <n v="127660"/>
    <n v="0.2814364516492176"/>
  </r>
  <r>
    <s v="UK"/>
    <x v="100"/>
    <s v="University of Sheffield"/>
    <s v="Engineering"/>
    <s v="Master"/>
    <n v="2"/>
    <n v="33000"/>
    <n v="62.3"/>
    <n v="850"/>
    <n v="485"/>
    <n v="800"/>
    <n v="0.79"/>
    <n v="55485"/>
    <n v="27742.5"/>
    <n v="20400"/>
    <n v="22485"/>
    <n v="0.59475533928088675"/>
  </r>
  <r>
    <s v="Germany"/>
    <x v="233"/>
    <s v="University of Cologne"/>
    <s v="Mathematics"/>
    <s v="Master"/>
    <n v="2"/>
    <n v="0"/>
    <n v="69.8"/>
    <n v="1200"/>
    <n v="110"/>
    <n v="900"/>
    <n v="0.92"/>
    <n v="30710"/>
    <n v="15355"/>
    <n v="28800"/>
    <n v="30710"/>
    <n v="0"/>
  </r>
  <r>
    <s v="Canada"/>
    <x v="110"/>
    <s v="Laval University"/>
    <s v="Physics"/>
    <s v="Bachelor"/>
    <n v="3"/>
    <n v="34000"/>
    <n v="62.1"/>
    <n v="900"/>
    <n v="235"/>
    <n v="750"/>
    <n v="1.35"/>
    <n v="68885"/>
    <n v="22961.666666666668"/>
    <n v="32400"/>
    <n v="34885"/>
    <n v="0.49357625027219276"/>
  </r>
  <r>
    <s v="Australia"/>
    <x v="72"/>
    <s v="University of Newcastle"/>
    <s v="Chemistry"/>
    <s v="Master"/>
    <n v="2"/>
    <n v="27000"/>
    <n v="63.2"/>
    <n v="950"/>
    <n v="450"/>
    <n v="650"/>
    <n v="1.52"/>
    <n v="51550"/>
    <n v="25775"/>
    <n v="22800"/>
    <n v="24550"/>
    <n v="0.52376333656644036"/>
  </r>
  <r>
    <s v="USA"/>
    <x v="116"/>
    <s v="Carnegie Mellon"/>
    <s v="Data Science"/>
    <s v="Master"/>
    <n v="2"/>
    <n v="56000"/>
    <n v="65.400000000000006"/>
    <n v="1500"/>
    <n v="160"/>
    <n v="1500"/>
    <n v="1"/>
    <n v="95160"/>
    <n v="47580"/>
    <n v="36000"/>
    <n v="39160"/>
    <n v="0.58848255569567043"/>
  </r>
  <r>
    <s v="UK"/>
    <x v="103"/>
    <s v="University of Nottingham"/>
    <s v="Computer Science"/>
    <s v="PhD"/>
    <n v="4"/>
    <n v="34000"/>
    <n v="61.2"/>
    <n v="800"/>
    <n v="485"/>
    <n v="800"/>
    <n v="0.79"/>
    <n v="76085"/>
    <n v="19021.25"/>
    <n v="38400"/>
    <n v="42085"/>
    <n v="0.44686863376486824"/>
  </r>
  <r>
    <s v="Germany"/>
    <x v="234"/>
    <s v="University of Bonn"/>
    <s v="Engineering"/>
    <s v="Master"/>
    <n v="2"/>
    <n v="0"/>
    <n v="67.8"/>
    <n v="1100"/>
    <n v="110"/>
    <n v="900"/>
    <n v="0.92"/>
    <n v="28310"/>
    <n v="14155"/>
    <n v="26400"/>
    <n v="28310"/>
    <n v="0"/>
  </r>
  <r>
    <s v="Canada"/>
    <x v="109"/>
    <s v="University of Victoria"/>
    <s v="Mathematics"/>
    <s v="Master"/>
    <n v="2"/>
    <n v="35000"/>
    <n v="64.5"/>
    <n v="1100"/>
    <n v="235"/>
    <n v="750"/>
    <n v="1.35"/>
    <n v="63135"/>
    <n v="31567.5"/>
    <n v="26400"/>
    <n v="28135"/>
    <n v="0.55436762493070402"/>
  </r>
  <r>
    <s v="Australia"/>
    <x v="71"/>
    <s v="University of Tasmania"/>
    <s v="Physics"/>
    <s v="Bachelor"/>
    <n v="3"/>
    <n v="26000"/>
    <n v="62.1"/>
    <n v="900"/>
    <n v="450"/>
    <n v="650"/>
    <n v="1.52"/>
    <n v="60800"/>
    <n v="20266.666666666668"/>
    <n v="32400"/>
    <n v="34800"/>
    <n v="0.42763157894736842"/>
  </r>
  <r>
    <s v="USA"/>
    <x v="38"/>
    <s v="UC San Diego"/>
    <s v="Chemistry"/>
    <s v="PhD"/>
    <n v="5"/>
    <n v="49000"/>
    <n v="75.599999999999994"/>
    <n v="1900"/>
    <n v="160"/>
    <n v="1500"/>
    <n v="1"/>
    <n v="170660"/>
    <n v="34132"/>
    <n v="114000"/>
    <n v="121660"/>
    <n v="0.28712059064807222"/>
  </r>
  <r>
    <s v="UK"/>
    <x v="92"/>
    <s v="Durham University"/>
    <s v="Engineering"/>
    <s v="Master"/>
    <n v="2"/>
    <n v="35000"/>
    <n v="63.4"/>
    <n v="900"/>
    <n v="485"/>
    <n v="800"/>
    <n v="0.79"/>
    <n v="58685"/>
    <n v="29342.5"/>
    <n v="21600"/>
    <n v="23685"/>
    <n v="0.59640453267444837"/>
  </r>
  <r>
    <s v="Germany"/>
    <x v="81"/>
    <s v="RWTH Aachen"/>
    <s v="Computer Science"/>
    <s v="Bachelor"/>
    <n v="3"/>
    <n v="0"/>
    <n v="68.900000000000006"/>
    <n v="1000"/>
    <n v="110"/>
    <n v="900"/>
    <n v="0.92"/>
    <n v="38810"/>
    <n v="12936.666666666666"/>
    <n v="36000"/>
    <n v="38810"/>
    <n v="0"/>
  </r>
  <r>
    <s v="Canada"/>
    <x v="111"/>
    <s v="University of Manitoba"/>
    <s v="Data Science"/>
    <s v="Master"/>
    <n v="2"/>
    <n v="33000"/>
    <n v="61.2"/>
    <n v="900"/>
    <n v="235"/>
    <n v="750"/>
    <n v="1.35"/>
    <n v="56335"/>
    <n v="28167.5"/>
    <n v="21600"/>
    <n v="23335"/>
    <n v="0.58578148575485933"/>
  </r>
  <r>
    <s v="Australia"/>
    <x v="73"/>
    <s v="University of Wollongong"/>
    <s v="Mathematics"/>
    <s v="PhD"/>
    <n v="4"/>
    <n v="28000"/>
    <n v="63.4"/>
    <n v="950"/>
    <n v="450"/>
    <n v="650"/>
    <n v="1.52"/>
    <n v="76650"/>
    <n v="19162.5"/>
    <n v="45600"/>
    <n v="48650"/>
    <n v="0.36529680365296802"/>
  </r>
  <r>
    <s v="USA"/>
    <x v="235"/>
    <s v="UC Berkeley Extension"/>
    <s v="Data Science"/>
    <s v="Master"/>
    <n v="2"/>
    <n v="52000"/>
    <n v="95.2"/>
    <n v="2400"/>
    <n v="160"/>
    <n v="1500"/>
    <n v="1"/>
    <n v="112760"/>
    <n v="56380"/>
    <n v="57600"/>
    <n v="60760"/>
    <n v="0.46115643845335225"/>
  </r>
  <r>
    <s v="UK"/>
    <x v="1"/>
    <s v="King's College London"/>
    <s v="Computer Science"/>
    <s v="Master"/>
    <n v="1"/>
    <n v="39000"/>
    <n v="75.3"/>
    <n v="1900"/>
    <n v="485"/>
    <n v="800"/>
    <n v="0.79"/>
    <n v="63085"/>
    <n v="63085"/>
    <n v="22800"/>
    <n v="24085"/>
    <n v="0.61821352143932784"/>
  </r>
  <r>
    <s v="Switzerland"/>
    <x v="9"/>
    <s v="ETH Zurich"/>
    <s v="Computer Science"/>
    <s v="Master"/>
    <n v="2"/>
    <n v="1500"/>
    <n v="122.4"/>
    <n v="2000"/>
    <n v="140"/>
    <n v="1200"/>
    <n v="0.89"/>
    <n v="52040"/>
    <n v="26020"/>
    <n v="48000"/>
    <n v="50540"/>
    <n v="2.8823981552651805E-2"/>
  </r>
  <r>
    <s v="France"/>
    <x v="8"/>
    <s v="Sorbonne University"/>
    <s v="Data Analytics"/>
    <s v="Master"/>
    <n v="2"/>
    <n v="4500"/>
    <n v="84.3"/>
    <n v="1800"/>
    <n v="99"/>
    <n v="850"/>
    <n v="0.92"/>
    <n v="49499"/>
    <n v="24749.5"/>
    <n v="43200"/>
    <n v="44999"/>
    <n v="9.0910927493484714E-2"/>
  </r>
  <r>
    <s v="Ireland"/>
    <x v="14"/>
    <s v="Trinity College Dublin"/>
    <s v="Computer Science"/>
    <s v="PhD"/>
    <n v="4"/>
    <n v="18900"/>
    <n v="83.6"/>
    <n v="1700"/>
    <n v="150"/>
    <n v="750"/>
    <n v="0.92"/>
    <n v="103650"/>
    <n v="25912.5"/>
    <n v="81600"/>
    <n v="84750"/>
    <n v="0.18234442836468887"/>
  </r>
  <r>
    <s v="USA"/>
    <x v="89"/>
    <s v="University of Chicago"/>
    <s v="Data Science"/>
    <s v="Master"/>
    <n v="2"/>
    <n v="58000"/>
    <n v="84.1"/>
    <n v="1900"/>
    <n v="160"/>
    <n v="1500"/>
    <n v="1"/>
    <n v="106760"/>
    <n v="53380"/>
    <n v="45600"/>
    <n v="48760"/>
    <n v="0.54327463469464221"/>
  </r>
  <r>
    <s v="UK"/>
    <x v="0"/>
    <s v="Anglia Ruskin University"/>
    <s v="Data Analytics"/>
    <s v="Bachelor"/>
    <n v="3"/>
    <n v="35000"/>
    <n v="71.2"/>
    <n v="1500"/>
    <n v="485"/>
    <n v="800"/>
    <n v="0.79"/>
    <n v="91885"/>
    <n v="30628.333333333332"/>
    <n v="54000"/>
    <n v="56885"/>
    <n v="0.38091092126027098"/>
  </r>
  <r>
    <s v="Switzerland"/>
    <x v="154"/>
    <s v="EPFL"/>
    <s v="Computer Science"/>
    <s v="PhD"/>
    <n v="4"/>
    <n v="1500"/>
    <n v="119.8"/>
    <n v="1900"/>
    <n v="140"/>
    <n v="1200"/>
    <n v="0.89"/>
    <n v="97640"/>
    <n v="24410"/>
    <n v="91200"/>
    <n v="96140"/>
    <n v="1.5362556329373207E-2"/>
  </r>
  <r>
    <s v="France"/>
    <x v="146"/>
    <s v="University of Lyon"/>
    <s v="Data Science"/>
    <s v="Master"/>
    <n v="2"/>
    <n v="4200"/>
    <n v="75.599999999999994"/>
    <n v="1200"/>
    <n v="99"/>
    <n v="850"/>
    <n v="0.92"/>
    <n v="34799"/>
    <n v="17399.5"/>
    <n v="28800"/>
    <n v="30599"/>
    <n v="0.12069312336561396"/>
  </r>
  <r>
    <s v="Ireland"/>
    <x v="236"/>
    <s v="University College Cork"/>
    <s v="Computer Science"/>
    <s v="Master"/>
    <n v="2"/>
    <n v="16800"/>
    <n v="75.400000000000006"/>
    <n v="1300"/>
    <n v="150"/>
    <n v="750"/>
    <n v="0.92"/>
    <n v="49650"/>
    <n v="24825"/>
    <n v="31200"/>
    <n v="32850"/>
    <n v="0.33836858006042297"/>
  </r>
  <r>
    <s v="USA"/>
    <x v="30"/>
    <s v="Northeastern University"/>
    <s v="Data Analytics"/>
    <s v="Master"/>
    <n v="2"/>
    <n v="54000"/>
    <n v="82.1"/>
    <n v="2200"/>
    <n v="160"/>
    <n v="1500"/>
    <n v="1"/>
    <n v="109960"/>
    <n v="54980"/>
    <n v="52800"/>
    <n v="55960"/>
    <n v="0.49108766824299743"/>
  </r>
  <r>
    <s v="UK"/>
    <x v="188"/>
    <s v="Heriot-Watt University"/>
    <s v="Computer Science"/>
    <s v="Master"/>
    <n v="1"/>
    <n v="37000"/>
    <n v="67.8"/>
    <n v="1200"/>
    <n v="485"/>
    <n v="800"/>
    <n v="0.79"/>
    <n v="52685"/>
    <n v="52685"/>
    <n v="14400"/>
    <n v="15685"/>
    <n v="0.70228717851380851"/>
  </r>
  <r>
    <s v="Switzerland"/>
    <x v="155"/>
    <s v="University of Geneva"/>
    <s v="Data Science"/>
    <s v="Master"/>
    <n v="2"/>
    <n v="1500"/>
    <n v="116.5"/>
    <n v="1800"/>
    <n v="140"/>
    <n v="1200"/>
    <n v="0.89"/>
    <n v="47240"/>
    <n v="23620"/>
    <n v="43200"/>
    <n v="45740"/>
    <n v="3.1752751905165112E-2"/>
  </r>
  <r>
    <s v="France"/>
    <x v="145"/>
    <s v="University of Toulouse"/>
    <s v="Computer Science"/>
    <s v="Bachelor"/>
    <n v="3"/>
    <n v="4000"/>
    <n v="71.2"/>
    <n v="900"/>
    <n v="99"/>
    <n v="850"/>
    <n v="0.92"/>
    <n v="39049"/>
    <n v="13016.333333333334"/>
    <n v="32400"/>
    <n v="35049"/>
    <n v="0.10243540167481882"/>
  </r>
  <r>
    <s v="Ireland"/>
    <x v="45"/>
    <s v="NUI Galway"/>
    <s v="Data Analytics"/>
    <s v="Master"/>
    <n v="2"/>
    <n v="15900"/>
    <n v="72.3"/>
    <n v="1100"/>
    <n v="150"/>
    <n v="750"/>
    <n v="0.92"/>
    <n v="43950"/>
    <n v="21975"/>
    <n v="26400"/>
    <n v="28050"/>
    <n v="0.36177474402730375"/>
  </r>
  <r>
    <s v="USA"/>
    <x v="39"/>
    <s v="University of Washington"/>
    <s v="Data Science"/>
    <s v="PhD"/>
    <n v="4"/>
    <n v="51000"/>
    <n v="77.8"/>
    <n v="2100"/>
    <n v="160"/>
    <n v="1500"/>
    <n v="1"/>
    <n v="157960"/>
    <n v="39490"/>
    <n v="100800"/>
    <n v="106960"/>
    <n v="0.32286654849328944"/>
  </r>
  <r>
    <s v="UK"/>
    <x v="101"/>
    <s v="University of Birmingham"/>
    <s v="Computer Science"/>
    <s v="Master"/>
    <n v="1"/>
    <n v="36000"/>
    <n v="65.400000000000006"/>
    <n v="1100"/>
    <n v="485"/>
    <n v="800"/>
    <n v="0.79"/>
    <n v="50485"/>
    <n v="50485"/>
    <n v="13200"/>
    <n v="14485"/>
    <n v="0.71308309398831338"/>
  </r>
  <r>
    <s v="Switzerland"/>
    <x v="33"/>
    <s v="University of Basel"/>
    <s v="Data Science"/>
    <s v="Master"/>
    <n v="2"/>
    <n v="1500"/>
    <n v="114.3"/>
    <n v="1700"/>
    <n v="140"/>
    <n v="1200"/>
    <n v="0.89"/>
    <n v="44840"/>
    <n v="22420"/>
    <n v="40800"/>
    <n v="43340"/>
    <n v="3.345227475468332E-2"/>
  </r>
  <r>
    <s v="France"/>
    <x v="149"/>
    <s v="University of Bordeaux"/>
    <s v="Data Analytics"/>
    <s v="Master"/>
    <n v="2"/>
    <n v="4300"/>
    <n v="72.099999999999994"/>
    <n v="1000"/>
    <n v="99"/>
    <n v="850"/>
    <n v="0.92"/>
    <n v="30099"/>
    <n v="15049.5"/>
    <n v="24000"/>
    <n v="25799"/>
    <n v="0.14286188909930561"/>
  </r>
  <r>
    <s v="Ireland"/>
    <x v="237"/>
    <s v="University of Limerick"/>
    <s v="Computer Science"/>
    <s v="Bachelor"/>
    <n v="4"/>
    <n v="15400"/>
    <n v="71.2"/>
    <n v="1000"/>
    <n v="150"/>
    <n v="750"/>
    <n v="0.92"/>
    <n v="66550"/>
    <n v="16637.5"/>
    <n v="48000"/>
    <n v="51150"/>
    <n v="0.23140495867768596"/>
  </r>
  <r>
    <s v="USA"/>
    <x v="21"/>
    <s v="UT Austin"/>
    <s v="Computer Science"/>
    <s v="Master"/>
    <n v="2"/>
    <n v="49000"/>
    <n v="68.900000000000006"/>
    <n v="1800"/>
    <n v="160"/>
    <n v="1500"/>
    <n v="1"/>
    <n v="95360"/>
    <n v="47680"/>
    <n v="43200"/>
    <n v="46360"/>
    <n v="0.51384228187919467"/>
  </r>
  <r>
    <s v="UK"/>
    <x v="49"/>
    <s v="University of Salford"/>
    <s v="Data Science"/>
    <s v="Master"/>
    <n v="1"/>
    <n v="35000"/>
    <n v="65.400000000000006"/>
    <n v="1000"/>
    <n v="485"/>
    <n v="800"/>
    <n v="0.79"/>
    <n v="48285"/>
    <n v="48285"/>
    <n v="12000"/>
    <n v="13285"/>
    <n v="0.72486279382831109"/>
  </r>
  <r>
    <s v="Switzerland"/>
    <x v="157"/>
    <s v="University of St. Gallen"/>
    <s v="Data Analytics"/>
    <s v="Master"/>
    <n v="2"/>
    <n v="1500"/>
    <n v="112.1"/>
    <n v="1600"/>
    <n v="140"/>
    <n v="1200"/>
    <n v="0.89"/>
    <n v="42440"/>
    <n v="21220"/>
    <n v="38400"/>
    <n v="40940"/>
    <n v="3.5344015080113103E-2"/>
  </r>
  <r>
    <s v="France"/>
    <x v="148"/>
    <s v="University of Nice"/>
    <s v="Computer Science"/>
    <s v="Master"/>
    <n v="2"/>
    <n v="4100"/>
    <n v="76.5"/>
    <n v="1300"/>
    <n v="99"/>
    <n v="850"/>
    <n v="0.92"/>
    <n v="37099"/>
    <n v="18549.5"/>
    <n v="31200"/>
    <n v="32999"/>
    <n v="0.11051510822394135"/>
  </r>
  <r>
    <s v="Ireland"/>
    <x v="238"/>
    <s v="Maynooth University"/>
    <s v="Data Science"/>
    <s v="PhD"/>
    <n v="4"/>
    <n v="14900"/>
    <n v="70.099999999999994"/>
    <n v="950"/>
    <n v="150"/>
    <n v="750"/>
    <n v="0.92"/>
    <n v="63650"/>
    <n v="15912.5"/>
    <n v="45600"/>
    <n v="48750"/>
    <n v="0.23409269442262373"/>
  </r>
  <r>
    <s v="USA"/>
    <x v="239"/>
    <s v="University of Denver"/>
    <s v="Data Analytics"/>
    <s v="Master"/>
    <n v="2"/>
    <n v="47000"/>
    <n v="69.8"/>
    <n v="1700"/>
    <n v="160"/>
    <n v="1500"/>
    <n v="1"/>
    <n v="90960"/>
    <n v="45480"/>
    <n v="40800"/>
    <n v="43960"/>
    <n v="0.51671064204045736"/>
  </r>
  <r>
    <s v="UK"/>
    <x v="98"/>
    <s v="Leeds Beckett University"/>
    <s v="Computer Science"/>
    <s v="Bachelor"/>
    <n v="3"/>
    <n v="34000"/>
    <n v="63.2"/>
    <n v="900"/>
    <n v="485"/>
    <n v="800"/>
    <n v="0.79"/>
    <n v="69285"/>
    <n v="23095"/>
    <n v="32400"/>
    <n v="35285"/>
    <n v="0.49072670852276828"/>
  </r>
  <r>
    <s v="Switzerland"/>
    <x v="156"/>
    <s v="University of Bern"/>
    <s v="Data Science"/>
    <s v="Master"/>
    <n v="2"/>
    <n v="1500"/>
    <n v="110.4"/>
    <n v="1500"/>
    <n v="140"/>
    <n v="1200"/>
    <n v="0.89"/>
    <n v="40040"/>
    <n v="20020"/>
    <n v="36000"/>
    <n v="38540"/>
    <n v="3.7462537462537464E-2"/>
  </r>
  <r>
    <s v="France"/>
    <x v="150"/>
    <s v="University of Lille"/>
    <s v="Data Analytics"/>
    <s v="PhD"/>
    <n v="4"/>
    <n v="4200"/>
    <n v="69.8"/>
    <n v="950"/>
    <n v="99"/>
    <n v="850"/>
    <n v="0.92"/>
    <n v="53299"/>
    <n v="13324.75"/>
    <n v="45600"/>
    <n v="49099"/>
    <n v="7.8800727968629802E-2"/>
  </r>
  <r>
    <s v="Ireland"/>
    <x v="240"/>
    <s v="Waterford IT"/>
    <s v="Computer Science"/>
    <s v="Master"/>
    <n v="2"/>
    <n v="14500"/>
    <n v="68.900000000000006"/>
    <n v="900"/>
    <n v="150"/>
    <n v="750"/>
    <n v="0.92"/>
    <n v="37750"/>
    <n v="18875"/>
    <n v="21600"/>
    <n v="23250"/>
    <n v="0.38410596026490068"/>
  </r>
  <r>
    <s v="USA"/>
    <x v="241"/>
    <s v="Portland State University"/>
    <s v="Data Science"/>
    <s v="Master"/>
    <n v="2"/>
    <n v="45000"/>
    <n v="71.2"/>
    <n v="1600"/>
    <n v="160"/>
    <n v="1500"/>
    <n v="1"/>
    <n v="86560"/>
    <n v="43280"/>
    <n v="38400"/>
    <n v="41560"/>
    <n v="0.51987060998151569"/>
  </r>
  <r>
    <s v="UK"/>
    <x v="22"/>
    <s v="UWE Bristol"/>
    <s v="Computer Science"/>
    <s v="Master"/>
    <n v="1"/>
    <n v="33000"/>
    <n v="68.900000000000006"/>
    <n v="1100"/>
    <n v="485"/>
    <n v="800"/>
    <n v="0.79"/>
    <n v="47485"/>
    <n v="47485"/>
    <n v="13200"/>
    <n v="14485"/>
    <n v="0.69495630199010217"/>
  </r>
  <r>
    <s v="Switzerland"/>
    <x v="158"/>
    <s v="USI Lugano"/>
    <s v="Data Analytics"/>
    <s v="Master"/>
    <n v="2"/>
    <n v="1500"/>
    <n v="108.9"/>
    <n v="1400"/>
    <n v="140"/>
    <n v="1200"/>
    <n v="0.89"/>
    <n v="37640"/>
    <n v="18820"/>
    <n v="33600"/>
    <n v="36140"/>
    <n v="3.9851222104144525E-2"/>
  </r>
  <r>
    <s v="France"/>
    <x v="152"/>
    <s v="University of Strasbourg"/>
    <s v="Computer Science"/>
    <s v="Master"/>
    <n v="2"/>
    <n v="4000"/>
    <n v="70.2"/>
    <n v="1000"/>
    <n v="99"/>
    <n v="850"/>
    <n v="0.92"/>
    <n v="29799"/>
    <n v="14899.5"/>
    <n v="24000"/>
    <n v="25799"/>
    <n v="0.13423269237222726"/>
  </r>
  <r>
    <s v="Ireland"/>
    <x v="242"/>
    <s v="IT Sligo"/>
    <s v="Data Science"/>
    <s v="Bachelor"/>
    <n v="4"/>
    <n v="14000"/>
    <n v="67.5"/>
    <n v="850"/>
    <n v="150"/>
    <n v="750"/>
    <n v="0.92"/>
    <n v="57950"/>
    <n v="14487.5"/>
    <n v="40800"/>
    <n v="43950"/>
    <n v="0.24158757549611734"/>
  </r>
  <r>
    <s v="USA"/>
    <x v="96"/>
    <s v="University of Minnesota"/>
    <s v="Computer Science"/>
    <s v="PhD"/>
    <n v="4"/>
    <n v="48000"/>
    <n v="72.3"/>
    <n v="1700"/>
    <n v="160"/>
    <n v="1500"/>
    <n v="1"/>
    <n v="135760"/>
    <n v="33940"/>
    <n v="81600"/>
    <n v="87760"/>
    <n v="0.35356511490866233"/>
  </r>
  <r>
    <s v="UK"/>
    <x v="104"/>
    <s v="Cardiff University"/>
    <s v="Data Analytics"/>
    <s v="Master"/>
    <n v="1"/>
    <n v="34000"/>
    <n v="64.5"/>
    <n v="950"/>
    <n v="485"/>
    <n v="800"/>
    <n v="0.79"/>
    <n v="46685"/>
    <n v="46685"/>
    <n v="11400"/>
    <n v="12685"/>
    <n v="0.72828531648281036"/>
  </r>
  <r>
    <s v="Switzerland"/>
    <x v="159"/>
    <s v="University of Fribourg"/>
    <s v="Computer Science"/>
    <s v="Master"/>
    <n v="2"/>
    <n v="1500"/>
    <n v="107.8"/>
    <n v="1300"/>
    <n v="140"/>
    <n v="1200"/>
    <n v="0.89"/>
    <n v="35240"/>
    <n v="17620"/>
    <n v="31200"/>
    <n v="33740"/>
    <n v="4.2565266742338251E-2"/>
  </r>
  <r>
    <s v="France"/>
    <x v="147"/>
    <s v="Grenoble INP"/>
    <s v="Data Science"/>
    <s v="Master"/>
    <n v="2"/>
    <n v="4100"/>
    <n v="71.5"/>
    <n v="1100"/>
    <n v="99"/>
    <n v="850"/>
    <n v="0.92"/>
    <n v="32299"/>
    <n v="16149.5"/>
    <n v="26400"/>
    <n v="28199"/>
    <n v="0.12693891451747732"/>
  </r>
  <r>
    <s v="Ireland"/>
    <x v="243"/>
    <s v="Athlone IT"/>
    <s v="Data Analytics"/>
    <s v="Master"/>
    <n v="2"/>
    <n v="13800"/>
    <n v="66.7"/>
    <n v="800"/>
    <n v="150"/>
    <n v="750"/>
    <n v="0.92"/>
    <n v="34650"/>
    <n v="17325"/>
    <n v="19200"/>
    <n v="20850"/>
    <n v="0.39826839826839827"/>
  </r>
  <r>
    <s v="Norway"/>
    <x v="57"/>
    <s v="University of Oslo"/>
    <s v="Computer Science"/>
    <s v="Master"/>
    <n v="2"/>
    <n v="0"/>
    <n v="83.2"/>
    <n v="1400"/>
    <n v="275"/>
    <n v="700"/>
    <n v="10.45"/>
    <n v="35275"/>
    <n v="17637.5"/>
    <n v="33600"/>
    <n v="35275"/>
    <n v="0"/>
  </r>
  <r>
    <s v="Finland"/>
    <x v="56"/>
    <s v="University of Helsinki"/>
    <s v="Data Science"/>
    <s v="Master"/>
    <n v="2"/>
    <n v="0"/>
    <n v="79.400000000000006"/>
    <n v="1200"/>
    <n v="350"/>
    <n v="650"/>
    <n v="0.92"/>
    <n v="30450"/>
    <n v="15225"/>
    <n v="28800"/>
    <n v="30450"/>
    <n v="0"/>
  </r>
  <r>
    <s v="Germany"/>
    <x v="52"/>
    <s v="Technical University Berlin"/>
    <s v="Mechanical Engineering"/>
    <s v="Master"/>
    <n v="2"/>
    <n v="0"/>
    <n v="68.900000000000006"/>
    <n v="1100"/>
    <n v="110"/>
    <n v="900"/>
    <n v="0.92"/>
    <n v="28310"/>
    <n v="14155"/>
    <n v="26400"/>
    <n v="28310"/>
    <n v="0"/>
  </r>
  <r>
    <s v="Denmark"/>
    <x v="11"/>
    <s v="University of Copenhagen"/>
    <s v="Physics"/>
    <s v="PhD"/>
    <n v="4"/>
    <n v="0"/>
    <n v="82.1"/>
    <n v="1500"/>
    <n v="450"/>
    <n v="800"/>
    <n v="7.45"/>
    <n v="75650"/>
    <n v="18912.5"/>
    <n v="72000"/>
    <n v="75650"/>
    <n v="0"/>
  </r>
  <r>
    <s v="Norway"/>
    <x v="244"/>
    <s v="NTNU"/>
    <s v="Robotics"/>
    <s v="Master"/>
    <n v="2"/>
    <n v="0"/>
    <n v="75.599999999999994"/>
    <n v="1100"/>
    <n v="275"/>
    <n v="700"/>
    <n v="10.45"/>
    <n v="28075"/>
    <n v="14037.5"/>
    <n v="26400"/>
    <n v="28075"/>
    <n v="0"/>
  </r>
  <r>
    <s v="Finland"/>
    <x v="245"/>
    <s v="Aalto University"/>
    <s v="Computer Engineering"/>
    <s v="Bachelor"/>
    <n v="3"/>
    <n v="0"/>
    <n v="77.8"/>
    <n v="1000"/>
    <n v="350"/>
    <n v="650"/>
    <n v="0.92"/>
    <n v="38300"/>
    <n v="12766.666666666666"/>
    <n v="36000"/>
    <n v="38300"/>
    <n v="0"/>
  </r>
  <r>
    <s v="Germany"/>
    <x v="4"/>
    <s v="LMU Munich"/>
    <s v="Mathematics"/>
    <s v="PhD"/>
    <n v="4"/>
    <n v="0"/>
    <n v="71.5"/>
    <n v="1300"/>
    <n v="110"/>
    <n v="900"/>
    <n v="0.92"/>
    <n v="66110"/>
    <n v="16527.5"/>
    <n v="62400"/>
    <n v="66110"/>
    <n v="0"/>
  </r>
  <r>
    <s v="Denmark"/>
    <x v="163"/>
    <s v="Aarhus University"/>
    <s v="Data Analytics"/>
    <s v="Master"/>
    <n v="2"/>
    <n v="0"/>
    <n v="76.5"/>
    <n v="1200"/>
    <n v="450"/>
    <n v="800"/>
    <n v="7.45"/>
    <n v="30850"/>
    <n v="15425"/>
    <n v="28800"/>
    <n v="30850"/>
    <n v="0"/>
  </r>
  <r>
    <s v="Norway"/>
    <x v="246"/>
    <s v="University of Bergen"/>
    <s v="Artificial Intelligence"/>
    <s v="Master"/>
    <n v="2"/>
    <n v="0"/>
    <n v="74.3"/>
    <n v="1200"/>
    <n v="275"/>
    <n v="700"/>
    <n v="10.45"/>
    <n v="30475"/>
    <n v="15237.5"/>
    <n v="28800"/>
    <n v="30475"/>
    <n v="0"/>
  </r>
  <r>
    <s v="Finland"/>
    <x v="247"/>
    <s v="Tampere University"/>
    <s v="Software Engineering"/>
    <s v="Master"/>
    <n v="2"/>
    <n v="0"/>
    <n v="72.099999999999994"/>
    <n v="900"/>
    <n v="350"/>
    <n v="650"/>
    <n v="0.92"/>
    <n v="23250"/>
    <n v="11625"/>
    <n v="21600"/>
    <n v="23250"/>
    <n v="0"/>
  </r>
  <r>
    <s v="Germany"/>
    <x v="78"/>
    <s v="TU Dresden"/>
    <s v="Computer Science"/>
    <s v="Bachelor"/>
    <n v="3"/>
    <n v="0"/>
    <n v="65.400000000000006"/>
    <n v="900"/>
    <n v="110"/>
    <n v="900"/>
    <n v="0.92"/>
    <n v="35210"/>
    <n v="11736.666666666666"/>
    <n v="32400"/>
    <n v="35210"/>
    <n v="0"/>
  </r>
  <r>
    <s v="Denmark"/>
    <x v="248"/>
    <s v="University of Southern Denmark"/>
    <s v="Biotechnology"/>
    <s v="Master"/>
    <n v="2"/>
    <n v="0"/>
    <n v="73.2"/>
    <n v="1100"/>
    <n v="450"/>
    <n v="800"/>
    <n v="7.45"/>
    <n v="28450"/>
    <n v="14225"/>
    <n v="26400"/>
    <n v="28450"/>
    <n v="0"/>
  </r>
  <r>
    <s v="Norway"/>
    <x v="249"/>
    <s v="UiT Arctic University"/>
    <s v="Marine Technology"/>
    <s v="PhD"/>
    <n v="4"/>
    <n v="0"/>
    <n v="71.2"/>
    <n v="1000"/>
    <n v="275"/>
    <n v="700"/>
    <n v="10.45"/>
    <n v="51075"/>
    <n v="12768.75"/>
    <n v="48000"/>
    <n v="51075"/>
    <n v="0"/>
  </r>
  <r>
    <s v="Finland"/>
    <x v="250"/>
    <s v="University of Turku"/>
    <s v="Bioinformatics"/>
    <s v="Master"/>
    <n v="2"/>
    <n v="0"/>
    <n v="71.8"/>
    <n v="850"/>
    <n v="350"/>
    <n v="650"/>
    <n v="0.92"/>
    <n v="22050"/>
    <n v="11025"/>
    <n v="20400"/>
    <n v="22050"/>
    <n v="0"/>
  </r>
  <r>
    <s v="Germany"/>
    <x v="80"/>
    <s v="TU Hamburg"/>
    <s v="Electrical Engineering"/>
    <s v="Master"/>
    <n v="2"/>
    <n v="0"/>
    <n v="69.8"/>
    <n v="1200"/>
    <n v="110"/>
    <n v="900"/>
    <n v="0.92"/>
    <n v="30710"/>
    <n v="15355"/>
    <n v="28800"/>
    <n v="30710"/>
    <n v="0"/>
  </r>
  <r>
    <s v="Denmark"/>
    <x v="43"/>
    <s v="Aalborg University"/>
    <s v="Energy Engineering"/>
    <s v="Bachelor"/>
    <n v="3"/>
    <n v="0"/>
    <n v="71.5"/>
    <n v="1000"/>
    <n v="450"/>
    <n v="800"/>
    <n v="7.45"/>
    <n v="38850"/>
    <n v="12950"/>
    <n v="36000"/>
    <n v="38850"/>
    <n v="0"/>
  </r>
  <r>
    <s v="Norway"/>
    <x v="251"/>
    <s v="University of Stavanger"/>
    <s v="Petroleum Engineering"/>
    <s v="Master"/>
    <n v="2"/>
    <n v="0"/>
    <n v="72.400000000000006"/>
    <n v="1100"/>
    <n v="275"/>
    <n v="700"/>
    <n v="10.45"/>
    <n v="28075"/>
    <n v="14037.5"/>
    <n v="26400"/>
    <n v="28075"/>
    <n v="0"/>
  </r>
  <r>
    <s v="Finland"/>
    <x v="252"/>
    <s v="University of Oulu"/>
    <s v="Computer Science"/>
    <s v="PhD"/>
    <n v="4"/>
    <n v="0"/>
    <n v="70.2"/>
    <n v="800"/>
    <n v="350"/>
    <n v="650"/>
    <n v="0.92"/>
    <n v="41350"/>
    <n v="10337.5"/>
    <n v="38400"/>
    <n v="41350"/>
    <n v="0"/>
  </r>
  <r>
    <s v="Germany"/>
    <x v="79"/>
    <s v="University of Stuttgart"/>
    <s v="Aerospace Engineering"/>
    <s v="Master"/>
    <n v="2"/>
    <n v="0"/>
    <n v="68.7"/>
    <n v="1100"/>
    <n v="110"/>
    <n v="900"/>
    <n v="0.92"/>
    <n v="28310"/>
    <n v="14155"/>
    <n v="26400"/>
    <n v="28310"/>
    <n v="0"/>
  </r>
  <r>
    <s v="Denmark"/>
    <x v="253"/>
    <s v="Roskilde University"/>
    <s v="Environmental Science"/>
    <s v="Master"/>
    <n v="2"/>
    <n v="0"/>
    <n v="70.8"/>
    <n v="1000"/>
    <n v="450"/>
    <n v="800"/>
    <n v="7.45"/>
    <n v="26050"/>
    <n v="13025"/>
    <n v="24000"/>
    <n v="26050"/>
    <n v="0"/>
  </r>
  <r>
    <s v="Norway"/>
    <x v="254"/>
    <s v="Norwegian University of Life Sciences"/>
    <s v="Biotechnology"/>
    <s v="Master"/>
    <n v="2"/>
    <n v="0"/>
    <n v="70.5"/>
    <n v="900"/>
    <n v="275"/>
    <n v="700"/>
    <n v="10.45"/>
    <n v="23275"/>
    <n v="11637.5"/>
    <n v="21600"/>
    <n v="23275"/>
    <n v="0"/>
  </r>
  <r>
    <s v="Finland"/>
    <x v="255"/>
    <s v="University of Vaasa"/>
    <s v="Industrial Management"/>
    <s v="Master"/>
    <n v="2"/>
    <n v="0"/>
    <n v="69.8"/>
    <n v="800"/>
    <n v="350"/>
    <n v="650"/>
    <n v="0.92"/>
    <n v="20850"/>
    <n v="10425"/>
    <n v="19200"/>
    <n v="20850"/>
    <n v="0"/>
  </r>
  <r>
    <s v="Germany"/>
    <x v="82"/>
    <s v="KIT"/>
    <s v="Mechatronics"/>
    <s v="PhD"/>
    <n v="4"/>
    <n v="0"/>
    <n v="67.900000000000006"/>
    <n v="1000"/>
    <n v="110"/>
    <n v="900"/>
    <n v="0.92"/>
    <n v="51710"/>
    <n v="12927.5"/>
    <n v="48000"/>
    <n v="51710"/>
    <n v="0"/>
  </r>
  <r>
    <s v="Denmark"/>
    <x v="256"/>
    <s v="Technical University of Denmark"/>
    <s v="Quantum Engineering"/>
    <s v="Master"/>
    <n v="2"/>
    <n v="0"/>
    <n v="81.2"/>
    <n v="1400"/>
    <n v="450"/>
    <n v="800"/>
    <n v="7.45"/>
    <n v="35650"/>
    <n v="17825"/>
    <n v="33600"/>
    <n v="35650"/>
    <n v="0"/>
  </r>
  <r>
    <s v="Norway"/>
    <x v="257"/>
    <s v="Nord University"/>
    <s v="Marine Biology"/>
    <s v="Bachelor"/>
    <n v="3"/>
    <n v="0"/>
    <n v="69.400000000000006"/>
    <n v="850"/>
    <n v="275"/>
    <n v="700"/>
    <n v="10.45"/>
    <n v="32975"/>
    <n v="10991.666666666666"/>
    <n v="30600"/>
    <n v="32975"/>
    <n v="0"/>
  </r>
  <r>
    <s v="Finland"/>
    <x v="258"/>
    <s v="University of Jyväskylä"/>
    <s v="Data Science"/>
    <s v="Master"/>
    <n v="2"/>
    <n v="0"/>
    <n v="68.7"/>
    <n v="750"/>
    <n v="350"/>
    <n v="650"/>
    <n v="0.92"/>
    <n v="19650"/>
    <n v="9825"/>
    <n v="18000"/>
    <n v="19650"/>
    <n v="0"/>
  </r>
  <r>
    <s v="Germany"/>
    <x v="83"/>
    <s v="TU Darmstadt"/>
    <s v="Computer Engineering"/>
    <s v="Master"/>
    <n v="2"/>
    <n v="0"/>
    <n v="66.8"/>
    <n v="950"/>
    <n v="110"/>
    <n v="900"/>
    <n v="0.92"/>
    <n v="24710"/>
    <n v="12355"/>
    <n v="22800"/>
    <n v="24710"/>
    <n v="0"/>
  </r>
  <r>
    <s v="Denmark"/>
    <x v="259"/>
    <s v="University of Southern Denmark"/>
    <s v="Software Engineering"/>
    <s v="PhD"/>
    <n v="4"/>
    <n v="0"/>
    <n v="69.5"/>
    <n v="900"/>
    <n v="450"/>
    <n v="800"/>
    <n v="7.45"/>
    <n v="46850"/>
    <n v="11712.5"/>
    <n v="43200"/>
    <n v="46850"/>
    <n v="0"/>
  </r>
  <r>
    <s v="Norway"/>
    <x v="260"/>
    <s v="NTNU Gjøvik"/>
    <s v="Information Security"/>
    <s v="Master"/>
    <n v="2"/>
    <n v="0"/>
    <n v="68.900000000000006"/>
    <n v="800"/>
    <n v="275"/>
    <n v="700"/>
    <n v="10.45"/>
    <n v="20875"/>
    <n v="10437.5"/>
    <n v="19200"/>
    <n v="20875"/>
    <n v="0"/>
  </r>
  <r>
    <s v="Finland"/>
    <x v="261"/>
    <s v="LUT University"/>
    <s v="Industrial Engineering"/>
    <s v="Master"/>
    <n v="2"/>
    <n v="0"/>
    <n v="67.5"/>
    <n v="700"/>
    <n v="350"/>
    <n v="650"/>
    <n v="0.92"/>
    <n v="18450"/>
    <n v="9225"/>
    <n v="16800"/>
    <n v="18450"/>
    <n v="0"/>
  </r>
  <r>
    <s v="Germany"/>
    <x v="262"/>
    <s v="University of Bremen"/>
    <s v="Robotics"/>
    <s v="Master"/>
    <n v="2"/>
    <n v="0"/>
    <n v="66.5"/>
    <n v="900"/>
    <n v="110"/>
    <n v="900"/>
    <n v="0.92"/>
    <n v="23510"/>
    <n v="11755"/>
    <n v="21600"/>
    <n v="23510"/>
    <n v="0"/>
  </r>
  <r>
    <s v="Denmark"/>
    <x v="263"/>
    <s v="University of Southern Denmark"/>
    <s v="Environmental Engineering"/>
    <s v="Master"/>
    <n v="2"/>
    <n v="0"/>
    <n v="68.400000000000006"/>
    <n v="850"/>
    <n v="450"/>
    <n v="800"/>
    <n v="7.45"/>
    <n v="22450"/>
    <n v="11225"/>
    <n v="20400"/>
    <n v="22450"/>
    <n v="0"/>
  </r>
  <r>
    <s v="Norway"/>
    <x v="264"/>
    <s v="University of Agder"/>
    <s v="Renewable Energy"/>
    <s v="PhD"/>
    <n v="4"/>
    <n v="0"/>
    <n v="67.8"/>
    <n v="850"/>
    <n v="275"/>
    <n v="700"/>
    <n v="10.45"/>
    <n v="43875"/>
    <n v="10968.75"/>
    <n v="40800"/>
    <n v="43875"/>
    <n v="0"/>
  </r>
  <r>
    <s v="Finland"/>
    <x v="265"/>
    <s v="University of Eastern Finland"/>
    <s v="Environmental Science"/>
    <s v="Bachelor"/>
    <n v="3"/>
    <n v="0"/>
    <n v="66.900000000000006"/>
    <n v="700"/>
    <n v="350"/>
    <n v="650"/>
    <n v="0.92"/>
    <n v="27500"/>
    <n v="9166.6666666666661"/>
    <n v="25200"/>
    <n v="27500"/>
    <n v="0"/>
  </r>
  <r>
    <s v="Germany"/>
    <x v="81"/>
    <s v="RWTH Aachen"/>
    <s v="Materials Science"/>
    <s v="Master"/>
    <n v="2"/>
    <n v="0"/>
    <n v="68.900000000000006"/>
    <n v="1000"/>
    <n v="110"/>
    <n v="900"/>
    <n v="0.92"/>
    <n v="25910"/>
    <n v="12955"/>
    <n v="24000"/>
    <n v="25910"/>
    <n v="0"/>
  </r>
  <r>
    <s v="Denmark"/>
    <x v="266"/>
    <s v="University of Copenhagen"/>
    <s v="Bioinformatics"/>
    <s v="Master"/>
    <n v="2"/>
    <n v="0"/>
    <n v="67.5"/>
    <n v="900"/>
    <n v="450"/>
    <n v="800"/>
    <n v="7.45"/>
    <n v="23650"/>
    <n v="11825"/>
    <n v="21600"/>
    <n v="23650"/>
    <n v="0"/>
  </r>
  <r>
    <s v="Norway"/>
    <x v="267"/>
    <s v="University of South-Eastern Norway"/>
    <s v="Systems Engineering"/>
    <s v="Master"/>
    <n v="2"/>
    <n v="0"/>
    <n v="66.7"/>
    <n v="800"/>
    <n v="275"/>
    <n v="700"/>
    <n v="10.45"/>
    <n v="20875"/>
    <n v="10437.5"/>
    <n v="19200"/>
    <n v="20875"/>
    <n v="0"/>
  </r>
  <r>
    <s v="Finland"/>
    <x v="268"/>
    <s v="University of Eastern Finland"/>
    <s v="Forestry Sciences"/>
    <s v="PhD"/>
    <n v="4"/>
    <n v="0"/>
    <n v="65.8"/>
    <n v="650"/>
    <n v="350"/>
    <n v="650"/>
    <n v="0.92"/>
    <n v="34150"/>
    <n v="8537.5"/>
    <n v="31200"/>
    <n v="34150"/>
    <n v="0"/>
  </r>
  <r>
    <s v="Germany"/>
    <x v="85"/>
    <s v="University of Jena"/>
    <s v="Photonics"/>
    <s v="Master"/>
    <n v="2"/>
    <n v="0"/>
    <n v="65.400000000000006"/>
    <n v="850"/>
    <n v="110"/>
    <n v="900"/>
    <n v="0.92"/>
    <n v="22310"/>
    <n v="11155"/>
    <n v="20400"/>
    <n v="22310"/>
    <n v="0"/>
  </r>
  <r>
    <s v="Denmark"/>
    <x v="269"/>
    <s v="Aarhus University"/>
    <s v="Engineering Management"/>
    <s v="Master"/>
    <n v="2"/>
    <n v="0"/>
    <n v="66.2"/>
    <n v="800"/>
    <n v="450"/>
    <n v="800"/>
    <n v="7.45"/>
    <n v="21250"/>
    <n v="10625"/>
    <n v="19200"/>
    <n v="21250"/>
    <n v="0"/>
  </r>
  <r>
    <s v="New Zealand"/>
    <x v="16"/>
    <s v="University of Auckland"/>
    <s v="Computer Science"/>
    <s v="Master"/>
    <n v="2"/>
    <n v="32000"/>
    <n v="79.5"/>
    <n v="1200"/>
    <n v="330"/>
    <n v="600"/>
    <n v="1.65"/>
    <n v="62330"/>
    <n v="31165"/>
    <n v="28800"/>
    <n v="30330"/>
    <n v="0.51339643831220916"/>
  </r>
  <r>
    <s v="USA"/>
    <x v="30"/>
    <s v="Northeastern University"/>
    <s v="Data Science"/>
    <s v="Master"/>
    <n v="2"/>
    <n v="54000"/>
    <n v="82.1"/>
    <n v="2000"/>
    <n v="160"/>
    <n v="1500"/>
    <n v="1"/>
    <n v="105160"/>
    <n v="52580"/>
    <n v="48000"/>
    <n v="51160"/>
    <n v="0.5135032331685051"/>
  </r>
  <r>
    <s v="Sweden"/>
    <x v="10"/>
    <s v="KTH Royal Institute"/>
    <s v="Engineering Physics"/>
    <s v="Master"/>
    <n v="2"/>
    <n v="0"/>
    <n v="78.400000000000006"/>
    <n v="1100"/>
    <n v="120"/>
    <n v="750"/>
    <n v="10.45"/>
    <n v="28020"/>
    <n v="14010"/>
    <n v="26400"/>
    <n v="28020"/>
    <n v="0"/>
  </r>
  <r>
    <s v="Netherlands"/>
    <x v="6"/>
    <s v="University of Amsterdam"/>
    <s v="Artificial Intelligence"/>
    <s v="PhD"/>
    <n v="4"/>
    <n v="15000"/>
    <n v="81.2"/>
    <n v="1300"/>
    <n v="171"/>
    <n v="720"/>
    <n v="0.92"/>
    <n v="80451"/>
    <n v="20112.75"/>
    <n v="62400"/>
    <n v="65451"/>
    <n v="0.18644889435805645"/>
  </r>
  <r>
    <s v="Portugal"/>
    <x v="25"/>
    <s v="University of Lisbon"/>
    <s v="Computer Engineering"/>
    <s v="Master"/>
    <n v="2"/>
    <n v="7000"/>
    <n v="65.8"/>
    <n v="800"/>
    <n v="75"/>
    <n v="400"/>
    <n v="0.92"/>
    <n v="27075"/>
    <n v="13537.5"/>
    <n v="19200"/>
    <n v="20075"/>
    <n v="0.25854108956602029"/>
  </r>
  <r>
    <s v="New Zealand"/>
    <x v="270"/>
    <s v="Victoria University"/>
    <s v="Data Analytics"/>
    <s v="Master"/>
    <n v="2"/>
    <n v="30000"/>
    <n v="75.599999999999994"/>
    <n v="1100"/>
    <n v="330"/>
    <n v="600"/>
    <n v="1.65"/>
    <n v="57930"/>
    <n v="28965"/>
    <n v="26400"/>
    <n v="27930"/>
    <n v="0.51786639047125838"/>
  </r>
  <r>
    <s v="USA"/>
    <x v="21"/>
    <s v="UT Austin"/>
    <s v="Robotics"/>
    <s v="PhD"/>
    <n v="5"/>
    <n v="48000"/>
    <n v="68.900000000000006"/>
    <n v="1600"/>
    <n v="160"/>
    <n v="1500"/>
    <n v="1"/>
    <n v="151660"/>
    <n v="30332"/>
    <n v="96000"/>
    <n v="103660"/>
    <n v="0.31649742845839379"/>
  </r>
  <r>
    <s v="Sweden"/>
    <x v="271"/>
    <s v="Uppsala University"/>
    <s v="Mathematics"/>
    <s v="Bachelor"/>
    <n v="3"/>
    <n v="0"/>
    <n v="72.3"/>
    <n v="900"/>
    <n v="120"/>
    <n v="750"/>
    <n v="10.45"/>
    <n v="34770"/>
    <n v="11590"/>
    <n v="32400"/>
    <n v="34770"/>
    <n v="0"/>
  </r>
  <r>
    <s v="Netherlands"/>
    <x v="55"/>
    <s v="Erasmus University"/>
    <s v="Business Analytics"/>
    <s v="Master"/>
    <n v="2"/>
    <n v="14500"/>
    <n v="77.8"/>
    <n v="1200"/>
    <n v="171"/>
    <n v="720"/>
    <n v="0.92"/>
    <n v="44911"/>
    <n v="22455.5"/>
    <n v="28800"/>
    <n v="30411"/>
    <n v="0.3228607690766182"/>
  </r>
  <r>
    <s v="Portugal"/>
    <x v="272"/>
    <s v="University of Porto"/>
    <s v="Software Engineering"/>
    <s v="Master"/>
    <n v="2"/>
    <n v="6500"/>
    <n v="62.4"/>
    <n v="700"/>
    <n v="75"/>
    <n v="400"/>
    <n v="0.92"/>
    <n v="24175"/>
    <n v="12087.5"/>
    <n v="16800"/>
    <n v="17675"/>
    <n v="0.26887280248190282"/>
  </r>
  <r>
    <s v="New Zealand"/>
    <x v="273"/>
    <s v="University of Canterbury"/>
    <s v="Mechanical Engineering"/>
    <s v="PhD"/>
    <n v="4"/>
    <n v="31000"/>
    <n v="72.400000000000006"/>
    <n v="950"/>
    <n v="330"/>
    <n v="600"/>
    <n v="1.65"/>
    <n v="79330"/>
    <n v="19832.5"/>
    <n v="45600"/>
    <n v="48330"/>
    <n v="0.39077272154292197"/>
  </r>
  <r>
    <s v="USA"/>
    <x v="38"/>
    <s v="UC San Diego"/>
    <s v="Biotechnology"/>
    <s v="Master"/>
    <n v="2"/>
    <n v="49000"/>
    <n v="75.599999999999994"/>
    <n v="1900"/>
    <n v="160"/>
    <n v="1500"/>
    <n v="1"/>
    <n v="97760"/>
    <n v="48880"/>
    <n v="45600"/>
    <n v="48760"/>
    <n v="0.50122749590834692"/>
  </r>
  <r>
    <s v="Sweden"/>
    <x v="274"/>
    <s v="Chalmers University"/>
    <s v="Sustainable Energy"/>
    <s v="Master"/>
    <n v="2"/>
    <n v="0"/>
    <n v="71.2"/>
    <n v="950"/>
    <n v="120"/>
    <n v="750"/>
    <n v="10.45"/>
    <n v="24420"/>
    <n v="12210"/>
    <n v="22800"/>
    <n v="24420"/>
    <n v="0"/>
  </r>
  <r>
    <s v="Netherlands"/>
    <x v="34"/>
    <s v="TU Delft"/>
    <s v="Computer Science"/>
    <s v="Master"/>
    <n v="2"/>
    <n v="15500"/>
    <n v="76.5"/>
    <n v="1100"/>
    <n v="171"/>
    <n v="720"/>
    <n v="0.92"/>
    <n v="43511"/>
    <n v="21755.5"/>
    <n v="26400"/>
    <n v="28011"/>
    <n v="0.35623175748661257"/>
  </r>
  <r>
    <s v="Portugal"/>
    <x v="275"/>
    <s v="University of Coimbra"/>
    <s v="Data Science"/>
    <s v="Bachelor"/>
    <n v="3"/>
    <n v="6000"/>
    <n v="58.9"/>
    <n v="600"/>
    <n v="75"/>
    <n v="400"/>
    <n v="0.92"/>
    <n v="28875"/>
    <n v="9625"/>
    <n v="21600"/>
    <n v="22875"/>
    <n v="0.20779220779220781"/>
  </r>
  <r>
    <s v="New Zealand"/>
    <x v="276"/>
    <s v="University of Otago"/>
    <s v="Information Systems"/>
    <s v="Master"/>
    <n v="2"/>
    <n v="29000"/>
    <n v="70.2"/>
    <n v="900"/>
    <n v="330"/>
    <n v="600"/>
    <n v="1.65"/>
    <n v="52130"/>
    <n v="26065"/>
    <n v="21600"/>
    <n v="23130"/>
    <n v="0.55630155380778823"/>
  </r>
  <r>
    <s v="USA"/>
    <x v="39"/>
    <s v="University of Washington"/>
    <s v="Computer Engineering"/>
    <s v="Master"/>
    <n v="2"/>
    <n v="51000"/>
    <n v="77.8"/>
    <n v="2100"/>
    <n v="160"/>
    <n v="1500"/>
    <n v="1"/>
    <n v="104560"/>
    <n v="52280"/>
    <n v="50400"/>
    <n v="53560"/>
    <n v="0.48775822494261667"/>
  </r>
  <r>
    <s v="Sweden"/>
    <x v="37"/>
    <s v="Lund University"/>
    <s v="Physics"/>
    <s v="PhD"/>
    <n v="4"/>
    <n v="0"/>
    <n v="73.400000000000006"/>
    <n v="1000"/>
    <n v="120"/>
    <n v="750"/>
    <n v="10.45"/>
    <n v="51120"/>
    <n v="12780"/>
    <n v="48000"/>
    <n v="51120"/>
    <n v="0"/>
  </r>
  <r>
    <s v="Netherlands"/>
    <x v="136"/>
    <s v="TU Eindhoven"/>
    <s v="Artificial Intelligence"/>
    <s v="Master"/>
    <n v="2"/>
    <n v="14800"/>
    <n v="72.3"/>
    <n v="950"/>
    <n v="171"/>
    <n v="720"/>
    <n v="0.92"/>
    <n v="39211"/>
    <n v="19605.5"/>
    <n v="22800"/>
    <n v="24411"/>
    <n v="0.37744510469001047"/>
  </r>
  <r>
    <s v="Portugal"/>
    <x v="277"/>
    <s v="University of Minho"/>
    <s v="Computer Science"/>
    <s v="Master"/>
    <n v="2"/>
    <n v="6200"/>
    <n v="57.8"/>
    <n v="550"/>
    <n v="75"/>
    <n v="400"/>
    <n v="0.92"/>
    <n v="20275"/>
    <n v="10137.5"/>
    <n v="13200"/>
    <n v="14075"/>
    <n v="0.30579531442663377"/>
  </r>
  <r>
    <s v="New Zealand"/>
    <x v="106"/>
    <s v="University of Waikato"/>
    <s v="Environmental Science"/>
    <s v="Master"/>
    <n v="2"/>
    <n v="28500"/>
    <n v="68.900000000000006"/>
    <n v="850"/>
    <n v="330"/>
    <n v="600"/>
    <n v="1.65"/>
    <n v="50430"/>
    <n v="25215"/>
    <n v="20400"/>
    <n v="21930"/>
    <n v="0.56513979773944079"/>
  </r>
  <r>
    <s v="USA"/>
    <x v="20"/>
    <s v="Georgia Tech"/>
    <s v="Machine Learning"/>
    <s v="PhD"/>
    <n v="5"/>
    <n v="48000"/>
    <n v="71.2"/>
    <n v="1700"/>
    <n v="160"/>
    <n v="1500"/>
    <n v="1"/>
    <n v="157660"/>
    <n v="31532"/>
    <n v="102000"/>
    <n v="109660"/>
    <n v="0.30445261956108083"/>
  </r>
  <r>
    <s v="Sweden"/>
    <x v="278"/>
    <s v="Linköping University"/>
    <s v="Computer Science"/>
    <s v="Master"/>
    <n v="2"/>
    <n v="0"/>
    <n v="69.8"/>
    <n v="850"/>
    <n v="120"/>
    <n v="750"/>
    <n v="10.45"/>
    <n v="22020"/>
    <n v="11010"/>
    <n v="20400"/>
    <n v="22020"/>
    <n v="0"/>
  </r>
  <r>
    <s v="Netherlands"/>
    <x v="142"/>
    <s v="Utrecht University"/>
    <s v="Data Science"/>
    <s v="Bachelor"/>
    <n v="3"/>
    <n v="13900"/>
    <n v="75.400000000000006"/>
    <n v="1100"/>
    <n v="171"/>
    <n v="720"/>
    <n v="0.92"/>
    <n v="55831"/>
    <n v="18610.333333333332"/>
    <n v="39600"/>
    <n v="41931"/>
    <n v="0.24896562841432179"/>
  </r>
  <r>
    <s v="Portugal"/>
    <x v="279"/>
    <s v="University of Aveiro"/>
    <s v="Robotics"/>
    <s v="PhD"/>
    <n v="4"/>
    <n v="6800"/>
    <n v="56.7"/>
    <n v="500"/>
    <n v="75"/>
    <n v="400"/>
    <n v="0.92"/>
    <n v="32475"/>
    <n v="8118.75"/>
    <n v="24000"/>
    <n v="25675"/>
    <n v="0.20939183987682833"/>
  </r>
  <r>
    <s v="New Zealand"/>
    <x v="280"/>
    <s v="Massey University"/>
    <s v="Computer Engineering"/>
    <s v="Bachelor"/>
    <n v="3"/>
    <n v="27500"/>
    <n v="67.5"/>
    <n v="800"/>
    <n v="330"/>
    <n v="600"/>
    <n v="1.65"/>
    <n v="58430"/>
    <n v="19476.666666666668"/>
    <n v="28800"/>
    <n v="30930"/>
    <n v="0.47064863939756973"/>
  </r>
  <r>
    <s v="USA"/>
    <x v="116"/>
    <s v="Carnegie Mellon"/>
    <s v="Software Engineering"/>
    <s v="Master"/>
    <n v="2"/>
    <n v="56000"/>
    <n v="65.400000000000006"/>
    <n v="1500"/>
    <n v="160"/>
    <n v="1500"/>
    <n v="1"/>
    <n v="95160"/>
    <n v="47580"/>
    <n v="36000"/>
    <n v="39160"/>
    <n v="0.58848255569567043"/>
  </r>
  <r>
    <s v="Sweden"/>
    <x v="281"/>
    <s v="Umeå University"/>
    <s v="Artificial Intelligence"/>
    <s v="Master"/>
    <n v="2"/>
    <n v="0"/>
    <n v="68.5"/>
    <n v="800"/>
    <n v="120"/>
    <n v="750"/>
    <n v="10.45"/>
    <n v="20820"/>
    <n v="10410"/>
    <n v="19200"/>
    <n v="20820"/>
    <n v="0"/>
  </r>
  <r>
    <s v="Netherlands"/>
    <x v="138"/>
    <s v="University of Groningen"/>
    <s v="Computing Science"/>
    <s v="PhD"/>
    <n v="4"/>
    <n v="14200"/>
    <n v="71.2"/>
    <n v="900"/>
    <n v="171"/>
    <n v="720"/>
    <n v="0.92"/>
    <n v="60451"/>
    <n v="15112.75"/>
    <n v="43200"/>
    <n v="46251"/>
    <n v="0.23490099419364444"/>
  </r>
  <r>
    <s v="Portugal"/>
    <x v="282"/>
    <s v="University of Algarve"/>
    <s v="Information Systems"/>
    <s v="Master"/>
    <n v="2"/>
    <n v="5900"/>
    <n v="55.4"/>
    <n v="480"/>
    <n v="75"/>
    <n v="400"/>
    <n v="0.92"/>
    <n v="18295"/>
    <n v="9147.5"/>
    <n v="11520"/>
    <n v="12395"/>
    <n v="0.32249248428532384"/>
  </r>
  <r>
    <s v="New Zealand"/>
    <x v="16"/>
    <s v="AUT University"/>
    <s v="Data Analytics"/>
    <s v="Master"/>
    <n v="2"/>
    <n v="29500"/>
    <n v="79.5"/>
    <n v="1150"/>
    <n v="330"/>
    <n v="600"/>
    <n v="1.65"/>
    <n v="58630"/>
    <n v="29315"/>
    <n v="27600"/>
    <n v="29130"/>
    <n v="0.5031553812041617"/>
  </r>
  <r>
    <s v="USA"/>
    <x v="185"/>
    <s v="NC State University"/>
    <s v="Computer Science"/>
    <s v="Master"/>
    <n v="2"/>
    <n v="47000"/>
    <n v="67.8"/>
    <n v="1400"/>
    <n v="160"/>
    <n v="1500"/>
    <n v="1"/>
    <n v="83760"/>
    <n v="41880"/>
    <n v="33600"/>
    <n v="36760"/>
    <n v="0.56112702960840499"/>
  </r>
  <r>
    <s v="Sweden"/>
    <x v="283"/>
    <s v="Karlstad University"/>
    <s v="Information Systems"/>
    <s v="Bachelor"/>
    <n v="3"/>
    <n v="0"/>
    <n v="67.2"/>
    <n v="750"/>
    <n v="120"/>
    <n v="750"/>
    <n v="10.45"/>
    <n v="29370"/>
    <n v="9790"/>
    <n v="27000"/>
    <n v="29370"/>
    <n v="0"/>
  </r>
  <r>
    <s v="Netherlands"/>
    <x v="141"/>
    <s v="Tilburg University"/>
    <s v="Data Science"/>
    <s v="Master"/>
    <n v="2"/>
    <n v="14000"/>
    <n v="70.5"/>
    <n v="950"/>
    <n v="171"/>
    <n v="720"/>
    <n v="0.92"/>
    <n v="38411"/>
    <n v="19205.5"/>
    <n v="22800"/>
    <n v="24411"/>
    <n v="0.36447892530785453"/>
  </r>
  <r>
    <s v="Portugal"/>
    <x v="284"/>
    <s v="UTAD"/>
    <s v="Computer Engineering"/>
    <s v="Master"/>
    <n v="2"/>
    <n v="5700"/>
    <n v="54.3"/>
    <n v="450"/>
    <n v="75"/>
    <n v="400"/>
    <n v="0.92"/>
    <n v="17375"/>
    <n v="8687.5"/>
    <n v="10800"/>
    <n v="11675"/>
    <n v="0.32805755395683456"/>
  </r>
  <r>
    <s v="New Zealand"/>
    <x v="273"/>
    <s v="Lincoln University"/>
    <s v="Environmental Computing"/>
    <s v="PhD"/>
    <n v="4"/>
    <n v="28000"/>
    <n v="72.400000000000006"/>
    <n v="900"/>
    <n v="330"/>
    <n v="600"/>
    <n v="1.65"/>
    <n v="73930"/>
    <n v="18482.5"/>
    <n v="43200"/>
    <n v="45930"/>
    <n v="0.37873664277018804"/>
  </r>
  <r>
    <s v="USA"/>
    <x v="97"/>
    <s v="UC Davis"/>
    <s v="Data Science"/>
    <s v="Master"/>
    <n v="2"/>
    <n v="48000"/>
    <n v="73.2"/>
    <n v="1600"/>
    <n v="160"/>
    <n v="1500"/>
    <n v="1"/>
    <n v="89560"/>
    <n v="44780"/>
    <n v="38400"/>
    <n v="41560"/>
    <n v="0.53595355069227335"/>
  </r>
  <r>
    <s v="Sweden"/>
    <x v="285"/>
    <s v="Linnaeus University"/>
    <s v="Software Engineering"/>
    <s v="Master"/>
    <n v="2"/>
    <n v="0"/>
    <n v="66.5"/>
    <n v="700"/>
    <n v="120"/>
    <n v="750"/>
    <n v="10.45"/>
    <n v="18420"/>
    <n v="9210"/>
    <n v="16800"/>
    <n v="18420"/>
    <n v="0"/>
  </r>
  <r>
    <s v="Netherlands"/>
    <x v="144"/>
    <s v="Wageningen University"/>
    <s v="Bioinformatics"/>
    <s v="Master"/>
    <n v="2"/>
    <n v="14500"/>
    <n v="69.8"/>
    <n v="900"/>
    <n v="171"/>
    <n v="720"/>
    <n v="0.92"/>
    <n v="37711"/>
    <n v="18855.5"/>
    <n v="21600"/>
    <n v="23211"/>
    <n v="0.38450319535414068"/>
  </r>
  <r>
    <s v="Portugal"/>
    <x v="286"/>
    <s v="University of Madeira"/>
    <s v="Computing"/>
    <s v="Bachelor"/>
    <n v="3"/>
    <n v="5500"/>
    <n v="53.2"/>
    <n v="400"/>
    <n v="75"/>
    <n v="400"/>
    <n v="0.92"/>
    <n v="21175"/>
    <n v="7058.333333333333"/>
    <n v="14400"/>
    <n v="15675"/>
    <n v="0.25974025974025972"/>
  </r>
  <r>
    <s v="Spain"/>
    <x v="287"/>
    <s v="Universidad Politécnica de Madrid"/>
    <s v="Computer Science"/>
    <s v="Master"/>
    <n v="2"/>
    <n v="3500"/>
    <n v="71.400000000000006"/>
    <n v="1100"/>
    <n v="80"/>
    <n v="750"/>
    <n v="0.92"/>
    <n v="31480"/>
    <n v="15740"/>
    <n v="26400"/>
    <n v="27980"/>
    <n v="0.11118170266836086"/>
  </r>
  <r>
    <s v="Italy"/>
    <x v="54"/>
    <s v="Politecnico di Milano"/>
    <s v="Data Engineering"/>
    <s v="Master"/>
    <n v="2"/>
    <n v="4000"/>
    <n v="73.2"/>
    <n v="1200"/>
    <n v="120"/>
    <n v="700"/>
    <n v="0.92"/>
    <n v="34320"/>
    <n v="17160"/>
    <n v="28800"/>
    <n v="30320"/>
    <n v="0.11655011655011654"/>
  </r>
  <r>
    <s v="Greece"/>
    <x v="123"/>
    <s v="National Technical University"/>
    <s v="Electrical Engineering"/>
    <s v="PhD"/>
    <n v="4"/>
    <n v="0"/>
    <n v="65.8"/>
    <n v="650"/>
    <n v="100"/>
    <n v="600"/>
    <n v="0.92"/>
    <n v="33700"/>
    <n v="8425"/>
    <n v="31200"/>
    <n v="33700"/>
    <n v="0"/>
  </r>
  <r>
    <s v="Austria"/>
    <x v="17"/>
    <s v="TU Wien"/>
    <s v="Software Engineering"/>
    <s v="Master"/>
    <n v="2"/>
    <n v="1500"/>
    <n v="78.5"/>
    <n v="950"/>
    <n v="160"/>
    <n v="850"/>
    <n v="0.92"/>
    <n v="26160"/>
    <n v="13080"/>
    <n v="22800"/>
    <n v="24660"/>
    <n v="5.7339449541284407E-2"/>
  </r>
  <r>
    <s v="Mexico"/>
    <x v="122"/>
    <s v="UNAM"/>
    <s v="Computer Engineering"/>
    <s v="Bachelor"/>
    <n v="4"/>
    <n v="800"/>
    <n v="52.4"/>
    <n v="600"/>
    <n v="40"/>
    <n v="400"/>
    <n v="17.05"/>
    <n v="31240"/>
    <n v="7810"/>
    <n v="28800"/>
    <n v="30440"/>
    <n v="2.5608194622279128E-2"/>
  </r>
  <r>
    <s v="Spain"/>
    <x v="53"/>
    <s v="Universitat Politècnica Catalunya"/>
    <s v="Artificial Intelligence"/>
    <s v="Master"/>
    <n v="2"/>
    <n v="3800"/>
    <n v="73.599999999999994"/>
    <n v="1000"/>
    <n v="80"/>
    <n v="750"/>
    <n v="0.92"/>
    <n v="29380"/>
    <n v="14690"/>
    <n v="24000"/>
    <n v="25580"/>
    <n v="0.12933968686181074"/>
  </r>
  <r>
    <s v="Italy"/>
    <x v="288"/>
    <s v="Sapienza University"/>
    <s v="Robotics"/>
    <s v="PhD"/>
    <n v="4"/>
    <n v="3500"/>
    <n v="71.2"/>
    <n v="1100"/>
    <n v="120"/>
    <n v="700"/>
    <n v="0.92"/>
    <n v="59220"/>
    <n v="14805"/>
    <n v="52800"/>
    <n v="55720"/>
    <n v="5.9101654846335699E-2"/>
  </r>
  <r>
    <s v="Greece"/>
    <x v="289"/>
    <s v="Aristotle University"/>
    <s v="Computer Engineering"/>
    <s v="Master"/>
    <n v="2"/>
    <n v="0"/>
    <n v="62.4"/>
    <n v="500"/>
    <n v="100"/>
    <n v="600"/>
    <n v="0.92"/>
    <n v="13300"/>
    <n v="6650"/>
    <n v="12000"/>
    <n v="13300"/>
    <n v="0"/>
  </r>
  <r>
    <s v="Austria"/>
    <x v="290"/>
    <s v="TU Graz"/>
    <s v="Mechanical Engineering"/>
    <s v="Bachelor"/>
    <n v="3"/>
    <n v="1500"/>
    <n v="71.2"/>
    <n v="750"/>
    <n v="160"/>
    <n v="850"/>
    <n v="0.92"/>
    <n v="31210"/>
    <n v="10403.333333333334"/>
    <n v="27000"/>
    <n v="29710"/>
    <n v="4.806151874399231E-2"/>
  </r>
  <r>
    <s v="Mexico"/>
    <x v="291"/>
    <s v="Tecnológico de Monterrey"/>
    <s v="Data Science"/>
    <s v="Master"/>
    <n v="2"/>
    <n v="12000"/>
    <n v="48.9"/>
    <n v="700"/>
    <n v="40"/>
    <n v="400"/>
    <n v="17.05"/>
    <n v="29640"/>
    <n v="14820"/>
    <n v="16800"/>
    <n v="17640"/>
    <n v="0.40485829959514169"/>
  </r>
  <r>
    <s v="Spain"/>
    <x v="292"/>
    <s v="Universitat de València"/>
    <s v="Data Science"/>
    <s v="Master"/>
    <n v="2"/>
    <n v="3200"/>
    <n v="68.5"/>
    <n v="800"/>
    <n v="80"/>
    <n v="750"/>
    <n v="0.92"/>
    <n v="23980"/>
    <n v="11990"/>
    <n v="19200"/>
    <n v="20780"/>
    <n v="0.13344453711426188"/>
  </r>
  <r>
    <s v="Italy"/>
    <x v="293"/>
    <s v="Politecnico di Torino"/>
    <s v="Computer Engineering"/>
    <s v="Master"/>
    <n v="2"/>
    <n v="3800"/>
    <n v="69.8"/>
    <n v="900"/>
    <n v="120"/>
    <n v="700"/>
    <n v="0.92"/>
    <n v="26920"/>
    <n v="13460"/>
    <n v="21600"/>
    <n v="23120"/>
    <n v="0.14115898959881129"/>
  </r>
  <r>
    <s v="Greece"/>
    <x v="294"/>
    <s v="University of Patras"/>
    <s v="Electronics"/>
    <s v="PhD"/>
    <n v="4"/>
    <n v="0"/>
    <n v="60.5"/>
    <n v="450"/>
    <n v="100"/>
    <n v="600"/>
    <n v="0.92"/>
    <n v="24100"/>
    <n v="6025"/>
    <n v="21600"/>
    <n v="24100"/>
    <n v="0"/>
  </r>
  <r>
    <s v="Austria"/>
    <x v="295"/>
    <s v="Johannes Kepler University"/>
    <s v="Artificial Intelligence"/>
    <s v="Master"/>
    <n v="2"/>
    <n v="1500"/>
    <n v="70.400000000000006"/>
    <n v="700"/>
    <n v="160"/>
    <n v="850"/>
    <n v="0.92"/>
    <n v="20160"/>
    <n v="10080"/>
    <n v="16800"/>
    <n v="18660"/>
    <n v="7.4404761904761904E-2"/>
  </r>
  <r>
    <s v="Mexico"/>
    <x v="296"/>
    <s v="Universidad de Guadalajara"/>
    <s v="Software Engineering"/>
    <s v="Bachelor"/>
    <n v="4"/>
    <n v="900"/>
    <n v="45.6"/>
    <n v="500"/>
    <n v="40"/>
    <n v="400"/>
    <n v="17.05"/>
    <n v="26540"/>
    <n v="6635"/>
    <n v="24000"/>
    <n v="25640"/>
    <n v="3.3911077618688772E-2"/>
  </r>
  <r>
    <s v="Spain"/>
    <x v="297"/>
    <s v="Universidad de Sevilla"/>
    <s v="Robotics"/>
    <s v="Master"/>
    <n v="2"/>
    <n v="3000"/>
    <n v="65.400000000000006"/>
    <n v="750"/>
    <n v="80"/>
    <n v="750"/>
    <n v="0.92"/>
    <n v="22580"/>
    <n v="11290"/>
    <n v="18000"/>
    <n v="19580"/>
    <n v="0.1328609388839681"/>
  </r>
  <r>
    <s v="Italy"/>
    <x v="298"/>
    <s v="University of Bologna"/>
    <s v="Information Technology"/>
    <s v="PhD"/>
    <n v="4"/>
    <n v="3600"/>
    <n v="70.5"/>
    <n v="950"/>
    <n v="120"/>
    <n v="700"/>
    <n v="0.92"/>
    <n v="52120"/>
    <n v="13030"/>
    <n v="45600"/>
    <n v="48520"/>
    <n v="6.9071373752877974E-2"/>
  </r>
  <r>
    <s v="Greece"/>
    <x v="299"/>
    <s v="University of Crete"/>
    <s v="Computer Science"/>
    <s v="Master"/>
    <n v="2"/>
    <n v="0"/>
    <n v="61.2"/>
    <n v="480"/>
    <n v="100"/>
    <n v="600"/>
    <n v="0.92"/>
    <n v="12820"/>
    <n v="6410"/>
    <n v="11520"/>
    <n v="12820"/>
    <n v="0"/>
  </r>
  <r>
    <s v="Austria"/>
    <x v="300"/>
    <s v="University of Salzburg"/>
    <s v="Data Analytics"/>
    <s v="Bachelor"/>
    <n v="3"/>
    <n v="1500"/>
    <n v="72.3"/>
    <n v="800"/>
    <n v="160"/>
    <n v="850"/>
    <n v="0.92"/>
    <n v="33010"/>
    <n v="11003.333333333334"/>
    <n v="28800"/>
    <n v="31510"/>
    <n v="4.5440775522568921E-2"/>
  </r>
  <r>
    <s v="Mexico"/>
    <x v="301"/>
    <s v="UDLAP"/>
    <s v="Computer Engineering"/>
    <s v="Master"/>
    <n v="2"/>
    <n v="10000"/>
    <n v="44.5"/>
    <n v="450"/>
    <n v="40"/>
    <n v="400"/>
    <n v="17.05"/>
    <n v="21640"/>
    <n v="10820"/>
    <n v="10800"/>
    <n v="11640"/>
    <n v="0.46210720887245843"/>
  </r>
  <r>
    <s v="Spain"/>
    <x v="302"/>
    <s v="University of the Basque Country"/>
    <s v="Computer Science"/>
    <s v="PhD"/>
    <n v="4"/>
    <n v="3400"/>
    <n v="67.8"/>
    <n v="850"/>
    <n v="80"/>
    <n v="750"/>
    <n v="0.92"/>
    <n v="47280"/>
    <n v="11820"/>
    <n v="40800"/>
    <n v="43880"/>
    <n v="7.1912013536379021E-2"/>
  </r>
  <r>
    <s v="Italy"/>
    <x v="303"/>
    <s v="University of Florence"/>
    <s v="Cybersecurity"/>
    <s v="Master"/>
    <n v="2"/>
    <n v="3500"/>
    <n v="71.2"/>
    <n v="1000"/>
    <n v="120"/>
    <n v="700"/>
    <n v="0.92"/>
    <n v="29020"/>
    <n v="14510"/>
    <n v="24000"/>
    <n v="25520"/>
    <n v="0.1206064782908339"/>
  </r>
  <r>
    <s v="Greece"/>
    <x v="304"/>
    <s v="University of Thessaly"/>
    <s v="Digital Systems"/>
    <s v="Master"/>
    <n v="2"/>
    <n v="0"/>
    <n v="59.8"/>
    <n v="400"/>
    <n v="100"/>
    <n v="600"/>
    <n v="0.92"/>
    <n v="10900"/>
    <n v="5450"/>
    <n v="9600"/>
    <n v="10900"/>
    <n v="0"/>
  </r>
  <r>
    <s v="Austria"/>
    <x v="305"/>
    <s v="University of Innsbruck"/>
    <s v="Mechatronics"/>
    <s v="Master"/>
    <n v="2"/>
    <n v="1500"/>
    <n v="71.5"/>
    <n v="780"/>
    <n v="160"/>
    <n v="850"/>
    <n v="0.92"/>
    <n v="22080"/>
    <n v="11040"/>
    <n v="18720"/>
    <n v="20580"/>
    <n v="6.7934782608695649E-2"/>
  </r>
  <r>
    <s v="Mexico"/>
    <x v="306"/>
    <s v="Tecnologico de Monterrey"/>
    <s v="Data Analytics"/>
    <s v="Bachelor"/>
    <n v="4"/>
    <n v="11000"/>
    <n v="46.7"/>
    <n v="480"/>
    <n v="40"/>
    <n v="400"/>
    <n v="17.05"/>
    <n v="35680"/>
    <n v="8920"/>
    <n v="23040"/>
    <n v="24680"/>
    <n v="0.30829596412556054"/>
  </r>
  <r>
    <s v="Spain"/>
    <x v="307"/>
    <s v="University of Granada"/>
    <s v="Artificial Intelligence"/>
    <s v="Master"/>
    <n v="2"/>
    <n v="2800"/>
    <n v="64.5"/>
    <n v="700"/>
    <n v="80"/>
    <n v="750"/>
    <n v="0.92"/>
    <n v="21180"/>
    <n v="10590"/>
    <n v="16800"/>
    <n v="18380"/>
    <n v="0.13220018885741266"/>
  </r>
  <r>
    <s v="Italy"/>
    <x v="308"/>
    <s v="University of Naples"/>
    <s v="Software Engineering"/>
    <s v="PhD"/>
    <n v="4"/>
    <n v="3200"/>
    <n v="67.8"/>
    <n v="800"/>
    <n v="120"/>
    <n v="700"/>
    <n v="0.92"/>
    <n v="44520"/>
    <n v="11130"/>
    <n v="38400"/>
    <n v="41320"/>
    <n v="7.1877807726864335E-2"/>
  </r>
  <r>
    <s v="Greece"/>
    <x v="309"/>
    <s v="University of Ioannina"/>
    <s v="Information Systems"/>
    <s v="Bachelor"/>
    <n v="4"/>
    <n v="0"/>
    <n v="58.9"/>
    <n v="380"/>
    <n v="100"/>
    <n v="600"/>
    <n v="0.92"/>
    <n v="20740"/>
    <n v="5185"/>
    <n v="18240"/>
    <n v="20740"/>
    <n v="0"/>
  </r>
  <r>
    <s v="Austria"/>
    <x v="310"/>
    <s v="University of Klagenfurt"/>
    <s v="Data Science"/>
    <s v="Master"/>
    <n v="2"/>
    <n v="1500"/>
    <n v="69.400000000000006"/>
    <n v="720"/>
    <n v="160"/>
    <n v="850"/>
    <n v="0.92"/>
    <n v="20640"/>
    <n v="10320"/>
    <n v="17280"/>
    <n v="19140"/>
    <n v="7.2674418604651167E-2"/>
  </r>
  <r>
    <s v="Mexico"/>
    <x v="311"/>
    <s v="Universidad Autonoma de Yucatan"/>
    <s v="Computer Engineering"/>
    <s v="Master"/>
    <n v="2"/>
    <n v="3500"/>
    <n v="43.2"/>
    <n v="400"/>
    <n v="40"/>
    <n v="400"/>
    <n v="17.05"/>
    <n v="13940"/>
    <n v="6970"/>
    <n v="9600"/>
    <n v="10440"/>
    <n v="0.25107604017216645"/>
  </r>
  <r>
    <s v="Spain"/>
    <x v="312"/>
    <s v="University of Zaragoza"/>
    <s v="Robotics"/>
    <s v="Master"/>
    <n v="2"/>
    <n v="2900"/>
    <n v="63.2"/>
    <n v="650"/>
    <n v="80"/>
    <n v="750"/>
    <n v="0.92"/>
    <n v="20080"/>
    <n v="10040"/>
    <n v="15600"/>
    <n v="17180"/>
    <n v="0.14442231075697212"/>
  </r>
  <r>
    <s v="Italy"/>
    <x v="313"/>
    <s v="University of Pisa"/>
    <s v="Computer Engineering"/>
    <s v="Master"/>
    <n v="2"/>
    <n v="3300"/>
    <n v="68.900000000000006"/>
    <n v="850"/>
    <n v="120"/>
    <n v="700"/>
    <n v="0.92"/>
    <n v="25220"/>
    <n v="12610"/>
    <n v="20400"/>
    <n v="21920"/>
    <n v="0.13084853291038859"/>
  </r>
  <r>
    <s v="Greece"/>
    <x v="314"/>
    <s v="University of the Aegean"/>
    <s v="Digital Innovation"/>
    <s v="Master"/>
    <n v="2"/>
    <n v="0"/>
    <n v="61.2"/>
    <n v="420"/>
    <n v="100"/>
    <n v="600"/>
    <n v="0.92"/>
    <n v="11380"/>
    <n v="5690"/>
    <n v="10080"/>
    <n v="11380"/>
    <n v="0"/>
  </r>
  <r>
    <s v="Austria"/>
    <x v="315"/>
    <s v="Montanuniversität Leoben"/>
    <s v="Industrial Engineering"/>
    <s v="PhD"/>
    <n v="4"/>
    <n v="1500"/>
    <n v="68.7"/>
    <n v="700"/>
    <n v="160"/>
    <n v="850"/>
    <n v="0.92"/>
    <n v="38660"/>
    <n v="9665"/>
    <n v="33600"/>
    <n v="37160"/>
    <n v="3.8799793067770302E-2"/>
  </r>
  <r>
    <s v="Mexico"/>
    <x v="316"/>
    <s v="CETYS Universidad"/>
    <s v="Information Technology"/>
    <s v="Bachelor"/>
    <n v="4"/>
    <n v="9500"/>
    <n v="45.4"/>
    <n v="550"/>
    <n v="40"/>
    <n v="400"/>
    <n v="17.05"/>
    <n v="37540"/>
    <n v="9385"/>
    <n v="26400"/>
    <n v="28040"/>
    <n v="0.25306339904102293"/>
  </r>
  <r>
    <s v="Spain"/>
    <x v="317"/>
    <s v="University of Salamanca"/>
    <s v="Data Science"/>
    <s v="PhD"/>
    <n v="4"/>
    <n v="3100"/>
    <n v="62.1"/>
    <n v="600"/>
    <n v="80"/>
    <n v="750"/>
    <n v="0.92"/>
    <n v="34980"/>
    <n v="8745"/>
    <n v="28800"/>
    <n v="31880"/>
    <n v="8.862206975414523E-2"/>
  </r>
  <r>
    <s v="Italy"/>
    <x v="318"/>
    <s v="University of Padua"/>
    <s v="Artificial Intelligence"/>
    <s v="Master"/>
    <n v="2"/>
    <n v="3400"/>
    <n v="69.5"/>
    <n v="900"/>
    <n v="120"/>
    <n v="700"/>
    <n v="0.92"/>
    <n v="26520"/>
    <n v="13260"/>
    <n v="21600"/>
    <n v="23120"/>
    <n v="0.12820512820512819"/>
  </r>
  <r>
    <s v="Greece"/>
    <x v="319"/>
    <s v="Technical University of Crete"/>
    <s v="Electronic Engineering"/>
    <s v="Master"/>
    <n v="2"/>
    <n v="0"/>
    <n v="60.4"/>
    <n v="450"/>
    <n v="100"/>
    <n v="600"/>
    <n v="0.92"/>
    <n v="12100"/>
    <n v="6050"/>
    <n v="10800"/>
    <n v="12100"/>
    <n v="0"/>
  </r>
  <r>
    <s v="Austria"/>
    <x v="320"/>
    <s v="FH Vorarlberg"/>
    <s v="Software Development"/>
    <s v="Bachelor"/>
    <n v="3"/>
    <n v="1500"/>
    <n v="70.2"/>
    <n v="800"/>
    <n v="160"/>
    <n v="850"/>
    <n v="0.92"/>
    <n v="33010"/>
    <n v="11003.333333333334"/>
    <n v="28800"/>
    <n v="31510"/>
    <n v="4.5440775522568921E-2"/>
  </r>
  <r>
    <s v="Mexico"/>
    <x v="321"/>
    <s v="UASLP"/>
    <s v="Computer Systems"/>
    <s v="Master"/>
    <n v="2"/>
    <n v="2800"/>
    <n v="42.8"/>
    <n v="380"/>
    <n v="40"/>
    <n v="400"/>
    <n v="17.05"/>
    <n v="12760"/>
    <n v="6380"/>
    <n v="9120"/>
    <n v="9960"/>
    <n v="0.21943573667711599"/>
  </r>
  <r>
    <s v="Turkey"/>
    <x v="120"/>
    <s v="Bogazici University"/>
    <s v="Computer Engineering"/>
    <s v="Master"/>
    <n v="2"/>
    <n v="1500"/>
    <n v="51.2"/>
    <n v="600"/>
    <n v="90"/>
    <n v="500"/>
    <n v="28.5"/>
    <n v="16990"/>
    <n v="8495"/>
    <n v="14400"/>
    <n v="15490"/>
    <n v="8.8287227781047681E-2"/>
  </r>
  <r>
    <s v="Greece"/>
    <x v="123"/>
    <s v="Athens University of Economics"/>
    <s v="Data Science"/>
    <s v="Master"/>
    <n v="2"/>
    <n v="0"/>
    <n v="65.8"/>
    <n v="650"/>
    <n v="100"/>
    <n v="600"/>
    <n v="0.92"/>
    <n v="16900"/>
    <n v="8450"/>
    <n v="15600"/>
    <n v="16900"/>
    <n v="0"/>
  </r>
  <r>
    <s v="Belgium"/>
    <x v="322"/>
    <s v="KU Leuven"/>
    <s v="Artificial Intelligence"/>
    <s v="PhD"/>
    <n v="4"/>
    <n v="3800"/>
    <n v="76.5"/>
    <n v="950"/>
    <n v="180"/>
    <n v="800"/>
    <n v="0.92"/>
    <n v="52780"/>
    <n v="13195"/>
    <n v="45600"/>
    <n v="48980"/>
    <n v="7.1996968548692683E-2"/>
  </r>
  <r>
    <s v="Hungary"/>
    <x v="323"/>
    <s v="Budapest University of Technology"/>
    <s v="Software Engineering"/>
    <s v="Master"/>
    <n v="2"/>
    <n v="6500"/>
    <n v="53.4"/>
    <n v="500"/>
    <n v="140"/>
    <n v="450"/>
    <n v="350.25"/>
    <n v="19540"/>
    <n v="9770"/>
    <n v="12000"/>
    <n v="13040"/>
    <n v="0.33265097236438074"/>
  </r>
  <r>
    <s v="Russia"/>
    <x v="121"/>
    <s v="Moscow State University"/>
    <s v="Computer Science"/>
    <s v="Bachelor"/>
    <n v="4"/>
    <n v="5500"/>
    <n v="62.3"/>
    <n v="600"/>
    <n v="160"/>
    <n v="400"/>
    <n v="95.5"/>
    <n v="36060"/>
    <n v="9015"/>
    <n v="28800"/>
    <n v="30560"/>
    <n v="0.15252357182473655"/>
  </r>
  <r>
    <s v="Turkey"/>
    <x v="324"/>
    <s v="Middle East Technical University"/>
    <s v="Data Engineering"/>
    <s v="Master"/>
    <n v="2"/>
    <n v="1200"/>
    <n v="48.5"/>
    <n v="450"/>
    <n v="90"/>
    <n v="500"/>
    <n v="28.5"/>
    <n v="13090"/>
    <n v="6545"/>
    <n v="10800"/>
    <n v="11890"/>
    <n v="9.1673032849503441E-2"/>
  </r>
  <r>
    <s v="Greece"/>
    <x v="289"/>
    <s v="University of Macedonia"/>
    <s v="Information Systems"/>
    <s v="PhD"/>
    <n v="4"/>
    <n v="0"/>
    <n v="62.4"/>
    <n v="500"/>
    <n v="100"/>
    <n v="600"/>
    <n v="0.92"/>
    <n v="26500"/>
    <n v="6625"/>
    <n v="24000"/>
    <n v="26500"/>
    <n v="0"/>
  </r>
  <r>
    <s v="Belgium"/>
    <x v="325"/>
    <s v="Ghent University"/>
    <s v="Computer Science"/>
    <s v="Master"/>
    <n v="2"/>
    <n v="3500"/>
    <n v="72.8"/>
    <n v="850"/>
    <n v="180"/>
    <n v="800"/>
    <n v="0.92"/>
    <n v="25680"/>
    <n v="12840"/>
    <n v="20400"/>
    <n v="22180"/>
    <n v="0.13629283489096572"/>
  </r>
  <r>
    <s v="Hungary"/>
    <x v="326"/>
    <s v="University of Debrecen"/>
    <s v="Mechatronics"/>
    <s v="Bachelor"/>
    <n v="3"/>
    <n v="5800"/>
    <n v="48.9"/>
    <n v="400"/>
    <n v="140"/>
    <n v="450"/>
    <n v="350.25"/>
    <n v="21690"/>
    <n v="7230"/>
    <n v="14400"/>
    <n v="15890"/>
    <n v="0.26740433379437528"/>
  </r>
  <r>
    <s v="Russia"/>
    <x v="327"/>
    <s v="ITMO University"/>
    <s v="Data Science"/>
    <s v="Master"/>
    <n v="2"/>
    <n v="5000"/>
    <n v="60.1"/>
    <n v="550"/>
    <n v="160"/>
    <n v="400"/>
    <n v="95.5"/>
    <n v="19160"/>
    <n v="9580"/>
    <n v="13200"/>
    <n v="14160"/>
    <n v="0.26096033402922758"/>
  </r>
  <r>
    <s v="Turkey"/>
    <x v="328"/>
    <s v="Ege University"/>
    <s v="Electronics Engineering"/>
    <s v="PhD"/>
    <n v="4"/>
    <n v="1300"/>
    <n v="47.8"/>
    <n v="400"/>
    <n v="90"/>
    <n v="500"/>
    <n v="28.5"/>
    <n v="22590"/>
    <n v="5647.5"/>
    <n v="19200"/>
    <n v="21290"/>
    <n v="5.7547587428065518E-2"/>
  </r>
  <r>
    <s v="Greece"/>
    <x v="294"/>
    <s v="University of Patras"/>
    <s v="Computer Engineering"/>
    <s v="Master"/>
    <n v="2"/>
    <n v="0"/>
    <n v="60.5"/>
    <n v="450"/>
    <n v="100"/>
    <n v="600"/>
    <n v="0.92"/>
    <n v="12100"/>
    <n v="6050"/>
    <n v="10800"/>
    <n v="12100"/>
    <n v="0"/>
  </r>
  <r>
    <s v="Belgium"/>
    <x v="18"/>
    <s v="Vrije Universiteit Brussel"/>
    <s v="Robotics"/>
    <s v="Master"/>
    <n v="2"/>
    <n v="3600"/>
    <n v="75.400000000000006"/>
    <n v="900"/>
    <n v="180"/>
    <n v="800"/>
    <n v="0.92"/>
    <n v="26980"/>
    <n v="13490"/>
    <n v="21600"/>
    <n v="23380"/>
    <n v="0.1334321719792439"/>
  </r>
  <r>
    <s v="Hungary"/>
    <x v="329"/>
    <s v="University of Szeged"/>
    <s v="Computer Science"/>
    <s v="PhD"/>
    <n v="4"/>
    <n v="6000"/>
    <n v="47.2"/>
    <n v="380"/>
    <n v="140"/>
    <n v="450"/>
    <n v="350.25"/>
    <n v="26180"/>
    <n v="6545"/>
    <n v="18240"/>
    <n v="20180"/>
    <n v="0.22918258212375858"/>
  </r>
  <r>
    <s v="Russia"/>
    <x v="330"/>
    <s v="Novosibirsk State University"/>
    <s v="Mathematics"/>
    <s v="Master"/>
    <n v="2"/>
    <n v="4800"/>
    <n v="55.4"/>
    <n v="400"/>
    <n v="160"/>
    <n v="400"/>
    <n v="95.5"/>
    <n v="15360"/>
    <n v="7680"/>
    <n v="9600"/>
    <n v="10560"/>
    <n v="0.3125"/>
  </r>
  <r>
    <s v="Turkey"/>
    <x v="331"/>
    <s v="Anadolu University"/>
    <s v="Information Systems"/>
    <s v="Bachelor"/>
    <n v="4"/>
    <n v="1000"/>
    <n v="45.6"/>
    <n v="350"/>
    <n v="90"/>
    <n v="500"/>
    <n v="28.5"/>
    <n v="19890"/>
    <n v="4972.5"/>
    <n v="16800"/>
    <n v="18890"/>
    <n v="5.0276520864756161E-2"/>
  </r>
  <r>
    <s v="Greece"/>
    <x v="299"/>
    <s v="University of Crete"/>
    <s v="Data Analytics"/>
    <s v="Master"/>
    <n v="2"/>
    <n v="0"/>
    <n v="61.2"/>
    <n v="480"/>
    <n v="100"/>
    <n v="600"/>
    <n v="0.92"/>
    <n v="12820"/>
    <n v="6410"/>
    <n v="11520"/>
    <n v="12820"/>
    <n v="0"/>
  </r>
  <r>
    <s v="Belgium"/>
    <x v="332"/>
    <s v="University of Antwerp"/>
    <s v="Computer Science"/>
    <s v="PhD"/>
    <n v="4"/>
    <n v="3700"/>
    <n v="71.2"/>
    <n v="800"/>
    <n v="180"/>
    <n v="800"/>
    <n v="0.92"/>
    <n v="45480"/>
    <n v="11370"/>
    <n v="38400"/>
    <n v="41780"/>
    <n v="8.1354441512752854E-2"/>
  </r>
  <r>
    <s v="Hungary"/>
    <x v="333"/>
    <s v="University of Pecs"/>
    <s v="Software Development"/>
    <s v="Master"/>
    <n v="2"/>
    <n v="5500"/>
    <n v="46.8"/>
    <n v="350"/>
    <n v="140"/>
    <n v="450"/>
    <n v="350.25"/>
    <n v="14940"/>
    <n v="7470"/>
    <n v="8400"/>
    <n v="9440"/>
    <n v="0.36813922356091033"/>
  </r>
  <r>
    <s v="Russia"/>
    <x v="334"/>
    <s v="Kazan Federal University"/>
    <s v="Artificial Intelligence"/>
    <s v="Bachelor"/>
    <n v="4"/>
    <n v="4500"/>
    <n v="52.3"/>
    <n v="380"/>
    <n v="160"/>
    <n v="400"/>
    <n v="95.5"/>
    <n v="24500"/>
    <n v="6125"/>
    <n v="18240"/>
    <n v="20000"/>
    <n v="0.18367346938775511"/>
  </r>
  <r>
    <s v="Turkey"/>
    <x v="335"/>
    <s v="Uludag University"/>
    <s v="Computer Science"/>
    <s v="Master"/>
    <n v="2"/>
    <n v="1100"/>
    <n v="46.5"/>
    <n v="380"/>
    <n v="90"/>
    <n v="500"/>
    <n v="28.5"/>
    <n v="11310"/>
    <n v="5655"/>
    <n v="9120"/>
    <n v="10210"/>
    <n v="9.7259062776304153E-2"/>
  </r>
  <r>
    <s v="Greece"/>
    <x v="304"/>
    <s v="University of Thessaly"/>
    <s v="Cybersecurity"/>
    <s v="PhD"/>
    <n v="4"/>
    <n v="0"/>
    <n v="59.8"/>
    <n v="400"/>
    <n v="100"/>
    <n v="600"/>
    <n v="0.92"/>
    <n v="21700"/>
    <n v="5425"/>
    <n v="19200"/>
    <n v="21700"/>
    <n v="0"/>
  </r>
  <r>
    <s v="Belgium"/>
    <x v="336"/>
    <s v="UCLouvain"/>
    <s v="Data Engineering"/>
    <s v="Master"/>
    <n v="2"/>
    <n v="3500"/>
    <n v="70.5"/>
    <n v="780"/>
    <n v="180"/>
    <n v="800"/>
    <n v="0.92"/>
    <n v="24000"/>
    <n v="12000"/>
    <n v="18720"/>
    <n v="20500"/>
    <n v="0.14583333333333334"/>
  </r>
  <r>
    <s v="Hungary"/>
    <x v="337"/>
    <s v="Szechenyi Istvan University"/>
    <s v="Robotics"/>
    <s v="Bachelor"/>
    <n v="3"/>
    <n v="5200"/>
    <n v="45.6"/>
    <n v="320"/>
    <n v="140"/>
    <n v="450"/>
    <n v="350.25"/>
    <n v="18210"/>
    <n v="6070"/>
    <n v="11520"/>
    <n v="13010"/>
    <n v="0.28555738605162001"/>
  </r>
  <r>
    <s v="Russia"/>
    <x v="338"/>
    <s v="Tomsk State University"/>
    <s v="Software Engineering"/>
    <s v="Master"/>
    <n v="2"/>
    <n v="4600"/>
    <n v="51.2"/>
    <n v="350"/>
    <n v="160"/>
    <n v="400"/>
    <n v="95.5"/>
    <n v="13960"/>
    <n v="6980"/>
    <n v="8400"/>
    <n v="9360"/>
    <n v="0.32951289398280803"/>
  </r>
  <r>
    <s v="Turkey"/>
    <x v="339"/>
    <s v="Akdeniz University"/>
    <s v="Data Science"/>
    <s v="PhD"/>
    <n v="4"/>
    <n v="1400"/>
    <n v="47.8"/>
    <n v="420"/>
    <n v="90"/>
    <n v="500"/>
    <n v="28.5"/>
    <n v="23650"/>
    <n v="5912.5"/>
    <n v="20160"/>
    <n v="22250"/>
    <n v="5.9196617336152217E-2"/>
  </r>
  <r>
    <s v="Greece"/>
    <x v="340"/>
    <s v="University of Piraeus"/>
    <s v="Information Technology"/>
    <s v="Master"/>
    <n v="2"/>
    <n v="0"/>
    <n v="63.4"/>
    <n v="550"/>
    <n v="100"/>
    <n v="600"/>
    <n v="0.92"/>
    <n v="14500"/>
    <n v="7250"/>
    <n v="13200"/>
    <n v="14500"/>
    <n v="0"/>
  </r>
  <r>
    <s v="Belgium"/>
    <x v="341"/>
    <s v="Hasselt University"/>
    <s v="Artificial Intelligence"/>
    <s v="Bachelor"/>
    <n v="3"/>
    <n v="3400"/>
    <n v="69.8"/>
    <n v="750"/>
    <n v="180"/>
    <n v="800"/>
    <n v="0.92"/>
    <n v="32980"/>
    <n v="10993.333333333334"/>
    <n v="27000"/>
    <n v="29580"/>
    <n v="0.10309278350515463"/>
  </r>
  <r>
    <s v="Hungary"/>
    <x v="342"/>
    <s v="University of Miskolc"/>
    <s v="Computer Engineering"/>
    <s v="Master"/>
    <n v="2"/>
    <n v="5300"/>
    <n v="44.5"/>
    <n v="300"/>
    <n v="140"/>
    <n v="450"/>
    <n v="350.25"/>
    <n v="13540"/>
    <n v="6770"/>
    <n v="7200"/>
    <n v="8240"/>
    <n v="0.39143279172821271"/>
  </r>
  <r>
    <s v="Russia"/>
    <x v="343"/>
    <s v="Ural Federal University"/>
    <s v="Data Analytics"/>
    <s v="PhD"/>
    <n v="4"/>
    <n v="4700"/>
    <n v="53.4"/>
    <n v="400"/>
    <n v="160"/>
    <n v="400"/>
    <n v="95.5"/>
    <n v="25660"/>
    <n v="6415"/>
    <n v="19200"/>
    <n v="20960"/>
    <n v="0.18316445830085737"/>
  </r>
  <r>
    <s v="Turkey"/>
    <x v="344"/>
    <s v="Erciyes University"/>
    <s v="Software Engineering"/>
    <s v="Master"/>
    <n v="2"/>
    <n v="1200"/>
    <n v="45.2"/>
    <n v="350"/>
    <n v="90"/>
    <n v="500"/>
    <n v="28.5"/>
    <n v="10690"/>
    <n v="5345"/>
    <n v="8400"/>
    <n v="9490"/>
    <n v="0.11225444340505145"/>
  </r>
  <r>
    <s v="Greece"/>
    <x v="345"/>
    <s v="Democritus University"/>
    <s v="Computer Engineering"/>
    <s v="Bachelor"/>
    <n v="4"/>
    <n v="0"/>
    <n v="58.7"/>
    <n v="380"/>
    <n v="100"/>
    <n v="600"/>
    <n v="0.92"/>
    <n v="20740"/>
    <n v="5185"/>
    <n v="18240"/>
    <n v="20740"/>
    <n v="0"/>
  </r>
  <r>
    <s v="Belgium"/>
    <x v="346"/>
    <s v="University of Liege"/>
    <s v="Data Science"/>
    <s v="PhD"/>
    <n v="4"/>
    <n v="3600"/>
    <n v="68.900000000000006"/>
    <n v="720"/>
    <n v="180"/>
    <n v="800"/>
    <n v="0.92"/>
    <n v="41540"/>
    <n v="10385"/>
    <n v="34560"/>
    <n v="37940"/>
    <n v="8.6663456909003372E-2"/>
  </r>
  <r>
    <s v="Hungary"/>
    <x v="347"/>
    <s v="University of Pannonia"/>
    <s v="Information Systems"/>
    <s v="Master"/>
    <n v="2"/>
    <n v="5100"/>
    <n v="44.8"/>
    <n v="310"/>
    <n v="140"/>
    <n v="450"/>
    <n v="350.25"/>
    <n v="13580"/>
    <n v="6790"/>
    <n v="7440"/>
    <n v="8480"/>
    <n v="0.37555228276877761"/>
  </r>
  <r>
    <s v="Russia"/>
    <x v="348"/>
    <s v="Samara State University"/>
    <s v="Computer Science"/>
    <s v="Master"/>
    <n v="2"/>
    <n v="4400"/>
    <n v="50.5"/>
    <n v="370"/>
    <n v="160"/>
    <n v="400"/>
    <n v="95.5"/>
    <n v="14240"/>
    <n v="7120"/>
    <n v="8880"/>
    <n v="9840"/>
    <n v="0.3089887640449438"/>
  </r>
  <r>
    <s v="Turkey"/>
    <x v="349"/>
    <s v="Selcuk University"/>
    <s v="Artificial Intelligence"/>
    <s v="Bachelor"/>
    <n v="4"/>
    <n v="1000"/>
    <n v="44.5"/>
    <n v="330"/>
    <n v="90"/>
    <n v="500"/>
    <n v="28.5"/>
    <n v="18930"/>
    <n v="4732.5"/>
    <n v="15840"/>
    <n v="17930"/>
    <n v="5.2826201796090863E-2"/>
  </r>
  <r>
    <s v="Greece"/>
    <x v="350"/>
    <s v="University of the Aegean"/>
    <s v="Digital Systems"/>
    <s v="Master"/>
    <n v="2"/>
    <n v="0"/>
    <n v="59.2"/>
    <n v="400"/>
    <n v="100"/>
    <n v="600"/>
    <n v="0.92"/>
    <n v="10900"/>
    <n v="5450"/>
    <n v="9600"/>
    <n v="10900"/>
    <n v="0"/>
  </r>
  <r>
    <s v="Belgium"/>
    <x v="351"/>
    <s v="University of Mons"/>
    <s v="Computer Engineering"/>
    <s v="Master"/>
    <n v="2"/>
    <n v="3500"/>
    <n v="67.8"/>
    <n v="700"/>
    <n v="180"/>
    <n v="800"/>
    <n v="0.92"/>
    <n v="22080"/>
    <n v="11040"/>
    <n v="16800"/>
    <n v="18580"/>
    <n v="0.1585144927536232"/>
  </r>
  <r>
    <s v="Hungary"/>
    <x v="352"/>
    <s v="John von Neumann University"/>
    <s v="Data Analytics"/>
    <s v="PhD"/>
    <n v="4"/>
    <n v="5400"/>
    <n v="43.9"/>
    <n v="290"/>
    <n v="140"/>
    <n v="450"/>
    <n v="350.25"/>
    <n v="21260"/>
    <n v="5315"/>
    <n v="13920"/>
    <n v="15860"/>
    <n v="0.2539981185324553"/>
  </r>
  <r>
    <s v="Russia"/>
    <x v="353"/>
    <s v="Southern Federal University"/>
    <s v="Information Technology"/>
    <s v="Bachelor"/>
    <n v="4"/>
    <n v="4200"/>
    <n v="49.8"/>
    <n v="350"/>
    <n v="160"/>
    <n v="400"/>
    <n v="95.5"/>
    <n v="22760"/>
    <n v="5690"/>
    <n v="16800"/>
    <n v="18560"/>
    <n v="0.18453427065026362"/>
  </r>
  <r>
    <s v="Brazil"/>
    <x v="119"/>
    <s v="University of Sao Paulo"/>
    <s v="Computer Science"/>
    <s v="Master"/>
    <n v="2"/>
    <n v="0"/>
    <n v="55.8"/>
    <n v="600"/>
    <n v="90"/>
    <n v="400"/>
    <n v="4.95"/>
    <n v="15290"/>
    <n v="7645"/>
    <n v="14400"/>
    <n v="15290"/>
    <n v="0"/>
  </r>
  <r>
    <s v="India"/>
    <x v="42"/>
    <s v="Indian Institute of Science"/>
    <s v="Data Science"/>
    <s v="PhD"/>
    <n v="4"/>
    <n v="2000"/>
    <n v="45.2"/>
    <n v="300"/>
    <n v="180"/>
    <n v="300"/>
    <n v="82.75"/>
    <n v="17780"/>
    <n v="4445"/>
    <n v="14400"/>
    <n v="15780"/>
    <n v="0.1124859392575928"/>
  </r>
  <r>
    <s v="Thailand"/>
    <x v="124"/>
    <s v="Chulalongkorn University"/>
    <s v="Software Engineering"/>
    <s v="Master"/>
    <n v="2"/>
    <n v="15000"/>
    <n v="51.4"/>
    <n v="500"/>
    <n v="80"/>
    <n v="350"/>
    <n v="35.25"/>
    <n v="27780"/>
    <n v="13890"/>
    <n v="12000"/>
    <n v="12780"/>
    <n v="0.5399568034557235"/>
  </r>
  <r>
    <s v="Egypt"/>
    <x v="130"/>
    <s v="Cairo University"/>
    <s v="Computer Engineering"/>
    <s v="Bachelor"/>
    <n v="4"/>
    <n v="2500"/>
    <n v="31.8"/>
    <n v="250"/>
    <n v="100"/>
    <n v="200"/>
    <n v="30.9"/>
    <n v="15400"/>
    <n v="3850"/>
    <n v="12000"/>
    <n v="12900"/>
    <n v="0.16233766233766234"/>
  </r>
  <r>
    <s v="Singapore"/>
    <x v="7"/>
    <s v="National University of Singapore"/>
    <s v="Artificial Intelligence"/>
    <s v="Master"/>
    <n v="2"/>
    <n v="42000"/>
    <n v="83.8"/>
    <n v="1200"/>
    <n v="90"/>
    <n v="800"/>
    <n v="1.35"/>
    <n v="72490"/>
    <n v="36245"/>
    <n v="28800"/>
    <n v="30490"/>
    <n v="0.57939026072561728"/>
  </r>
  <r>
    <s v="UAE"/>
    <x v="125"/>
    <s v="University of Dubai"/>
    <s v="Data Analytics"/>
    <s v="Master"/>
    <n v="2"/>
    <n v="25000"/>
    <n v="72.400000000000006"/>
    <n v="1100"/>
    <n v="270"/>
    <n v="750"/>
    <n v="3.67"/>
    <n v="53170"/>
    <n v="26585"/>
    <n v="26400"/>
    <n v="28170"/>
    <n v="0.47018995674252401"/>
  </r>
  <r>
    <s v="Brazil"/>
    <x v="354"/>
    <s v="PUC-Rio"/>
    <s v="Information Systems"/>
    <s v="PhD"/>
    <n v="4"/>
    <n v="8000"/>
    <n v="53.2"/>
    <n v="550"/>
    <n v="90"/>
    <n v="400"/>
    <n v="4.95"/>
    <n v="36090"/>
    <n v="9022.5"/>
    <n v="26400"/>
    <n v="28090"/>
    <n v="0.22166805209199225"/>
  </r>
  <r>
    <s v="India"/>
    <x v="355"/>
    <s v="IIT Bombay"/>
    <s v="Computer Engineering"/>
    <s v="Master"/>
    <n v="2"/>
    <n v="1800"/>
    <n v="47.5"/>
    <n v="350"/>
    <n v="180"/>
    <n v="300"/>
    <n v="82.75"/>
    <n v="10980"/>
    <n v="5490"/>
    <n v="8400"/>
    <n v="9180"/>
    <n v="0.16393442622950818"/>
  </r>
  <r>
    <s v="Thailand"/>
    <x v="356"/>
    <s v="Chiang Mai University"/>
    <s v="Data Science"/>
    <s v="Bachelor"/>
    <n v="4"/>
    <n v="12000"/>
    <n v="45.6"/>
    <n v="300"/>
    <n v="80"/>
    <n v="350"/>
    <n v="35.25"/>
    <n v="27880"/>
    <n v="6970"/>
    <n v="14400"/>
    <n v="15880"/>
    <n v="0.43041606886657102"/>
  </r>
  <r>
    <s v="Singapore"/>
    <x v="7"/>
    <s v="Nanyang Technological University"/>
    <s v="Computer Science"/>
    <s v="PhD"/>
    <n v="4"/>
    <n v="40000"/>
    <n v="83.8"/>
    <n v="1100"/>
    <n v="90"/>
    <n v="800"/>
    <n v="1.35"/>
    <n v="96090"/>
    <n v="24022.5"/>
    <n v="52800"/>
    <n v="56090"/>
    <n v="0.41627640753460299"/>
  </r>
  <r>
    <s v="UAE"/>
    <x v="357"/>
    <s v="Khalifa University"/>
    <s v="Robotics"/>
    <s v="Master"/>
    <n v="2"/>
    <n v="27000"/>
    <n v="71.8"/>
    <n v="1000"/>
    <n v="270"/>
    <n v="750"/>
    <n v="3.67"/>
    <n v="52770"/>
    <n v="26385"/>
    <n v="24000"/>
    <n v="25770"/>
    <n v="0.51165434906196705"/>
  </r>
  <r>
    <s v="Brazil"/>
    <x v="358"/>
    <s v="UNICAMP"/>
    <s v="Computer Engineering"/>
    <s v="Master"/>
    <n v="2"/>
    <n v="0"/>
    <n v="51.4"/>
    <n v="450"/>
    <n v="90"/>
    <n v="400"/>
    <n v="4.95"/>
    <n v="11690"/>
    <n v="5845"/>
    <n v="10800"/>
    <n v="11690"/>
    <n v="0"/>
  </r>
  <r>
    <s v="India"/>
    <x v="359"/>
    <s v="IIT Delhi"/>
    <s v="Artificial Intelligence"/>
    <s v="PhD"/>
    <n v="4"/>
    <n v="1900"/>
    <n v="44.8"/>
    <n v="320"/>
    <n v="180"/>
    <n v="300"/>
    <n v="82.75"/>
    <n v="18640"/>
    <n v="4660"/>
    <n v="15360"/>
    <n v="16740"/>
    <n v="0.10193133047210301"/>
  </r>
  <r>
    <s v="Thailand"/>
    <x v="360"/>
    <s v="Khon Kaen University"/>
    <s v="Information Technology"/>
    <s v="Master"/>
    <n v="2"/>
    <n v="11000"/>
    <n v="42.5"/>
    <n v="250"/>
    <n v="80"/>
    <n v="350"/>
    <n v="35.25"/>
    <n v="17780"/>
    <n v="8890"/>
    <n v="6000"/>
    <n v="6780"/>
    <n v="0.6186726659167604"/>
  </r>
  <r>
    <s v="Egypt"/>
    <x v="361"/>
    <s v="Alexandria University"/>
    <s v="Software Engineering"/>
    <s v="Master"/>
    <n v="2"/>
    <n v="2200"/>
    <n v="30.5"/>
    <n v="200"/>
    <n v="100"/>
    <n v="200"/>
    <n v="30.9"/>
    <n v="7500"/>
    <n v="3750"/>
    <n v="4800"/>
    <n v="5300"/>
    <n v="0.29333333333333333"/>
  </r>
  <r>
    <s v="Singapore"/>
    <x v="7"/>
    <s v="Singapore Management University"/>
    <s v="Data Analytics"/>
    <s v="Bachelor"/>
    <n v="4"/>
    <n v="38000"/>
    <n v="83.8"/>
    <n v="1150"/>
    <n v="90"/>
    <n v="800"/>
    <n v="1.35"/>
    <n v="96490"/>
    <n v="24122.5"/>
    <n v="55200"/>
    <n v="58490"/>
    <n v="0.39382319411337963"/>
  </r>
  <r>
    <s v="UAE"/>
    <x v="362"/>
    <s v="American University of Sharjah"/>
    <s v="Computer Science"/>
    <s v="PhD"/>
    <n v="4"/>
    <n v="26000"/>
    <n v="68.5"/>
    <n v="900"/>
    <n v="270"/>
    <n v="750"/>
    <n v="3.67"/>
    <n v="72470"/>
    <n v="18117.5"/>
    <n v="43200"/>
    <n v="46470"/>
    <n v="0.35876914585345659"/>
  </r>
  <r>
    <s v="Brazil"/>
    <x v="363"/>
    <s v="UFRGS"/>
    <s v="Data Science"/>
    <s v="Bachelor"/>
    <n v="4"/>
    <n v="0"/>
    <n v="49.8"/>
    <n v="400"/>
    <n v="90"/>
    <n v="400"/>
    <n v="4.95"/>
    <n v="20890"/>
    <n v="5222.5"/>
    <n v="19200"/>
    <n v="20890"/>
    <n v="0"/>
  </r>
  <r>
    <s v="India"/>
    <x v="364"/>
    <s v="IIT Madras"/>
    <s v="Software Engineering"/>
    <s v="Master"/>
    <n v="2"/>
    <n v="1700"/>
    <n v="42.4"/>
    <n v="280"/>
    <n v="180"/>
    <n v="300"/>
    <n v="82.75"/>
    <n v="9200"/>
    <n v="4600"/>
    <n v="6720"/>
    <n v="7500"/>
    <n v="0.18478260869565216"/>
  </r>
  <r>
    <s v="Thailand"/>
    <x v="365"/>
    <s v="Prince of Songkla University"/>
    <s v="Computer Engineering"/>
    <s v="Master"/>
    <n v="2"/>
    <n v="10000"/>
    <n v="44.8"/>
    <n v="300"/>
    <n v="80"/>
    <n v="350"/>
    <n v="35.25"/>
    <n v="17980"/>
    <n v="8990"/>
    <n v="7200"/>
    <n v="7980"/>
    <n v="0.55617352614015569"/>
  </r>
  <r>
    <s v="Egypt"/>
    <x v="366"/>
    <s v="Ain Shams University"/>
    <s v="Data Science"/>
    <s v="PhD"/>
    <n v="4"/>
    <n v="2400"/>
    <n v="31.2"/>
    <n v="220"/>
    <n v="100"/>
    <n v="200"/>
    <n v="30.9"/>
    <n v="13860"/>
    <n v="3465"/>
    <n v="10560"/>
    <n v="11460"/>
    <n v="0.17316017316017315"/>
  </r>
  <r>
    <s v="Singapore"/>
    <x v="7"/>
    <s v="Singapore University of Technology"/>
    <s v="Artificial Intelligence"/>
    <s v="Master"/>
    <n v="2"/>
    <n v="39000"/>
    <n v="83.8"/>
    <n v="1100"/>
    <n v="90"/>
    <n v="800"/>
    <n v="1.35"/>
    <n v="67090"/>
    <n v="33545"/>
    <n v="26400"/>
    <n v="28090"/>
    <n v="0.58130868981964523"/>
  </r>
  <r>
    <s v="UAE"/>
    <x v="367"/>
    <s v="Ajman University"/>
    <s v="Information Systems"/>
    <s v="Bachelor"/>
    <n v="4"/>
    <n v="23000"/>
    <n v="65.400000000000006"/>
    <n v="800"/>
    <n v="270"/>
    <n v="750"/>
    <n v="3.67"/>
    <n v="64670"/>
    <n v="16167.5"/>
    <n v="38400"/>
    <n v="41670"/>
    <n v="0.35565177052729241"/>
  </r>
  <r>
    <s v="Brazil"/>
    <x v="368"/>
    <s v="UFPE"/>
    <s v="Computer Engineering"/>
    <s v="Master"/>
    <n v="2"/>
    <n v="0"/>
    <n v="47.5"/>
    <n v="350"/>
    <n v="90"/>
    <n v="400"/>
    <n v="4.95"/>
    <n v="9290"/>
    <n v="4645"/>
    <n v="8400"/>
    <n v="9290"/>
    <n v="0"/>
  </r>
  <r>
    <s v="India"/>
    <x v="369"/>
    <s v="IIT Hyderabad"/>
    <s v="Data Analytics"/>
    <s v="PhD"/>
    <n v="4"/>
    <n v="1800"/>
    <n v="41.2"/>
    <n v="260"/>
    <n v="180"/>
    <n v="300"/>
    <n v="82.75"/>
    <n v="15660"/>
    <n v="3915"/>
    <n v="12480"/>
    <n v="13860"/>
    <n v="0.11494252873563218"/>
  </r>
  <r>
    <s v="Thailand"/>
    <x v="370"/>
    <s v="Prince of Songkla University"/>
    <s v="Software Engineering"/>
    <s v="Bachelor"/>
    <n v="4"/>
    <n v="9500"/>
    <n v="43.2"/>
    <n v="280"/>
    <n v="80"/>
    <n v="350"/>
    <n v="35.25"/>
    <n v="24420"/>
    <n v="6105"/>
    <n v="13440"/>
    <n v="14920"/>
    <n v="0.38902538902538902"/>
  </r>
  <r>
    <s v="Egypt"/>
    <x v="371"/>
    <s v="Port Said University"/>
    <s v="Computer Science"/>
    <s v="Master"/>
    <n v="2"/>
    <n v="2100"/>
    <n v="29.8"/>
    <n v="180"/>
    <n v="100"/>
    <n v="200"/>
    <n v="30.9"/>
    <n v="6920"/>
    <n v="3460"/>
    <n v="4320"/>
    <n v="4820"/>
    <n v="0.30346820809248554"/>
  </r>
  <r>
    <s v="Singapore"/>
    <x v="7"/>
    <s v="SUTD"/>
    <s v="Robotics"/>
    <s v="PhD"/>
    <n v="4"/>
    <n v="37000"/>
    <n v="83.8"/>
    <n v="1050"/>
    <n v="90"/>
    <n v="800"/>
    <n v="1.35"/>
    <n v="90690"/>
    <n v="22672.5"/>
    <n v="50400"/>
    <n v="53690"/>
    <n v="0.40798323960745397"/>
  </r>
  <r>
    <s v="UAE"/>
    <x v="372"/>
    <s v="UAE University"/>
    <s v="Data Science"/>
    <s v="Master"/>
    <n v="2"/>
    <n v="24000"/>
    <n v="64.2"/>
    <n v="750"/>
    <n v="270"/>
    <n v="750"/>
    <n v="3.67"/>
    <n v="43770"/>
    <n v="21885"/>
    <n v="18000"/>
    <n v="19770"/>
    <n v="0.54832076764907467"/>
  </r>
  <r>
    <s v="Brazil"/>
    <x v="373"/>
    <s v="UFSC"/>
    <s v="Information Technology"/>
    <s v="PhD"/>
    <n v="4"/>
    <n v="0"/>
    <n v="48.9"/>
    <n v="400"/>
    <n v="90"/>
    <n v="400"/>
    <n v="4.95"/>
    <n v="20890"/>
    <n v="5222.5"/>
    <n v="19200"/>
    <n v="20890"/>
    <n v="0"/>
  </r>
  <r>
    <s v="India"/>
    <x v="374"/>
    <s v="IIT Pune"/>
    <s v="Computer Science"/>
    <s v="Master"/>
    <n v="2"/>
    <n v="1600"/>
    <n v="40.5"/>
    <n v="250"/>
    <n v="180"/>
    <n v="300"/>
    <n v="82.75"/>
    <n v="8380"/>
    <n v="4190"/>
    <n v="6000"/>
    <n v="6780"/>
    <n v="0.1909307875894988"/>
  </r>
  <r>
    <s v="Thailand"/>
    <x v="375"/>
    <s v="Suranaree University"/>
    <s v="Data Engineering"/>
    <s v="Master"/>
    <n v="2"/>
    <n v="9000"/>
    <n v="41.8"/>
    <n v="250"/>
    <n v="80"/>
    <n v="350"/>
    <n v="35.25"/>
    <n v="15780"/>
    <n v="7890"/>
    <n v="6000"/>
    <n v="6780"/>
    <n v="0.57034220532319391"/>
  </r>
  <r>
    <s v="Egypt"/>
    <x v="376"/>
    <s v="Mansoura University"/>
    <s v="Information Systems"/>
    <s v="Bachelor"/>
    <n v="4"/>
    <n v="2000"/>
    <n v="28.5"/>
    <n v="170"/>
    <n v="100"/>
    <n v="200"/>
    <n v="30.9"/>
    <n v="11060"/>
    <n v="2765"/>
    <n v="8160"/>
    <n v="9060"/>
    <n v="0.18083182640144665"/>
  </r>
  <r>
    <s v="Singapore"/>
    <x v="7"/>
    <s v="SIM Global Education"/>
    <s v="Software Engineering"/>
    <s v="Bachelor"/>
    <n v="4"/>
    <n v="35000"/>
    <n v="83.8"/>
    <n v="1000"/>
    <n v="90"/>
    <n v="800"/>
    <n v="1.35"/>
    <n v="86290"/>
    <n v="21572.5"/>
    <n v="48000"/>
    <n v="51290"/>
    <n v="0.4056089929308147"/>
  </r>
  <r>
    <s v="UAE"/>
    <x v="377"/>
    <s v="RAK University"/>
    <s v="Computer Engineering"/>
    <s v="Master"/>
    <n v="2"/>
    <n v="22000"/>
    <n v="62.5"/>
    <n v="700"/>
    <n v="270"/>
    <n v="750"/>
    <n v="3.67"/>
    <n v="40570"/>
    <n v="20285"/>
    <n v="16800"/>
    <n v="18570"/>
    <n v="0.54227261523293069"/>
  </r>
  <r>
    <s v="Brazil"/>
    <x v="378"/>
    <s v="UFBA"/>
    <s v="Data Science"/>
    <s v="Master"/>
    <n v="2"/>
    <n v="0"/>
    <n v="46.8"/>
    <n v="380"/>
    <n v="90"/>
    <n v="400"/>
    <n v="4.95"/>
    <n v="10010"/>
    <n v="5005"/>
    <n v="9120"/>
    <n v="10010"/>
    <n v="0"/>
  </r>
  <r>
    <s v="India"/>
    <x v="379"/>
    <s v="IIT Kanpur"/>
    <s v="Artificial Intelligence"/>
    <s v="PhD"/>
    <n v="4"/>
    <n v="1900"/>
    <n v="39.799999999999997"/>
    <n v="240"/>
    <n v="180"/>
    <n v="300"/>
    <n v="82.75"/>
    <n v="14800"/>
    <n v="3700"/>
    <n v="11520"/>
    <n v="12900"/>
    <n v="0.12837837837837837"/>
  </r>
  <r>
    <s v="Thailand"/>
    <x v="380"/>
    <s v="Thaksin University"/>
    <s v="Computer Engineering"/>
    <s v="Bachelor"/>
    <n v="4"/>
    <n v="8500"/>
    <n v="42.5"/>
    <n v="270"/>
    <n v="80"/>
    <n v="350"/>
    <n v="35.25"/>
    <n v="22940"/>
    <n v="5735"/>
    <n v="12960"/>
    <n v="14440"/>
    <n v="0.37053182214472535"/>
  </r>
  <r>
    <s v="Egypt"/>
    <x v="381"/>
    <s v="Aswan University"/>
    <s v="Data Analytics"/>
    <s v="Master"/>
    <n v="2"/>
    <n v="1900"/>
    <n v="27.8"/>
    <n v="160"/>
    <n v="100"/>
    <n v="200"/>
    <n v="30.9"/>
    <n v="6240"/>
    <n v="3120"/>
    <n v="3840"/>
    <n v="4340"/>
    <n v="0.30448717948717946"/>
  </r>
  <r>
    <s v="UAE"/>
    <x v="382"/>
    <s v="Fujairah University"/>
    <s v="Information Technology"/>
    <s v="Bachelor"/>
    <n v="4"/>
    <n v="21000"/>
    <n v="61.4"/>
    <n v="650"/>
    <n v="270"/>
    <n v="750"/>
    <n v="3.67"/>
    <n v="55470"/>
    <n v="13867.5"/>
    <n v="31200"/>
    <n v="34470"/>
    <n v="0.3785830178474851"/>
  </r>
  <r>
    <s v="Iceland"/>
    <x v="383"/>
    <s v="University of Iceland"/>
    <s v="Computer Science"/>
    <s v="Master"/>
    <n v="2"/>
    <n v="0"/>
    <n v="84.5"/>
    <n v="1200"/>
    <n v="140"/>
    <n v="900"/>
    <n v="137.5"/>
    <n v="30740"/>
    <n v="15370"/>
    <n v="28800"/>
    <n v="30740"/>
    <n v="0"/>
  </r>
  <r>
    <s v="Colombia"/>
    <x v="384"/>
    <s v="Universidad Nacional"/>
    <s v="Software Engineering"/>
    <s v="Master"/>
    <n v="2"/>
    <n v="3500"/>
    <n v="41.2"/>
    <n v="400"/>
    <n v="80"/>
    <n v="300"/>
    <n v="3950"/>
    <n v="13780"/>
    <n v="6890"/>
    <n v="9600"/>
    <n v="10280"/>
    <n v="0.2539912917271408"/>
  </r>
  <r>
    <s v="Poland"/>
    <x v="44"/>
    <s v="University of Warsaw"/>
    <s v="Data Science"/>
    <s v="PhD"/>
    <n v="4"/>
    <n v="3000"/>
    <n v="54.8"/>
    <n v="650"/>
    <n v="80"/>
    <n v="400"/>
    <n v="4.0999999999999996"/>
    <n v="35880"/>
    <n v="8970"/>
    <n v="31200"/>
    <n v="32880"/>
    <n v="8.3612040133779264E-2"/>
  </r>
  <r>
    <s v="Romania"/>
    <x v="385"/>
    <s v="University Politehnica"/>
    <s v="Computer Engineering"/>
    <s v="Bachelor"/>
    <n v="3"/>
    <n v="2500"/>
    <n v="45.2"/>
    <n v="450"/>
    <n v="120"/>
    <n v="350"/>
    <n v="4.6500000000000004"/>
    <n v="19870"/>
    <n v="6623.333333333333"/>
    <n v="16200"/>
    <n v="17370"/>
    <n v="0.12581781580271767"/>
  </r>
  <r>
    <s v="Luxembourg"/>
    <x v="386"/>
    <s v="University of Luxembourg"/>
    <s v="Artificial Intelligence"/>
    <s v="Master"/>
    <n v="2"/>
    <n v="400"/>
    <n v="83.2"/>
    <n v="1400"/>
    <n v="100"/>
    <n v="800"/>
    <n v="0.92"/>
    <n v="35700"/>
    <n v="17850"/>
    <n v="33600"/>
    <n v="35300"/>
    <n v="1.1204481792717087E-2"/>
  </r>
  <r>
    <s v="Indonesia"/>
    <x v="132"/>
    <s v="University of Indonesia"/>
    <s v="Information Systems"/>
    <s v="Master"/>
    <n v="2"/>
    <n v="5000"/>
    <n v="45.8"/>
    <n v="400"/>
    <n v="150"/>
    <n v="250"/>
    <n v="15600"/>
    <n v="15250"/>
    <n v="7625"/>
    <n v="9600"/>
    <n v="10250"/>
    <n v="0.32786885245901637"/>
  </r>
  <r>
    <s v="Iceland"/>
    <x v="387"/>
    <s v="University of Akureyri"/>
    <s v="Data Analytics"/>
    <s v="Bachelor"/>
    <n v="3"/>
    <n v="0"/>
    <n v="78.400000000000006"/>
    <n v="900"/>
    <n v="140"/>
    <n v="900"/>
    <n v="137.5"/>
    <n v="35240"/>
    <n v="11746.666666666666"/>
    <n v="32400"/>
    <n v="35240"/>
    <n v="0"/>
  </r>
  <r>
    <s v="Colombia"/>
    <x v="388"/>
    <s v="Universidad de Antioquia"/>
    <s v="Computer Science"/>
    <s v="PhD"/>
    <n v="4"/>
    <n v="4000"/>
    <n v="38.5"/>
    <n v="350"/>
    <n v="80"/>
    <n v="300"/>
    <n v="3950"/>
    <n v="22080"/>
    <n v="5520"/>
    <n v="16800"/>
    <n v="18080"/>
    <n v="0.18115942028985507"/>
  </r>
  <r>
    <s v="Poland"/>
    <x v="389"/>
    <s v="Jagiellonian University"/>
    <s v="Software Development"/>
    <s v="Master"/>
    <n v="2"/>
    <n v="2800"/>
    <n v="52.4"/>
    <n v="600"/>
    <n v="80"/>
    <n v="400"/>
    <n v="4.0999999999999996"/>
    <n v="18080"/>
    <n v="9040"/>
    <n v="14400"/>
    <n v="15280"/>
    <n v="0.15486725663716813"/>
  </r>
  <r>
    <s v="Romania"/>
    <x v="390"/>
    <s v="Babes-Bolyai University"/>
    <s v="Data Science"/>
    <s v="Master"/>
    <n v="2"/>
    <n v="2200"/>
    <n v="43.8"/>
    <n v="400"/>
    <n v="120"/>
    <n v="350"/>
    <n v="4.6500000000000004"/>
    <n v="12620"/>
    <n v="6310"/>
    <n v="9600"/>
    <n v="10420"/>
    <n v="0.17432646592709986"/>
  </r>
  <r>
    <s v="Luxembourg"/>
    <x v="391"/>
    <s v="Luxembourg School of Business"/>
    <s v="Data Engineering"/>
    <s v="Master"/>
    <n v="2"/>
    <n v="400"/>
    <n v="79.5"/>
    <n v="1200"/>
    <n v="100"/>
    <n v="800"/>
    <n v="0.92"/>
    <n v="30900"/>
    <n v="15450"/>
    <n v="28800"/>
    <n v="30500"/>
    <n v="1.2944983818770227E-2"/>
  </r>
  <r>
    <s v="Indonesia"/>
    <x v="392"/>
    <s v="Institut Teknologi Bandung"/>
    <s v="Computer Engineering"/>
    <s v="PhD"/>
    <n v="4"/>
    <n v="4500"/>
    <n v="42.4"/>
    <n v="300"/>
    <n v="150"/>
    <n v="250"/>
    <n v="15600"/>
    <n v="20050"/>
    <n v="5012.5"/>
    <n v="14400"/>
    <n v="15550"/>
    <n v="0.22443890274314215"/>
  </r>
  <r>
    <s v="Iceland"/>
    <x v="383"/>
    <s v="Reykjavik University"/>
    <s v="Robotics"/>
    <s v="Master"/>
    <n v="2"/>
    <n v="0"/>
    <n v="84.5"/>
    <n v="1150"/>
    <n v="140"/>
    <n v="900"/>
    <n v="137.5"/>
    <n v="29540"/>
    <n v="14770"/>
    <n v="27600"/>
    <n v="29540"/>
    <n v="0"/>
  </r>
  <r>
    <s v="Colombia"/>
    <x v="393"/>
    <s v="Universidad del Valle"/>
    <s v="Information Technology"/>
    <s v="Bachelor"/>
    <n v="4"/>
    <n v="3200"/>
    <n v="36.799999999999997"/>
    <n v="300"/>
    <n v="80"/>
    <n v="300"/>
    <n v="3950"/>
    <n v="18880"/>
    <n v="4720"/>
    <n v="14400"/>
    <n v="15680"/>
    <n v="0.16949152542372881"/>
  </r>
  <r>
    <s v="Poland"/>
    <x v="394"/>
    <s v="Wroclaw University of Technology"/>
    <s v="Artificial Intelligence"/>
    <s v="Master"/>
    <n v="2"/>
    <n v="2600"/>
    <n v="50.5"/>
    <n v="550"/>
    <n v="80"/>
    <n v="400"/>
    <n v="4.0999999999999996"/>
    <n v="16680"/>
    <n v="8340"/>
    <n v="13200"/>
    <n v="14080"/>
    <n v="0.15587529976019185"/>
  </r>
  <r>
    <s v="Romania"/>
    <x v="395"/>
    <s v="Politehnica University"/>
    <s v="Software Engineering"/>
    <s v="PhD"/>
    <n v="4"/>
    <n v="2400"/>
    <n v="42.5"/>
    <n v="380"/>
    <n v="120"/>
    <n v="350"/>
    <n v="4.6500000000000004"/>
    <n v="22160"/>
    <n v="5540"/>
    <n v="18240"/>
    <n v="19760"/>
    <n v="0.10830324909747292"/>
  </r>
  <r>
    <s v="Luxembourg"/>
    <x v="396"/>
    <s v="Luxembourg Institute of Science"/>
    <s v="Computer Science"/>
    <s v="Bachelor"/>
    <n v="3"/>
    <n v="400"/>
    <n v="78.400000000000006"/>
    <n v="1100"/>
    <n v="100"/>
    <n v="800"/>
    <n v="0.92"/>
    <n v="42500"/>
    <n v="14166.666666666666"/>
    <n v="39600"/>
    <n v="42100"/>
    <n v="9.4117647058823521E-3"/>
  </r>
  <r>
    <s v="Indonesia"/>
    <x v="397"/>
    <s v="Gadjah Mada University"/>
    <s v="Data Science"/>
    <s v="Master"/>
    <n v="2"/>
    <n v="4000"/>
    <n v="40.200000000000003"/>
    <n v="250"/>
    <n v="150"/>
    <n v="250"/>
    <n v="15600"/>
    <n v="10650"/>
    <n v="5325"/>
    <n v="6000"/>
    <n v="6650"/>
    <n v="0.37558685446009388"/>
  </r>
  <r>
    <s v="Iceland"/>
    <x v="398"/>
    <s v="Iceland University of Arts"/>
    <s v="Digital Design"/>
    <s v="Master"/>
    <n v="2"/>
    <n v="0"/>
    <n v="82.1"/>
    <n v="1000"/>
    <n v="140"/>
    <n v="900"/>
    <n v="137.5"/>
    <n v="25940"/>
    <n v="12970"/>
    <n v="24000"/>
    <n v="25940"/>
    <n v="0"/>
  </r>
  <r>
    <s v="Colombia"/>
    <x v="399"/>
    <s v="Universidad del Norte"/>
    <s v="Computer Engineering"/>
    <s v="Master"/>
    <n v="2"/>
    <n v="3800"/>
    <n v="35.4"/>
    <n v="280"/>
    <n v="80"/>
    <n v="300"/>
    <n v="3950"/>
    <n v="11200"/>
    <n v="5600"/>
    <n v="6720"/>
    <n v="7400"/>
    <n v="0.3392857142857143"/>
  </r>
  <r>
    <s v="Poland"/>
    <x v="400"/>
    <s v="Adam Mickiewicz University"/>
    <s v="Computer Science"/>
    <s v="PhD"/>
    <n v="4"/>
    <n v="2700"/>
    <n v="51.2"/>
    <n v="580"/>
    <n v="80"/>
    <n v="400"/>
    <n v="4.0999999999999996"/>
    <n v="32220"/>
    <n v="8055"/>
    <n v="27840"/>
    <n v="29520"/>
    <n v="8.3798882681564241E-2"/>
  </r>
  <r>
    <s v="Romania"/>
    <x v="401"/>
    <s v="Alexandru Ioan Cuza University"/>
    <s v="Information Systems"/>
    <s v="Master"/>
    <n v="2"/>
    <n v="2100"/>
    <n v="41.8"/>
    <n v="350"/>
    <n v="120"/>
    <n v="350"/>
    <n v="4.6500000000000004"/>
    <n v="11320"/>
    <n v="5660"/>
    <n v="8400"/>
    <n v="9220"/>
    <n v="0.18551236749116609"/>
  </r>
  <r>
    <s v="Luxembourg"/>
    <x v="402"/>
    <s v="Sacred Heart University"/>
    <s v="Data Analytics"/>
    <s v="Master"/>
    <n v="2"/>
    <n v="400"/>
    <n v="81.5"/>
    <n v="1300"/>
    <n v="100"/>
    <n v="800"/>
    <n v="0.92"/>
    <n v="33300"/>
    <n v="16650"/>
    <n v="31200"/>
    <n v="32900"/>
    <n v="1.2012012012012012E-2"/>
  </r>
  <r>
    <s v="Indonesia"/>
    <x v="403"/>
    <s v="Institut Teknologi Sepuluh"/>
    <s v="Software Engineering"/>
    <s v="Bachelor"/>
    <n v="4"/>
    <n v="3800"/>
    <n v="41.5"/>
    <n v="280"/>
    <n v="150"/>
    <n v="250"/>
    <n v="15600"/>
    <n v="18390"/>
    <n v="4597.5"/>
    <n v="13440"/>
    <n v="14590"/>
    <n v="0.20663404023926046"/>
  </r>
  <r>
    <s v="Iceland"/>
    <x v="404"/>
    <s v="Bifrost University"/>
    <s v="Digital Business"/>
    <s v="Bachelor"/>
    <n v="3"/>
    <n v="0"/>
    <n v="81.2"/>
    <n v="950"/>
    <n v="140"/>
    <n v="900"/>
    <n v="137.5"/>
    <n v="37040"/>
    <n v="12346.666666666666"/>
    <n v="34200"/>
    <n v="37040"/>
    <n v="0"/>
  </r>
  <r>
    <s v="Colombia"/>
    <x v="405"/>
    <s v="UIS"/>
    <s v="Data Science"/>
    <s v="PhD"/>
    <n v="4"/>
    <n v="3500"/>
    <n v="34.799999999999997"/>
    <n v="260"/>
    <n v="80"/>
    <n v="300"/>
    <n v="3950"/>
    <n v="17260"/>
    <n v="4315"/>
    <n v="12480"/>
    <n v="13760"/>
    <n v="0.20278099652375434"/>
  </r>
  <r>
    <s v="Poland"/>
    <x v="406"/>
    <s v="Gdansk University of Technology"/>
    <s v="Cybersecurity"/>
    <s v="Master"/>
    <n v="2"/>
    <n v="2500"/>
    <n v="49.8"/>
    <n v="520"/>
    <n v="80"/>
    <n v="400"/>
    <n v="4.0999999999999996"/>
    <n v="15860"/>
    <n v="7930"/>
    <n v="12480"/>
    <n v="13360"/>
    <n v="0.15762925598991173"/>
  </r>
  <r>
    <s v="Romania"/>
    <x v="407"/>
    <s v="Transilvania University"/>
    <s v="Computer Engineering"/>
    <s v="Bachelor"/>
    <n v="4"/>
    <n v="2000"/>
    <n v="40.5"/>
    <n v="330"/>
    <n v="120"/>
    <n v="350"/>
    <n v="4.6500000000000004"/>
    <n v="19360"/>
    <n v="4840"/>
    <n v="15840"/>
    <n v="17360"/>
    <n v="0.10330578512396695"/>
  </r>
  <r>
    <s v="Luxembourg"/>
    <x v="408"/>
    <s v="Miami University Dolibois"/>
    <s v="Information Technology"/>
    <s v="Master"/>
    <n v="2"/>
    <n v="400"/>
    <n v="77.8"/>
    <n v="1150"/>
    <n v="100"/>
    <n v="800"/>
    <n v="0.92"/>
    <n v="29700"/>
    <n v="14850"/>
    <n v="27600"/>
    <n v="29300"/>
    <n v="1.3468013468013467E-2"/>
  </r>
  <r>
    <s v="Indonesia"/>
    <x v="409"/>
    <s v="Brawijaya University"/>
    <s v="Artificial Intelligence"/>
    <s v="Master"/>
    <n v="2"/>
    <n v="3500"/>
    <n v="39.799999999999997"/>
    <n v="240"/>
    <n v="150"/>
    <n v="250"/>
    <n v="15600"/>
    <n v="9910"/>
    <n v="4955"/>
    <n v="5760"/>
    <n v="6410"/>
    <n v="0.35317860746720486"/>
  </r>
  <r>
    <s v="Poland"/>
    <x v="410"/>
    <s v="Lodz University of Technology"/>
    <s v="Software Engineering"/>
    <s v="Master"/>
    <n v="2"/>
    <n v="2400"/>
    <n v="48.5"/>
    <n v="500"/>
    <n v="80"/>
    <n v="400"/>
    <n v="4.0999999999999996"/>
    <n v="15280"/>
    <n v="7640"/>
    <n v="12000"/>
    <n v="12880"/>
    <n v="0.15706806282722513"/>
  </r>
  <r>
    <s v="Romania"/>
    <x v="411"/>
    <s v="Ovidius University"/>
    <s v="Data Analytics"/>
    <s v="Master"/>
    <n v="2"/>
    <n v="1900"/>
    <n v="39.799999999999997"/>
    <n v="320"/>
    <n v="120"/>
    <n v="350"/>
    <n v="4.6500000000000004"/>
    <n v="10400"/>
    <n v="5200"/>
    <n v="7680"/>
    <n v="8500"/>
    <n v="0.18269230769230768"/>
  </r>
  <r>
    <s v="Luxembourg"/>
    <x v="412"/>
    <s v="European Business University"/>
    <s v="Digital Innovation"/>
    <s v="Bachelor"/>
    <n v="3"/>
    <n v="400"/>
    <n v="76.5"/>
    <n v="1100"/>
    <n v="100"/>
    <n v="800"/>
    <n v="0.92"/>
    <n v="42500"/>
    <n v="14166.666666666666"/>
    <n v="39600"/>
    <n v="42100"/>
    <n v="9.4117647058823521E-3"/>
  </r>
  <r>
    <s v="Indonesia"/>
    <x v="413"/>
    <s v="Diponegoro University"/>
    <s v="Computer Science"/>
    <s v="PhD"/>
    <n v="4"/>
    <n v="3200"/>
    <n v="38.5"/>
    <n v="220"/>
    <n v="150"/>
    <n v="250"/>
    <n v="15600"/>
    <n v="14910"/>
    <n v="3727.5"/>
    <n v="10560"/>
    <n v="11710"/>
    <n v="0.21462105969148224"/>
  </r>
  <r>
    <s v="Iceland"/>
    <x v="414"/>
    <s v="Agricultural University"/>
    <s v="Data Systems"/>
    <s v="Master"/>
    <n v="2"/>
    <n v="0"/>
    <n v="79.8"/>
    <n v="900"/>
    <n v="140"/>
    <n v="900"/>
    <n v="137.5"/>
    <n v="23540"/>
    <n v="11770"/>
    <n v="21600"/>
    <n v="23540"/>
    <n v="0"/>
  </r>
  <r>
    <s v="Colombia"/>
    <x v="415"/>
    <s v="Universidad de Cartagena"/>
    <s v="Information Systems"/>
    <s v="Master"/>
    <n v="2"/>
    <n v="3300"/>
    <n v="35.200000000000003"/>
    <n v="290"/>
    <n v="80"/>
    <n v="300"/>
    <n v="3950"/>
    <n v="10940"/>
    <n v="5470"/>
    <n v="6960"/>
    <n v="7640"/>
    <n v="0.3016453382084095"/>
  </r>
  <r>
    <s v="Poland"/>
    <x v="416"/>
    <s v="University of Silesia"/>
    <s v="Computer Engineering"/>
    <s v="Bachelor"/>
    <n v="3"/>
    <n v="2300"/>
    <n v="47.8"/>
    <n v="480"/>
    <n v="80"/>
    <n v="400"/>
    <n v="4.0999999999999996"/>
    <n v="20860"/>
    <n v="6953.333333333333"/>
    <n v="17280"/>
    <n v="18560"/>
    <n v="0.11025886864813039"/>
  </r>
  <r>
    <s v="Romania"/>
    <x v="417"/>
    <s v="University of Craiova"/>
    <s v="Software Development"/>
    <s v="PhD"/>
    <n v="4"/>
    <n v="2200"/>
    <n v="38.9"/>
    <n v="300"/>
    <n v="120"/>
    <n v="350"/>
    <n v="4.6500000000000004"/>
    <n v="18120"/>
    <n v="4530"/>
    <n v="14400"/>
    <n v="15920"/>
    <n v="0.12141280353200883"/>
  </r>
  <r>
    <s v="Luxembourg"/>
    <x v="418"/>
    <s v="Chamber of Commerce School"/>
    <s v="Business Analytics"/>
    <s v="Master"/>
    <n v="2"/>
    <n v="400"/>
    <n v="75.400000000000006"/>
    <n v="1050"/>
    <n v="100"/>
    <n v="800"/>
    <n v="0.92"/>
    <n v="27300"/>
    <n v="13650"/>
    <n v="25200"/>
    <n v="26900"/>
    <n v="1.4652014652014652E-2"/>
  </r>
  <r>
    <s v="Indonesia"/>
    <x v="419"/>
    <s v="Udayana University"/>
    <s v="Information Technology"/>
    <s v="Master"/>
    <n v="2"/>
    <n v="3000"/>
    <n v="37.9"/>
    <n v="200"/>
    <n v="150"/>
    <n v="250"/>
    <n v="15600"/>
    <n v="8450"/>
    <n v="4225"/>
    <n v="4800"/>
    <n v="5450"/>
    <n v="0.35502958579881655"/>
  </r>
  <r>
    <s v="Tunisia"/>
    <x v="420"/>
    <s v="University of Tunis"/>
    <s v="Computer Science"/>
    <s v="Master"/>
    <n v="2"/>
    <n v="1500"/>
    <n v="35.799999999999997"/>
    <n v="250"/>
    <n v="60"/>
    <n v="200"/>
    <n v="3.15"/>
    <n v="7960"/>
    <n v="3980"/>
    <n v="6000"/>
    <n v="6460"/>
    <n v="0.18844221105527639"/>
  </r>
  <r>
    <s v="Cyprus"/>
    <x v="421"/>
    <s v="University of Cyprus"/>
    <s v="Data Science"/>
    <s v="Master"/>
    <n v="2"/>
    <n v="8000"/>
    <n v="65.400000000000006"/>
    <n v="600"/>
    <n v="100"/>
    <n v="500"/>
    <n v="0.92"/>
    <n v="23500"/>
    <n v="11750"/>
    <n v="14400"/>
    <n v="15500"/>
    <n v="0.34042553191489361"/>
  </r>
  <r>
    <s v="Croatia"/>
    <x v="422"/>
    <s v="University of Zagreb"/>
    <s v="Software Engineering"/>
    <s v="PhD"/>
    <n v="4"/>
    <n v="4000"/>
    <n v="58.9"/>
    <n v="450"/>
    <n v="80"/>
    <n v="400"/>
    <n v="7.35"/>
    <n v="27280"/>
    <n v="6820"/>
    <n v="21600"/>
    <n v="23280"/>
    <n v="0.1466275659824047"/>
  </r>
  <r>
    <s v="Dominican Republic"/>
    <x v="423"/>
    <s v="INTEC"/>
    <s v="Computer Engineering"/>
    <s v="Bachelor"/>
    <n v="4"/>
    <n v="6000"/>
    <n v="42.5"/>
    <n v="350"/>
    <n v="100"/>
    <n v="300"/>
    <n v="56.8"/>
    <n v="24100"/>
    <n v="6025"/>
    <n v="16800"/>
    <n v="18100"/>
    <n v="0.24896265560165975"/>
  </r>
  <r>
    <s v="Morocco"/>
    <x v="424"/>
    <s v="Mohammed V University"/>
    <s v="Information Systems"/>
    <s v="Master"/>
    <n v="2"/>
    <n v="2000"/>
    <n v="41.2"/>
    <n v="300"/>
    <n v="70"/>
    <n v="250"/>
    <n v="10.15"/>
    <n v="9770"/>
    <n v="4885"/>
    <n v="7200"/>
    <n v="7770"/>
    <n v="0.20470829068577279"/>
  </r>
  <r>
    <s v="Peru"/>
    <x v="425"/>
    <s v="PUCP"/>
    <s v="Data Analytics"/>
    <s v="Master"/>
    <n v="2"/>
    <n v="8500"/>
    <n v="44.8"/>
    <n v="400"/>
    <n v="120"/>
    <n v="350"/>
    <n v="3.75"/>
    <n v="18920"/>
    <n v="9460"/>
    <n v="9600"/>
    <n v="10420"/>
    <n v="0.44926004228329808"/>
  </r>
  <r>
    <s v="Argentina"/>
    <x v="131"/>
    <s v="University of Buenos Aires"/>
    <s v="Computer Science"/>
    <s v="PhD"/>
    <n v="4"/>
    <n v="0"/>
    <n v="42.5"/>
    <n v="350"/>
    <n v="90"/>
    <n v="280"/>
    <n v="275"/>
    <n v="18010"/>
    <n v="4502.5"/>
    <n v="16800"/>
    <n v="18010"/>
    <n v="0"/>
  </r>
  <r>
    <s v="Tunisia"/>
    <x v="426"/>
    <s v="University of Sfax"/>
    <s v="Artificial Intelligence"/>
    <s v="Master"/>
    <n v="2"/>
    <n v="1400"/>
    <n v="33.200000000000003"/>
    <n v="200"/>
    <n v="60"/>
    <n v="200"/>
    <n v="3.15"/>
    <n v="6660"/>
    <n v="3330"/>
    <n v="4800"/>
    <n v="5260"/>
    <n v="0.21021021021021022"/>
  </r>
  <r>
    <s v="Cyprus"/>
    <x v="427"/>
    <s v="Cyprus University of Technology"/>
    <s v="Software Development"/>
    <s v="Bachelor"/>
    <n v="4"/>
    <n v="7500"/>
    <n v="62.8"/>
    <n v="550"/>
    <n v="100"/>
    <n v="500"/>
    <n v="0.92"/>
    <n v="36000"/>
    <n v="9000"/>
    <n v="26400"/>
    <n v="28500"/>
    <n v="0.20833333333333334"/>
  </r>
  <r>
    <s v="Croatia"/>
    <x v="428"/>
    <s v="University of Split"/>
    <s v="Data Engineering"/>
    <s v="Master"/>
    <n v="2"/>
    <n v="3800"/>
    <n v="56.4"/>
    <n v="400"/>
    <n v="80"/>
    <n v="400"/>
    <n v="7.35"/>
    <n v="14280"/>
    <n v="7140"/>
    <n v="9600"/>
    <n v="10480"/>
    <n v="0.26610644257703081"/>
  </r>
  <r>
    <s v="Dominican Republic"/>
    <x v="429"/>
    <s v="PUCMM"/>
    <s v="Information Technology"/>
    <s v="Master"/>
    <n v="2"/>
    <n v="5500"/>
    <n v="40.200000000000003"/>
    <n v="300"/>
    <n v="100"/>
    <n v="300"/>
    <n v="56.8"/>
    <n v="13400"/>
    <n v="6700"/>
    <n v="7200"/>
    <n v="7900"/>
    <n v="0.41044776119402987"/>
  </r>
  <r>
    <s v="Morocco"/>
    <x v="430"/>
    <s v="Hassan II University"/>
    <s v="Computer Engineering"/>
    <s v="PhD"/>
    <n v="4"/>
    <n v="2200"/>
    <n v="43.5"/>
    <n v="350"/>
    <n v="70"/>
    <n v="250"/>
    <n v="10.15"/>
    <n v="20070"/>
    <n v="5017.5"/>
    <n v="16800"/>
    <n v="17870"/>
    <n v="0.1096163428001993"/>
  </r>
  <r>
    <s v="Peru"/>
    <x v="431"/>
    <s v="Universidad San Agustin"/>
    <s v="Software Engineering"/>
    <s v="Bachelor"/>
    <n v="4"/>
    <n v="7000"/>
    <n v="41.2"/>
    <n v="300"/>
    <n v="120"/>
    <n v="350"/>
    <n v="3.75"/>
    <n v="22920"/>
    <n v="5730"/>
    <n v="14400"/>
    <n v="15920"/>
    <n v="0.30541012216404889"/>
  </r>
  <r>
    <s v="Argentina"/>
    <x v="432"/>
    <s v="National University of Cordoba"/>
    <s v="Data Science"/>
    <s v="Master"/>
    <n v="2"/>
    <n v="0"/>
    <n v="39.799999999999997"/>
    <n v="280"/>
    <n v="90"/>
    <n v="280"/>
    <n v="275"/>
    <n v="7370"/>
    <n v="3685"/>
    <n v="6720"/>
    <n v="7370"/>
    <n v="0"/>
  </r>
  <r>
    <s v="Tunisia"/>
    <x v="433"/>
    <s v="University of Sousse"/>
    <s v="Computer Systems"/>
    <s v="Bachelor"/>
    <n v="3"/>
    <n v="1300"/>
    <n v="32.5"/>
    <n v="180"/>
    <n v="60"/>
    <n v="200"/>
    <n v="3.15"/>
    <n v="8440"/>
    <n v="2813.3333333333335"/>
    <n v="6480"/>
    <n v="7140"/>
    <n v="0.15402843601895735"/>
  </r>
  <r>
    <s v="Cyprus"/>
    <x v="434"/>
    <s v="American University Cyprus"/>
    <s v="Artificial Intelligence"/>
    <s v="PhD"/>
    <n v="4"/>
    <n v="8200"/>
    <n v="61.5"/>
    <n v="500"/>
    <n v="100"/>
    <n v="500"/>
    <n v="0.92"/>
    <n v="34300"/>
    <n v="8575"/>
    <n v="24000"/>
    <n v="26100"/>
    <n v="0.239067055393586"/>
  </r>
  <r>
    <s v="Croatia"/>
    <x v="435"/>
    <s v="University of Rijeka"/>
    <s v="Information Systems"/>
    <s v="Master"/>
    <n v="2"/>
    <n v="3500"/>
    <n v="54.8"/>
    <n v="380"/>
    <n v="80"/>
    <n v="400"/>
    <n v="7.35"/>
    <n v="13500"/>
    <n v="6750"/>
    <n v="9120"/>
    <n v="10000"/>
    <n v="0.25925925925925924"/>
  </r>
  <r>
    <s v="Dominican Republic"/>
    <x v="436"/>
    <s v="Universidad Central Este"/>
    <s v="Computer Science"/>
    <s v="Bachelor"/>
    <n v="4"/>
    <n v="5000"/>
    <n v="38.5"/>
    <n v="280"/>
    <n v="100"/>
    <n v="300"/>
    <n v="56.8"/>
    <n v="19740"/>
    <n v="4935"/>
    <n v="13440"/>
    <n v="14740"/>
    <n v="0.25329280648429586"/>
  </r>
  <r>
    <s v="Morocco"/>
    <x v="437"/>
    <s v="University of Al Quaraouiyine"/>
    <s v="Data Analytics"/>
    <s v="Master"/>
    <n v="2"/>
    <n v="1800"/>
    <n v="39.799999999999997"/>
    <n v="250"/>
    <n v="70"/>
    <n v="250"/>
    <n v="10.15"/>
    <n v="8370"/>
    <n v="4185"/>
    <n v="6000"/>
    <n v="6570"/>
    <n v="0.21505376344086022"/>
  </r>
  <r>
    <s v="Peru"/>
    <x v="438"/>
    <s v="Universidad Nacional de Trujillo"/>
    <s v="Software Development"/>
    <s v="PhD"/>
    <n v="4"/>
    <n v="7500"/>
    <n v="40.5"/>
    <n v="280"/>
    <n v="120"/>
    <n v="350"/>
    <n v="3.75"/>
    <n v="22460"/>
    <n v="5615"/>
    <n v="13440"/>
    <n v="14960"/>
    <n v="0.33392698130008902"/>
  </r>
  <r>
    <s v="Argentina"/>
    <x v="439"/>
    <s v="National University of Rosario"/>
    <s v="Computer Engineering"/>
    <s v="Master"/>
    <n v="2"/>
    <n v="0"/>
    <n v="38.5"/>
    <n v="260"/>
    <n v="90"/>
    <n v="280"/>
    <n v="275"/>
    <n v="6890"/>
    <n v="3445"/>
    <n v="6240"/>
    <n v="6890"/>
    <n v="0"/>
  </r>
  <r>
    <s v="Tunisia"/>
    <x v="440"/>
    <s v="University of Monastir"/>
    <s v="Data Science"/>
    <s v="PhD"/>
    <n v="4"/>
    <n v="1600"/>
    <n v="31.8"/>
    <n v="170"/>
    <n v="60"/>
    <n v="200"/>
    <n v="3.15"/>
    <n v="10620"/>
    <n v="2655"/>
    <n v="8160"/>
    <n v="9020"/>
    <n v="0.15065913370998116"/>
  </r>
  <r>
    <s v="Cyprus"/>
    <x v="441"/>
    <s v="Eastern Mediterranean University"/>
    <s v="Software Engineering"/>
    <s v="Master"/>
    <n v="2"/>
    <n v="7800"/>
    <n v="59.8"/>
    <n v="480"/>
    <n v="100"/>
    <n v="500"/>
    <n v="0.92"/>
    <n v="20420"/>
    <n v="10210"/>
    <n v="11520"/>
    <n v="12620"/>
    <n v="0.38197845249755141"/>
  </r>
  <r>
    <s v="Croatia"/>
    <x v="442"/>
    <s v="University of Osijek"/>
    <s v="Computer Science"/>
    <s v="Bachelor"/>
    <n v="3"/>
    <n v="3200"/>
    <n v="52.5"/>
    <n v="350"/>
    <n v="80"/>
    <n v="400"/>
    <n v="7.35"/>
    <n v="17080"/>
    <n v="5693.333333333333"/>
    <n v="12600"/>
    <n v="13880"/>
    <n v="0.18735362997658081"/>
  </r>
  <r>
    <s v="Dominican Republic"/>
    <x v="443"/>
    <s v="UCNE"/>
    <s v="Information Systems"/>
    <s v="Master"/>
    <n v="2"/>
    <n v="4800"/>
    <n v="37.200000000000003"/>
    <n v="260"/>
    <n v="100"/>
    <n v="300"/>
    <n v="56.8"/>
    <n v="11740"/>
    <n v="5870"/>
    <n v="6240"/>
    <n v="6940"/>
    <n v="0.40885860306643951"/>
  </r>
  <r>
    <s v="Morocco"/>
    <x v="444"/>
    <s v="Cadi Ayyad University"/>
    <s v="Artificial Intelligence"/>
    <s v="PhD"/>
    <n v="4"/>
    <n v="2100"/>
    <n v="40.5"/>
    <n v="280"/>
    <n v="70"/>
    <n v="250"/>
    <n v="10.15"/>
    <n v="16610"/>
    <n v="4152.5"/>
    <n v="13440"/>
    <n v="14510"/>
    <n v="0.12642986152919927"/>
  </r>
  <r>
    <s v="Peru"/>
    <x v="445"/>
    <s v="Universidad San Antonio Abad"/>
    <s v="Data Analytics"/>
    <s v="Master"/>
    <n v="2"/>
    <n v="6800"/>
    <n v="39.799999999999997"/>
    <n v="260"/>
    <n v="120"/>
    <n v="350"/>
    <n v="3.75"/>
    <n v="13860"/>
    <n v="6930"/>
    <n v="6240"/>
    <n v="7060"/>
    <n v="0.49062049062049062"/>
  </r>
  <r>
    <s v="Argentina"/>
    <x v="446"/>
    <s v="National University of La Plata"/>
    <s v="Software Development"/>
    <s v="Bachelor"/>
    <n v="4"/>
    <n v="0"/>
    <n v="37.5"/>
    <n v="240"/>
    <n v="90"/>
    <n v="280"/>
    <n v="275"/>
    <n v="12730"/>
    <n v="3182.5"/>
    <n v="11520"/>
    <n v="12730"/>
    <n v="0"/>
  </r>
  <r>
    <s v="Tunisia"/>
    <x v="447"/>
    <s v="University of Gabes"/>
    <s v="Computer Engineering"/>
    <s v="Master"/>
    <n v="2"/>
    <n v="1400"/>
    <n v="30.5"/>
    <n v="160"/>
    <n v="60"/>
    <n v="200"/>
    <n v="3.15"/>
    <n v="5700"/>
    <n v="2850"/>
    <n v="3840"/>
    <n v="4300"/>
    <n v="0.24561403508771928"/>
  </r>
  <r>
    <s v="Croatia"/>
    <x v="448"/>
    <s v="University of Zadar"/>
    <s v="Information Technology"/>
    <s v="PhD"/>
    <n v="4"/>
    <n v="3600"/>
    <n v="53.2"/>
    <n v="370"/>
    <n v="80"/>
    <n v="400"/>
    <n v="7.35"/>
    <n v="23040"/>
    <n v="5760"/>
    <n v="17760"/>
    <n v="19440"/>
    <n v="0.15625"/>
  </r>
  <r>
    <s v="Cyprus"/>
    <x v="449"/>
    <s v="Neapolis University"/>
    <s v="Data Science"/>
    <s v="Bachelor"/>
    <n v="3"/>
    <n v="7400"/>
    <n v="58.5"/>
    <n v="450"/>
    <n v="100"/>
    <n v="500"/>
    <n v="0.92"/>
    <n v="25200"/>
    <n v="8400"/>
    <n v="16200"/>
    <n v="17800"/>
    <n v="0.29365079365079366"/>
  </r>
  <r>
    <s v="Dominican Republic"/>
    <x v="450"/>
    <s v="UTESA"/>
    <s v="Computer Science"/>
    <s v="PhD"/>
    <n v="4"/>
    <n v="4500"/>
    <n v="36.799999999999997"/>
    <n v="250"/>
    <n v="100"/>
    <n v="300"/>
    <n v="56.8"/>
    <n v="17800"/>
    <n v="4450"/>
    <n v="12000"/>
    <n v="13300"/>
    <n v="0.25280898876404495"/>
  </r>
  <r>
    <s v="Morocco"/>
    <x v="451"/>
    <s v="Abdelmalek Essaadi University"/>
    <s v="Software Engineering"/>
    <s v="Master"/>
    <n v="2"/>
    <n v="1900"/>
    <n v="38.9"/>
    <n v="260"/>
    <n v="70"/>
    <n v="250"/>
    <n v="10.15"/>
    <n v="8710"/>
    <n v="4355"/>
    <n v="6240"/>
    <n v="6810"/>
    <n v="0.21814006888633755"/>
  </r>
  <r>
    <s v="Peru"/>
    <x v="452"/>
    <s v="Universidad de Piura"/>
    <s v="Information Systems"/>
    <s v="Master"/>
    <n v="2"/>
    <n v="7200"/>
    <n v="38.5"/>
    <n v="250"/>
    <n v="120"/>
    <n v="350"/>
    <n v="3.75"/>
    <n v="14020"/>
    <n v="7010"/>
    <n v="6000"/>
    <n v="6820"/>
    <n v="0.51355206847360912"/>
  </r>
  <r>
    <s v="Argentina"/>
    <x v="453"/>
    <s v="National University of Cuyo"/>
    <s v="Data Analytics"/>
    <s v="PhD"/>
    <n v="4"/>
    <n v="0"/>
    <n v="36.799999999999997"/>
    <n v="230"/>
    <n v="90"/>
    <n v="280"/>
    <n v="275"/>
    <n v="12250"/>
    <n v="3062.5"/>
    <n v="11040"/>
    <n v="12250"/>
    <n v="0"/>
  </r>
  <r>
    <s v="Tunisia"/>
    <x v="454"/>
    <s v="University of Carthage"/>
    <s v="Artificial Intelligence"/>
    <s v="Bachelor"/>
    <n v="3"/>
    <n v="1200"/>
    <n v="29.8"/>
    <n v="150"/>
    <n v="60"/>
    <n v="200"/>
    <n v="3.15"/>
    <n v="7260"/>
    <n v="2420"/>
    <n v="5400"/>
    <n v="6060"/>
    <n v="0.16528925619834711"/>
  </r>
  <r>
    <s v="Cyprus"/>
    <x v="455"/>
    <s v="Girne American University"/>
    <s v="Computer Engineering"/>
    <s v="Master"/>
    <n v="2"/>
    <n v="7600"/>
    <n v="57.8"/>
    <n v="430"/>
    <n v="100"/>
    <n v="500"/>
    <n v="0.92"/>
    <n v="19020"/>
    <n v="9510"/>
    <n v="10320"/>
    <n v="11420"/>
    <n v="0.39957939011566773"/>
  </r>
  <r>
    <s v="Croatia"/>
    <x v="456"/>
    <s v="University of Dubrovnik"/>
    <s v="Software Development"/>
    <s v="Master"/>
    <n v="2"/>
    <n v="3400"/>
    <n v="54.5"/>
    <n v="390"/>
    <n v="80"/>
    <n v="400"/>
    <n v="7.35"/>
    <n v="13640"/>
    <n v="6820"/>
    <n v="9360"/>
    <n v="10240"/>
    <n v="0.24926686217008798"/>
  </r>
  <r>
    <s v="Morocco"/>
    <x v="457"/>
    <s v="Mohammed I University"/>
    <s v="Computer Science"/>
    <s v="Bachelor"/>
    <n v="4"/>
    <n v="1700"/>
    <n v="37.5"/>
    <n v="240"/>
    <n v="70"/>
    <n v="250"/>
    <n v="10.15"/>
    <n v="14290"/>
    <n v="3572.5"/>
    <n v="11520"/>
    <n v="12590"/>
    <n v="0.11896431070678797"/>
  </r>
  <r>
    <s v="Peru"/>
    <x v="458"/>
    <s v="Universidad San Martin"/>
    <s v="Data Engineering"/>
    <s v="PhD"/>
    <n v="4"/>
    <n v="6500"/>
    <n v="37.799999999999997"/>
    <n v="240"/>
    <n v="120"/>
    <n v="350"/>
    <n v="3.75"/>
    <n v="19540"/>
    <n v="4885"/>
    <n v="11520"/>
    <n v="13040"/>
    <n v="0.33265097236438074"/>
  </r>
  <r>
    <s v="Ecuador"/>
    <x v="459"/>
    <s v="Universidad San Francisco"/>
    <s v="Computer Science"/>
    <s v="Master"/>
    <n v="2"/>
    <n v="8500"/>
    <n v="45.8"/>
    <n v="400"/>
    <n v="100"/>
    <n v="300"/>
    <n v="1"/>
    <n v="18800"/>
    <n v="9400"/>
    <n v="9600"/>
    <n v="10300"/>
    <n v="0.4521276595744681"/>
  </r>
  <r>
    <s v="Lebanon"/>
    <x v="460"/>
    <s v="American University of Beirut"/>
    <s v="Data Science"/>
    <s v="Master"/>
    <n v="2"/>
    <n v="20000"/>
    <n v="58.9"/>
    <n v="600"/>
    <n v="150"/>
    <n v="500"/>
    <n v="15000"/>
    <n v="35550"/>
    <n v="17775"/>
    <n v="14400"/>
    <n v="15550"/>
    <n v="0.56258790436005623"/>
  </r>
  <r>
    <s v="Bahrain"/>
    <x v="461"/>
    <s v="University of Bahrain"/>
    <s v="Software Engineering"/>
    <s v="Bachelor"/>
    <n v="4"/>
    <n v="7000"/>
    <n v="65.400000000000006"/>
    <n v="700"/>
    <n v="130"/>
    <n v="600"/>
    <n v="0.38"/>
    <n v="43130"/>
    <n v="10782.5"/>
    <n v="33600"/>
    <n v="36130"/>
    <n v="0.1623000231857176"/>
  </r>
  <r>
    <s v="Uruguay"/>
    <x v="462"/>
    <s v="Universidad de la Republica"/>
    <s v="Computer Engineering"/>
    <s v="PhD"/>
    <n v="4"/>
    <n v="0"/>
    <n v="52.4"/>
    <n v="450"/>
    <n v="90"/>
    <n v="350"/>
    <n v="39.5"/>
    <n v="23090"/>
    <n v="5772.5"/>
    <n v="21600"/>
    <n v="23090"/>
    <n v="0"/>
  </r>
  <r>
    <s v="Bulgaria"/>
    <x v="463"/>
    <s v="Sofia University"/>
    <s v="Information Systems"/>
    <s v="Master"/>
    <n v="2"/>
    <n v="3500"/>
    <n v="48.5"/>
    <n v="400"/>
    <n v="110"/>
    <n v="300"/>
    <n v="1.85"/>
    <n v="13810"/>
    <n v="6905"/>
    <n v="9600"/>
    <n v="10310"/>
    <n v="0.25343953656770457"/>
  </r>
  <r>
    <s v="Ghana"/>
    <x v="464"/>
    <s v="University of Ghana"/>
    <s v="Data Analytics"/>
    <s v="Master"/>
    <n v="2"/>
    <n v="4500"/>
    <n v="42.1"/>
    <n v="300"/>
    <n v="120"/>
    <n v="250"/>
    <n v="12"/>
    <n v="12320"/>
    <n v="6160"/>
    <n v="7200"/>
    <n v="7820"/>
    <n v="0.36525974025974028"/>
  </r>
  <r>
    <s v="Algeria"/>
    <x v="465"/>
    <s v="University of Science and Technology"/>
    <s v="Computer Science"/>
    <s v="Bachelor"/>
    <n v="3"/>
    <n v="1200"/>
    <n v="38.5"/>
    <n v="250"/>
    <n v="80"/>
    <n v="200"/>
    <n v="137.5"/>
    <n v="10880"/>
    <n v="3626.6666666666665"/>
    <n v="9000"/>
    <n v="9680"/>
    <n v="0.11029411764705882"/>
  </r>
  <r>
    <s v="Panama"/>
    <x v="466"/>
    <s v="Universidad Tecnologica"/>
    <s v="Artificial Intelligence"/>
    <s v="Master"/>
    <n v="2"/>
    <n v="7500"/>
    <n v="51.2"/>
    <n v="600"/>
    <n v="100"/>
    <n v="400"/>
    <n v="1"/>
    <n v="22800"/>
    <n v="11400"/>
    <n v="14400"/>
    <n v="15300"/>
    <n v="0.32894736842105265"/>
  </r>
  <r>
    <s v="Ecuador"/>
    <x v="467"/>
    <s v="ESPOL"/>
    <s v="Software Development"/>
    <s v="PhD"/>
    <n v="4"/>
    <n v="7800"/>
    <n v="43.2"/>
    <n v="350"/>
    <n v="100"/>
    <n v="300"/>
    <n v="1"/>
    <n v="25900"/>
    <n v="6475"/>
    <n v="16800"/>
    <n v="18100"/>
    <n v="0.30115830115830117"/>
  </r>
  <r>
    <s v="Lebanon"/>
    <x v="468"/>
    <s v="Lebanese American University"/>
    <s v="Data Engineering"/>
    <s v="Master"/>
    <n v="2"/>
    <n v="18000"/>
    <n v="55.4"/>
    <n v="500"/>
    <n v="150"/>
    <n v="500"/>
    <n v="15000"/>
    <n v="31150"/>
    <n v="15575"/>
    <n v="12000"/>
    <n v="13150"/>
    <n v="0.5778491171749599"/>
  </r>
  <r>
    <s v="Bahrain"/>
    <x v="469"/>
    <s v="Royal University for Women"/>
    <s v="Information Technology"/>
    <s v="Master"/>
    <n v="2"/>
    <n v="8000"/>
    <n v="63.2"/>
    <n v="650"/>
    <n v="130"/>
    <n v="600"/>
    <n v="0.38"/>
    <n v="24930"/>
    <n v="12465"/>
    <n v="15600"/>
    <n v="16930"/>
    <n v="0.32089851584436424"/>
  </r>
  <r>
    <s v="Uruguay"/>
    <x v="470"/>
    <s v="Universidad ORT Uruguay"/>
    <s v="Computer Science"/>
    <s v="Master"/>
    <n v="2"/>
    <n v="6500"/>
    <n v="48.5"/>
    <n v="380"/>
    <n v="90"/>
    <n v="350"/>
    <n v="39.5"/>
    <n v="16410"/>
    <n v="8205"/>
    <n v="9120"/>
    <n v="9910"/>
    <n v="0.39609993906154783"/>
  </r>
  <r>
    <s v="Bulgaria"/>
    <x v="471"/>
    <s v="Plovdiv University"/>
    <s v="Data Science"/>
    <s v="Bachelor"/>
    <n v="3"/>
    <n v="3200"/>
    <n v="45.8"/>
    <n v="350"/>
    <n v="110"/>
    <n v="300"/>
    <n v="1.85"/>
    <n v="16810"/>
    <n v="5603.333333333333"/>
    <n v="12600"/>
    <n v="13610"/>
    <n v="0.19036287923854847"/>
  </r>
  <r>
    <s v="Ghana"/>
    <x v="472"/>
    <s v="Kwame Nkrumah University"/>
    <s v="Software Engineering"/>
    <s v="PhD"/>
    <n v="4"/>
    <n v="4200"/>
    <n v="39.799999999999997"/>
    <n v="250"/>
    <n v="120"/>
    <n v="250"/>
    <n v="12"/>
    <n v="17320"/>
    <n v="4330"/>
    <n v="12000"/>
    <n v="13120"/>
    <n v="0.24249422632794457"/>
  </r>
  <r>
    <s v="Algeria"/>
    <x v="473"/>
    <s v="University of Oran"/>
    <s v="Computer Engineering"/>
    <s v="Master"/>
    <n v="2"/>
    <n v="1100"/>
    <n v="36.4"/>
    <n v="220"/>
    <n v="80"/>
    <n v="200"/>
    <n v="137.5"/>
    <n v="6860"/>
    <n v="3430"/>
    <n v="5280"/>
    <n v="5760"/>
    <n v="0.16034985422740525"/>
  </r>
  <r>
    <s v="Panama"/>
    <x v="474"/>
    <s v="ISAE University"/>
    <s v="Data Analytics"/>
    <s v="Bachelor"/>
    <n v="4"/>
    <n v="6800"/>
    <n v="47.5"/>
    <n v="450"/>
    <n v="100"/>
    <n v="400"/>
    <n v="1"/>
    <n v="30100"/>
    <n v="7525"/>
    <n v="21600"/>
    <n v="23300"/>
    <n v="0.22591362126245848"/>
  </r>
  <r>
    <s v="Ecuador"/>
    <x v="475"/>
    <s v="Universidad de Cuenca"/>
    <s v="Information Systems"/>
    <s v="Master"/>
    <n v="2"/>
    <n v="7200"/>
    <n v="42.5"/>
    <n v="320"/>
    <n v="100"/>
    <n v="300"/>
    <n v="1"/>
    <n v="15580"/>
    <n v="7790"/>
    <n v="7680"/>
    <n v="8380"/>
    <n v="0.46213093709884467"/>
  </r>
  <r>
    <s v="Lebanon"/>
    <x v="476"/>
    <s v="Lebanese University"/>
    <s v="Computer Science"/>
    <s v="PhD"/>
    <n v="4"/>
    <n v="2000"/>
    <n v="52.1"/>
    <n v="400"/>
    <n v="150"/>
    <n v="500"/>
    <n v="15000"/>
    <n v="23350"/>
    <n v="5837.5"/>
    <n v="19200"/>
    <n v="21350"/>
    <n v="8.5653104925053528E-2"/>
  </r>
  <r>
    <s v="Bahrain"/>
    <x v="477"/>
    <s v="Bahrain Polytechnic"/>
    <s v="Software Development"/>
    <s v="Bachelor"/>
    <n v="4"/>
    <n v="6500"/>
    <n v="61.8"/>
    <n v="600"/>
    <n v="130"/>
    <n v="600"/>
    <n v="0.38"/>
    <n v="37830"/>
    <n v="9457.5"/>
    <n v="28800"/>
    <n v="31330"/>
    <n v="0.1718213058419244"/>
  </r>
  <r>
    <s v="Uruguay"/>
    <x v="478"/>
    <s v="Universidad Catolica"/>
    <s v="Data Science"/>
    <s v="Master"/>
    <n v="2"/>
    <n v="7000"/>
    <n v="49.2"/>
    <n v="400"/>
    <n v="90"/>
    <n v="350"/>
    <n v="39.5"/>
    <n v="17390"/>
    <n v="8695"/>
    <n v="9600"/>
    <n v="10390"/>
    <n v="0.40253018976423233"/>
  </r>
  <r>
    <s v="Bulgaria"/>
    <x v="479"/>
    <s v="Technical University Varna"/>
    <s v="Computer Engineering"/>
    <s v="Master"/>
    <n v="2"/>
    <n v="3100"/>
    <n v="44.2"/>
    <n v="330"/>
    <n v="110"/>
    <n v="300"/>
    <n v="1.85"/>
    <n v="11730"/>
    <n v="5865"/>
    <n v="7920"/>
    <n v="8630"/>
    <n v="0.26427962489343565"/>
  </r>
  <r>
    <s v="Ghana"/>
    <x v="480"/>
    <s v="University of Cape Coast"/>
    <s v="Information Technology"/>
    <s v="Master"/>
    <n v="2"/>
    <n v="4000"/>
    <n v="38.5"/>
    <n v="230"/>
    <n v="120"/>
    <n v="250"/>
    <n v="12"/>
    <n v="10140"/>
    <n v="5070"/>
    <n v="5520"/>
    <n v="6140"/>
    <n v="0.39447731755424065"/>
  </r>
  <r>
    <s v="Algeria"/>
    <x v="481"/>
    <s v="University of Constantine"/>
    <s v="Data Analytics"/>
    <s v="PhD"/>
    <n v="4"/>
    <n v="1300"/>
    <n v="35.799999999999997"/>
    <n v="200"/>
    <n v="80"/>
    <n v="200"/>
    <n v="137.5"/>
    <n v="11780"/>
    <n v="2945"/>
    <n v="9600"/>
    <n v="10480"/>
    <n v="0.11035653650254669"/>
  </r>
  <r>
    <s v="Panama"/>
    <x v="429"/>
    <s v="Universidad Latina"/>
    <s v="Computer Science"/>
    <s v="Master"/>
    <n v="2"/>
    <n v="6500"/>
    <n v="45.8"/>
    <n v="400"/>
    <n v="100"/>
    <n v="400"/>
    <n v="1"/>
    <n v="17000"/>
    <n v="8500"/>
    <n v="9600"/>
    <n v="10500"/>
    <n v="0.38235294117647056"/>
  </r>
  <r>
    <s v="Ecuador"/>
    <x v="482"/>
    <s v="UTPL"/>
    <s v="Artificial Intelligence"/>
    <s v="Bachelor"/>
    <n v="3"/>
    <n v="6800"/>
    <n v="41.2"/>
    <n v="300"/>
    <n v="100"/>
    <n v="300"/>
    <n v="1"/>
    <n v="18600"/>
    <n v="6200"/>
    <n v="10800"/>
    <n v="11800"/>
    <n v="0.36559139784946237"/>
  </r>
  <r>
    <s v="Lebanon"/>
    <x v="483"/>
    <s v="Holy Spirit University"/>
    <s v="Software Engineering"/>
    <s v="Master"/>
    <n v="2"/>
    <n v="16000"/>
    <n v="54.5"/>
    <n v="450"/>
    <n v="150"/>
    <n v="500"/>
    <n v="15000"/>
    <n v="27950"/>
    <n v="13975"/>
    <n v="10800"/>
    <n v="11950"/>
    <n v="0.57245080500894452"/>
  </r>
  <r>
    <s v="Bahrain"/>
    <x v="484"/>
    <s v="Arabian Gulf University"/>
    <s v="Data Science"/>
    <s v="PhD"/>
    <n v="4"/>
    <n v="9000"/>
    <n v="62.4"/>
    <n v="620"/>
    <n v="130"/>
    <n v="600"/>
    <n v="0.38"/>
    <n v="41290"/>
    <n v="10322.5"/>
    <n v="29760"/>
    <n v="32290"/>
    <n v="0.21797045289416322"/>
  </r>
  <r>
    <s v="Uruguay"/>
    <x v="485"/>
    <s v="UTEC"/>
    <s v="Information Systems"/>
    <s v="Bachelor"/>
    <n v="4"/>
    <n v="0"/>
    <n v="47.8"/>
    <n v="350"/>
    <n v="90"/>
    <n v="350"/>
    <n v="39.5"/>
    <n v="18290"/>
    <n v="4572.5"/>
    <n v="16800"/>
    <n v="18290"/>
    <n v="0"/>
  </r>
  <r>
    <s v="Bulgaria"/>
    <x v="486"/>
    <s v="Burgas Free University"/>
    <s v="Computer Science"/>
    <s v="Master"/>
    <n v="2"/>
    <n v="2900"/>
    <n v="43.5"/>
    <n v="320"/>
    <n v="110"/>
    <n v="300"/>
    <n v="1.85"/>
    <n v="11290"/>
    <n v="5645"/>
    <n v="7680"/>
    <n v="8390"/>
    <n v="0.25686448184233834"/>
  </r>
  <r>
    <s v="Ghana"/>
    <x v="487"/>
    <s v="University for Development"/>
    <s v="Software Development"/>
    <s v="PhD"/>
    <n v="4"/>
    <n v="3800"/>
    <n v="36.799999999999997"/>
    <n v="200"/>
    <n v="120"/>
    <n v="250"/>
    <n v="12"/>
    <n v="14520"/>
    <n v="3630"/>
    <n v="9600"/>
    <n v="10720"/>
    <n v="0.26170798898071623"/>
  </r>
  <r>
    <s v="Algeria"/>
    <x v="488"/>
    <s v="Badji Mokhtar University"/>
    <s v="Computer Engineering"/>
    <s v="Master"/>
    <n v="2"/>
    <n v="1000"/>
    <n v="34.5"/>
    <n v="180"/>
    <n v="80"/>
    <n v="200"/>
    <n v="137.5"/>
    <n v="5800"/>
    <n v="2900"/>
    <n v="4320"/>
    <n v="4800"/>
    <n v="0.17241379310344829"/>
  </r>
  <r>
    <s v="Panama"/>
    <x v="489"/>
    <s v="Quality Leadership University"/>
    <s v="Data Analytics"/>
    <s v="Bachelor"/>
    <n v="3"/>
    <n v="6200"/>
    <n v="44.2"/>
    <n v="380"/>
    <n v="100"/>
    <n v="400"/>
    <n v="1"/>
    <n v="21180"/>
    <n v="7060"/>
    <n v="13680"/>
    <n v="14980"/>
    <n v="0.29272898961284233"/>
  </r>
  <r>
    <s v="Ecuador"/>
    <x v="490"/>
    <s v="Universidad Tecnica"/>
    <s v="Information Technology"/>
    <s v="PhD"/>
    <n v="4"/>
    <n v="6500"/>
    <n v="40.5"/>
    <n v="280"/>
    <n v="100"/>
    <n v="300"/>
    <n v="1"/>
    <n v="21240"/>
    <n v="5310"/>
    <n v="13440"/>
    <n v="14740"/>
    <n v="0.30602636534839922"/>
  </r>
  <r>
    <s v="Lebanon"/>
    <x v="491"/>
    <s v="Lebanese International"/>
    <s v="Computer Science"/>
    <s v="Bachelor"/>
    <n v="4"/>
    <n v="15000"/>
    <n v="51.8"/>
    <n v="420"/>
    <n v="150"/>
    <n v="500"/>
    <n v="15000"/>
    <n v="37310"/>
    <n v="9327.5"/>
    <n v="20160"/>
    <n v="22310"/>
    <n v="0.40203698740284105"/>
  </r>
  <r>
    <s v="Bahrain"/>
    <x v="492"/>
    <s v="Applied Science University"/>
    <s v="Data Engineering"/>
    <s v="Master"/>
    <n v="2"/>
    <n v="7500"/>
    <n v="61.5"/>
    <n v="580"/>
    <n v="130"/>
    <n v="600"/>
    <n v="0.38"/>
    <n v="22750"/>
    <n v="11375"/>
    <n v="13920"/>
    <n v="15250"/>
    <n v="0.32967032967032966"/>
  </r>
  <r>
    <s v="Uruguay"/>
    <x v="493"/>
    <s v="Universidad de Paysandu"/>
    <s v="Software Engineering"/>
    <s v="Master"/>
    <n v="2"/>
    <n v="0"/>
    <n v="46.5"/>
    <n v="330"/>
    <n v="90"/>
    <n v="350"/>
    <n v="39.5"/>
    <n v="8710"/>
    <n v="4355"/>
    <n v="7920"/>
    <n v="8710"/>
    <n v="0"/>
  </r>
  <r>
    <s v="Bulgaria"/>
    <x v="494"/>
    <s v="University of Ruse"/>
    <s v="Artificial Intelligence"/>
    <s v="PhD"/>
    <n v="4"/>
    <n v="3300"/>
    <n v="42.8"/>
    <n v="300"/>
    <n v="110"/>
    <n v="300"/>
    <n v="1.85"/>
    <n v="19010"/>
    <n v="4752.5"/>
    <n v="14400"/>
    <n v="15710"/>
    <n v="0.17359284587059443"/>
  </r>
  <r>
    <s v="Ghana"/>
    <x v="495"/>
    <s v="University of Health Sciences"/>
    <s v="Data Science"/>
    <s v="Master"/>
    <n v="2"/>
    <n v="3500"/>
    <n v="35.4"/>
    <n v="180"/>
    <n v="120"/>
    <n v="250"/>
    <n v="12"/>
    <n v="8440"/>
    <n v="4220"/>
    <n v="4320"/>
    <n v="4940"/>
    <n v="0.41469194312796209"/>
  </r>
  <r>
    <s v="Algeria"/>
    <x v="496"/>
    <s v="University of Tlemcen"/>
    <s v="Information Systems"/>
    <s v="Bachelor"/>
    <n v="3"/>
    <n v="900"/>
    <n v="33.200000000000003"/>
    <n v="160"/>
    <n v="80"/>
    <n v="200"/>
    <n v="137.5"/>
    <n v="7340"/>
    <n v="2446.6666666666665"/>
    <n v="5760"/>
    <n v="6440"/>
    <n v="0.1226158038147139"/>
  </r>
  <r>
    <s v="Panama"/>
    <x v="497"/>
    <s v="Universidad Metropolitana"/>
    <s v="Computer Science"/>
    <s v="Master"/>
    <n v="2"/>
    <n v="6000"/>
    <n v="43.5"/>
    <n v="350"/>
    <n v="100"/>
    <n v="400"/>
    <n v="1"/>
    <n v="15300"/>
    <n v="7650"/>
    <n v="8400"/>
    <n v="9300"/>
    <n v="0.39215686274509803"/>
  </r>
  <r>
    <s v="Bangladesh"/>
    <x v="498"/>
    <s v="Bangladesh University of Engineering"/>
    <s v="Computer Science"/>
    <s v="Master"/>
    <n v="2"/>
    <n v="2500"/>
    <n v="42.5"/>
    <n v="250"/>
    <n v="100"/>
    <n v="200"/>
    <n v="109.5"/>
    <n v="9000"/>
    <n v="4500"/>
    <n v="6000"/>
    <n v="6500"/>
    <n v="0.27777777777777779"/>
  </r>
  <r>
    <s v="Kuwait"/>
    <x v="499"/>
    <s v="Kuwait University"/>
    <s v="Data Science"/>
    <s v="Master"/>
    <n v="2"/>
    <n v="3500"/>
    <n v="71.2"/>
    <n v="800"/>
    <n v="140"/>
    <n v="700"/>
    <n v="0.31"/>
    <n v="24240"/>
    <n v="12120"/>
    <n v="19200"/>
    <n v="20740"/>
    <n v="0.14438943894389439"/>
  </r>
  <r>
    <s v="Ukraine"/>
    <x v="500"/>
    <s v="Igor Sikorsky Kyiv Polytechnic"/>
    <s v="Software Engineering"/>
    <s v="Bachelor"/>
    <n v="4"/>
    <n v="3800"/>
    <n v="45.8"/>
    <n v="400"/>
    <n v="120"/>
    <n v="300"/>
    <n v="36.799999999999997"/>
    <n v="24320"/>
    <n v="6080"/>
    <n v="19200"/>
    <n v="20520"/>
    <n v="0.15625"/>
  </r>
  <r>
    <s v="Slovenia"/>
    <x v="501"/>
    <s v="University of Ljubljana"/>
    <s v="Computer Engineering"/>
    <s v="PhD"/>
    <n v="4"/>
    <n v="4500"/>
    <n v="62.4"/>
    <n v="500"/>
    <n v="80"/>
    <n v="450"/>
    <n v="0.92"/>
    <n v="30380"/>
    <n v="7595"/>
    <n v="24000"/>
    <n v="25880"/>
    <n v="0.14812376563528637"/>
  </r>
  <r>
    <s v="Serbia"/>
    <x v="502"/>
    <s v="University of Belgrade"/>
    <s v="Information Systems"/>
    <s v="Master"/>
    <n v="2"/>
    <n v="2800"/>
    <n v="48.5"/>
    <n v="350"/>
    <n v="90"/>
    <n v="320"/>
    <n v="108.5"/>
    <n v="11930"/>
    <n v="5965"/>
    <n v="8400"/>
    <n v="9130"/>
    <n v="0.23470243084660519"/>
  </r>
  <r>
    <s v="Iran"/>
    <x v="503"/>
    <s v="Sharif University of Technology"/>
    <s v="Data Analytics"/>
    <s v="Master"/>
    <n v="2"/>
    <n v="3000"/>
    <n v="51.2"/>
    <n v="400"/>
    <n v="150"/>
    <n v="280"/>
    <n v="42150"/>
    <n v="13310"/>
    <n v="6655"/>
    <n v="9600"/>
    <n v="10310"/>
    <n v="0.22539444027047334"/>
  </r>
  <r>
    <s v="Uzbekistan"/>
    <x v="504"/>
    <s v="INHA University Tashkent"/>
    <s v="Computer Science"/>
    <s v="Bachelor"/>
    <n v="4"/>
    <n v="4200"/>
    <n v="44.5"/>
    <n v="300"/>
    <n v="160"/>
    <n v="250"/>
    <n v="12300"/>
    <n v="19760"/>
    <n v="4940"/>
    <n v="14400"/>
    <n v="15560"/>
    <n v="0.2125506072874494"/>
  </r>
  <r>
    <s v="El Salvador"/>
    <x v="505"/>
    <s v="Universidad Don Bosco"/>
    <s v="Software Development"/>
    <s v="Master"/>
    <n v="2"/>
    <n v="5500"/>
    <n v="46.8"/>
    <n v="400"/>
    <n v="110"/>
    <n v="300"/>
    <n v="1"/>
    <n v="15810"/>
    <n v="7905"/>
    <n v="9600"/>
    <n v="10310"/>
    <n v="0.3478810879190386"/>
  </r>
  <r>
    <s v="Bangladesh"/>
    <x v="506"/>
    <s v="CUET"/>
    <s v="Artificial Intelligence"/>
    <s v="PhD"/>
    <n v="4"/>
    <n v="2200"/>
    <n v="39.799999999999997"/>
    <n v="200"/>
    <n v="100"/>
    <n v="200"/>
    <n v="109.5"/>
    <n v="12700"/>
    <n v="3175"/>
    <n v="9600"/>
    <n v="10500"/>
    <n v="0.17322834645669291"/>
  </r>
  <r>
    <s v="Kuwait"/>
    <x v="507"/>
    <s v="American University Kuwait"/>
    <s v="Data Engineering"/>
    <s v="Master"/>
    <n v="2"/>
    <n v="15000"/>
    <n v="68.5"/>
    <n v="750"/>
    <n v="140"/>
    <n v="700"/>
    <n v="0.31"/>
    <n v="34540"/>
    <n v="17270"/>
    <n v="18000"/>
    <n v="19540"/>
    <n v="0.43427909669947884"/>
  </r>
  <r>
    <s v="Ukraine"/>
    <x v="508"/>
    <s v="Lviv Polytechnic"/>
    <s v="Computer Science"/>
    <s v="Master"/>
    <n v="2"/>
    <n v="3500"/>
    <n v="43.2"/>
    <n v="350"/>
    <n v="120"/>
    <n v="300"/>
    <n v="36.799999999999997"/>
    <n v="12620"/>
    <n v="6310"/>
    <n v="8400"/>
    <n v="9120"/>
    <n v="0.27733755942947702"/>
  </r>
  <r>
    <s v="Slovenia"/>
    <x v="509"/>
    <s v="University of Maribor"/>
    <s v="Data Science"/>
    <s v="Master"/>
    <n v="2"/>
    <n v="4200"/>
    <n v="58.5"/>
    <n v="450"/>
    <n v="80"/>
    <n v="450"/>
    <n v="0.92"/>
    <n v="15980"/>
    <n v="7990"/>
    <n v="10800"/>
    <n v="11780"/>
    <n v="0.26282853566958697"/>
  </r>
  <r>
    <s v="Serbia"/>
    <x v="510"/>
    <s v="University of Novi Sad"/>
    <s v="Software Engineering"/>
    <s v="PhD"/>
    <n v="4"/>
    <n v="2600"/>
    <n v="45.8"/>
    <n v="320"/>
    <n v="90"/>
    <n v="320"/>
    <n v="108.5"/>
    <n v="19330"/>
    <n v="4832.5"/>
    <n v="15360"/>
    <n v="16730"/>
    <n v="0.13450594930160373"/>
  </r>
  <r>
    <s v="Iran"/>
    <x v="511"/>
    <s v="Isfahan University of Technology"/>
    <s v="Information Systems"/>
    <s v="Bachelor"/>
    <n v="3"/>
    <n v="2800"/>
    <n v="48.5"/>
    <n v="350"/>
    <n v="150"/>
    <n v="280"/>
    <n v="42150"/>
    <n v="16390"/>
    <n v="5463.333333333333"/>
    <n v="12600"/>
    <n v="13590"/>
    <n v="0.17083587553386212"/>
  </r>
  <r>
    <s v="Uzbekistan"/>
    <x v="512"/>
    <s v="Samarkand State University"/>
    <s v="Data Analytics"/>
    <s v="Master"/>
    <n v="2"/>
    <n v="3800"/>
    <n v="41.2"/>
    <n v="250"/>
    <n v="160"/>
    <n v="250"/>
    <n v="12300"/>
    <n v="10460"/>
    <n v="5230"/>
    <n v="6000"/>
    <n v="6660"/>
    <n v="0.3632887189292543"/>
  </r>
  <r>
    <s v="El Salvador"/>
    <x v="513"/>
    <s v="Universidad Catolica"/>
    <s v="Computer Engineering"/>
    <s v="Bachelor"/>
    <n v="4"/>
    <n v="5000"/>
    <n v="44.5"/>
    <n v="350"/>
    <n v="110"/>
    <n v="300"/>
    <n v="1"/>
    <n v="23110"/>
    <n v="5777.5"/>
    <n v="16800"/>
    <n v="18110"/>
    <n v="0.21635655560363479"/>
  </r>
  <r>
    <s v="Bangladesh"/>
    <x v="514"/>
    <s v="Khulna University"/>
    <s v="Software Development"/>
    <s v="Master"/>
    <n v="2"/>
    <n v="2100"/>
    <n v="38.5"/>
    <n v="180"/>
    <n v="100"/>
    <n v="200"/>
    <n v="109.5"/>
    <n v="6920"/>
    <n v="3460"/>
    <n v="4320"/>
    <n v="4820"/>
    <n v="0.30346820809248554"/>
  </r>
  <r>
    <s v="Kuwait"/>
    <x v="515"/>
    <s v="Gulf University for Science"/>
    <s v="Artificial Intelligence"/>
    <s v="PhD"/>
    <n v="4"/>
    <n v="14000"/>
    <n v="66.8"/>
    <n v="700"/>
    <n v="140"/>
    <n v="700"/>
    <n v="0.31"/>
    <n v="50540"/>
    <n v="12635"/>
    <n v="33600"/>
    <n v="36540"/>
    <n v="0.2770083102493075"/>
  </r>
  <r>
    <s v="Ukraine"/>
    <x v="516"/>
    <s v="Kharkiv Polytechnic"/>
    <s v="Data Science"/>
    <s v="Master"/>
    <n v="2"/>
    <n v="3400"/>
    <n v="42.5"/>
    <n v="330"/>
    <n v="120"/>
    <n v="300"/>
    <n v="36.799999999999997"/>
    <n v="12040"/>
    <n v="6020"/>
    <n v="7920"/>
    <n v="8640"/>
    <n v="0.28239202657807311"/>
  </r>
  <r>
    <s v="Slovenia"/>
    <x v="517"/>
    <s v="University of Primorska"/>
    <s v="Information Technology"/>
    <s v="Bachelor"/>
    <n v="3"/>
    <n v="4000"/>
    <n v="57.2"/>
    <n v="420"/>
    <n v="80"/>
    <n v="450"/>
    <n v="0.92"/>
    <n v="20550"/>
    <n v="6850"/>
    <n v="15120"/>
    <n v="16550"/>
    <n v="0.19464720194647203"/>
  </r>
  <r>
    <s v="Serbia"/>
    <x v="518"/>
    <s v="University of Nis"/>
    <s v="Computer Engineering"/>
    <s v="Master"/>
    <n v="2"/>
    <n v="2500"/>
    <n v="44.2"/>
    <n v="300"/>
    <n v="90"/>
    <n v="320"/>
    <n v="108.5"/>
    <n v="10430"/>
    <n v="5215"/>
    <n v="7200"/>
    <n v="7930"/>
    <n v="0.23969319271332695"/>
  </r>
  <r>
    <s v="Iran"/>
    <x v="519"/>
    <s v="Ferdowsi University"/>
    <s v="Data Analytics"/>
    <s v="PhD"/>
    <n v="4"/>
    <n v="2900"/>
    <n v="47.8"/>
    <n v="320"/>
    <n v="150"/>
    <n v="280"/>
    <n v="42150"/>
    <n v="19530"/>
    <n v="4882.5"/>
    <n v="15360"/>
    <n v="16630"/>
    <n v="0.14848950332821301"/>
  </r>
  <r>
    <s v="Uzbekistan"/>
    <x v="520"/>
    <s v="Bukhara State University"/>
    <s v="Computer Science"/>
    <s v="Bachelor"/>
    <n v="4"/>
    <n v="3500"/>
    <n v="39.799999999999997"/>
    <n v="220"/>
    <n v="160"/>
    <n v="250"/>
    <n v="12300"/>
    <n v="15220"/>
    <n v="3805"/>
    <n v="10560"/>
    <n v="11720"/>
    <n v="0.22996057818659657"/>
  </r>
  <r>
    <s v="El Salvador"/>
    <x v="521"/>
    <s v="Universidad de Oriente"/>
    <s v="Information Systems"/>
    <s v="Master"/>
    <n v="2"/>
    <n v="4800"/>
    <n v="43.2"/>
    <n v="320"/>
    <n v="110"/>
    <n v="300"/>
    <n v="1"/>
    <n v="13190"/>
    <n v="6595"/>
    <n v="7680"/>
    <n v="8390"/>
    <n v="0.3639120545868082"/>
  </r>
  <r>
    <s v="Bangladesh"/>
    <x v="522"/>
    <s v="RUET"/>
    <s v="Software Engineering"/>
    <s v="Master"/>
    <n v="2"/>
    <n v="2000"/>
    <n v="37.200000000000003"/>
    <n v="170"/>
    <n v="100"/>
    <n v="200"/>
    <n v="109.5"/>
    <n v="6580"/>
    <n v="3290"/>
    <n v="4080"/>
    <n v="4580"/>
    <n v="0.303951367781155"/>
  </r>
  <r>
    <s v="Kuwait"/>
    <x v="523"/>
    <s v="Australian College Kuwait"/>
    <s v="Data Science"/>
    <s v="Bachelor"/>
    <n v="3"/>
    <n v="13500"/>
    <n v="65.400000000000006"/>
    <n v="680"/>
    <n v="140"/>
    <n v="700"/>
    <n v="0.31"/>
    <n v="40220"/>
    <n v="13406.666666666666"/>
    <n v="24480"/>
    <n v="26720"/>
    <n v="0.33565390353058178"/>
  </r>
  <r>
    <s v="Ukraine"/>
    <x v="524"/>
    <s v="Odesa Polytechnic"/>
    <s v="Artificial Intelligence"/>
    <s v="PhD"/>
    <n v="4"/>
    <n v="3600"/>
    <n v="41.8"/>
    <n v="320"/>
    <n v="120"/>
    <n v="300"/>
    <n v="36.799999999999997"/>
    <n v="20280"/>
    <n v="5070"/>
    <n v="15360"/>
    <n v="16680"/>
    <n v="0.17751479289940827"/>
  </r>
  <r>
    <s v="Slovenia"/>
    <x v="525"/>
    <s v="University of Nova Gorica"/>
    <s v="Computer Science"/>
    <s v="Master"/>
    <n v="2"/>
    <n v="4100"/>
    <n v="56.5"/>
    <n v="400"/>
    <n v="80"/>
    <n v="450"/>
    <n v="0.92"/>
    <n v="14680"/>
    <n v="7340"/>
    <n v="9600"/>
    <n v="10580"/>
    <n v="0.279291553133515"/>
  </r>
  <r>
    <s v="Serbia"/>
    <x v="526"/>
    <s v="University of Kragujevac"/>
    <s v="Data Engineering"/>
    <s v="Bachelor"/>
    <n v="4"/>
    <n v="2400"/>
    <n v="43.5"/>
    <n v="280"/>
    <n v="90"/>
    <n v="320"/>
    <n v="108.5"/>
    <n v="17210"/>
    <n v="4302.5"/>
    <n v="13440"/>
    <n v="14810"/>
    <n v="0.13945380592678674"/>
  </r>
  <r>
    <s v="Iran"/>
    <x v="527"/>
    <s v="Shiraz University"/>
    <s v="Software Development"/>
    <s v="Master"/>
    <n v="2"/>
    <n v="2700"/>
    <n v="46.8"/>
    <n v="300"/>
    <n v="150"/>
    <n v="280"/>
    <n v="42150"/>
    <n v="10610"/>
    <n v="5305"/>
    <n v="7200"/>
    <n v="7910"/>
    <n v="0.25447690857681432"/>
  </r>
  <r>
    <s v="Uzbekistan"/>
    <x v="528"/>
    <s v="Namangan Institute"/>
    <s v="Information Technology"/>
    <s v="Master"/>
    <n v="2"/>
    <n v="3400"/>
    <n v="38.5"/>
    <n v="200"/>
    <n v="160"/>
    <n v="250"/>
    <n v="12300"/>
    <n v="8860"/>
    <n v="4430"/>
    <n v="4800"/>
    <n v="5460"/>
    <n v="0.38374717832957111"/>
  </r>
  <r>
    <s v="El Salvador"/>
    <x v="529"/>
    <s v="Universidad de Sonsonate"/>
    <s v="Data Science"/>
    <s v="Bachelor"/>
    <n v="3"/>
    <n v="4500"/>
    <n v="42.8"/>
    <n v="300"/>
    <n v="110"/>
    <n v="300"/>
    <n v="1"/>
    <n v="16310"/>
    <n v="5436.666666666667"/>
    <n v="10800"/>
    <n v="11810"/>
    <n v="0.27590435315757206"/>
  </r>
  <r>
    <s v="Bangladesh"/>
    <x v="530"/>
    <s v="SUST"/>
    <s v="Computer Engineering"/>
    <s v="PhD"/>
    <n v="4"/>
    <n v="2300"/>
    <n v="36.799999999999997"/>
    <n v="160"/>
    <n v="100"/>
    <n v="200"/>
    <n v="109.5"/>
    <n v="10880"/>
    <n v="2720"/>
    <n v="7680"/>
    <n v="8580"/>
    <n v="0.21139705882352941"/>
  </r>
  <r>
    <s v="Kuwait"/>
    <x v="531"/>
    <s v="ACK"/>
    <s v="Software Engineering"/>
    <s v="Master"/>
    <n v="2"/>
    <n v="13000"/>
    <n v="64.5"/>
    <n v="650"/>
    <n v="140"/>
    <n v="700"/>
    <n v="0.31"/>
    <n v="30140"/>
    <n v="15070"/>
    <n v="15600"/>
    <n v="17140"/>
    <n v="0.43132050431320507"/>
  </r>
  <r>
    <s v="Ukraine"/>
    <x v="532"/>
    <s v="Dnipro Polytechnic"/>
    <s v="Data Analytics"/>
    <s v="Master"/>
    <n v="2"/>
    <n v="3300"/>
    <n v="40.5"/>
    <n v="300"/>
    <n v="120"/>
    <n v="300"/>
    <n v="36.799999999999997"/>
    <n v="11220"/>
    <n v="5610"/>
    <n v="7200"/>
    <n v="7920"/>
    <n v="0.29411764705882354"/>
  </r>
  <r>
    <s v="Slovenia"/>
    <x v="533"/>
    <s v="Faculty of Logistics"/>
    <s v="Information Systems"/>
    <s v="Bachelor"/>
    <n v="3"/>
    <n v="3900"/>
    <n v="55.4"/>
    <n v="380"/>
    <n v="80"/>
    <n v="450"/>
    <n v="0.92"/>
    <n v="19010"/>
    <n v="6336.666666666667"/>
    <n v="13680"/>
    <n v="15110"/>
    <n v="0.20515518148342976"/>
  </r>
  <r>
    <s v="Serbia"/>
    <x v="534"/>
    <s v="University of Subotica"/>
    <s v="Computer Science"/>
    <s v="Master"/>
    <n v="2"/>
    <n v="2300"/>
    <n v="42.8"/>
    <n v="270"/>
    <n v="90"/>
    <n v="320"/>
    <n v="108.5"/>
    <n v="9510"/>
    <n v="4755"/>
    <n v="6480"/>
    <n v="7210"/>
    <n v="0.24185068349106204"/>
  </r>
  <r>
    <s v="Iran"/>
    <x v="535"/>
    <s v="University of Tabriz"/>
    <s v="Artificial Intelligence"/>
    <s v="PhD"/>
    <n v="4"/>
    <n v="2600"/>
    <n v="45.5"/>
    <n v="280"/>
    <n v="150"/>
    <n v="280"/>
    <n v="42150"/>
    <n v="17310"/>
    <n v="4327.5"/>
    <n v="13440"/>
    <n v="14710"/>
    <n v="0.15020219526285383"/>
  </r>
  <r>
    <s v="Uzbekistan"/>
    <x v="536"/>
    <s v="Andijan State University"/>
    <s v="Software Development"/>
    <s v="Master"/>
    <n v="2"/>
    <n v="3200"/>
    <n v="37.799999999999997"/>
    <n v="180"/>
    <n v="160"/>
    <n v="250"/>
    <n v="12300"/>
    <n v="8180"/>
    <n v="4090"/>
    <n v="4320"/>
    <n v="4980"/>
    <n v="0.39119804400977998"/>
  </r>
  <r>
    <s v="El Salvador"/>
    <x v="537"/>
    <s v="ITCA-FEPADE"/>
    <s v="Computer Engineering"/>
    <s v="Bachelor"/>
    <n v="4"/>
    <n v="4200"/>
    <n v="42.1"/>
    <n v="280"/>
    <n v="110"/>
    <n v="300"/>
    <n v="1"/>
    <n v="18950"/>
    <n v="4737.5"/>
    <n v="13440"/>
    <n v="14750"/>
    <n v="0.22163588390501318"/>
  </r>
  <r>
    <s v="Malaysia"/>
    <x v="47"/>
    <s v="University of Malaya"/>
    <s v="Computer Science"/>
    <s v="Master"/>
    <n v="2"/>
    <n v="8500"/>
    <n v="55.4"/>
    <n v="500"/>
    <n v="120"/>
    <n v="400"/>
    <n v="4.6500000000000004"/>
    <n v="21420"/>
    <n v="10710"/>
    <n v="12000"/>
    <n v="12920"/>
    <n v="0.3968253968253968"/>
  </r>
  <r>
    <s v="Saudi Arabia"/>
    <x v="133"/>
    <s v="King Saud University"/>
    <s v="Data Science"/>
    <s v="PhD"/>
    <n v="4"/>
    <n v="5000"/>
    <n v="72.5"/>
    <n v="800"/>
    <n v="200"/>
    <n v="800"/>
    <n v="3.75"/>
    <n v="46800"/>
    <n v="11700"/>
    <n v="38400"/>
    <n v="41800"/>
    <n v="0.10683760683760683"/>
  </r>
  <r>
    <s v="USA"/>
    <x v="30"/>
    <s v="Harvard University"/>
    <s v="Artificial Intelligence"/>
    <s v="Master"/>
    <n v="2"/>
    <n v="58000"/>
    <n v="82.1"/>
    <n v="2200"/>
    <n v="160"/>
    <n v="1500"/>
    <n v="1"/>
    <n v="113960"/>
    <n v="56980"/>
    <n v="52800"/>
    <n v="55960"/>
    <n v="0.50895050895050897"/>
  </r>
  <r>
    <s v="UK"/>
    <x v="1"/>
    <s v="Imperial College"/>
    <s v="Computer Engineering"/>
    <s v="Master"/>
    <n v="2"/>
    <n v="42000"/>
    <n v="75.3"/>
    <n v="1800"/>
    <n v="485"/>
    <n v="800"/>
    <n v="0.79"/>
    <n v="87285"/>
    <n v="43642.5"/>
    <n v="43200"/>
    <n v="45285"/>
    <n v="0.48118233373431862"/>
  </r>
  <r>
    <s v="Spain"/>
    <x v="287"/>
    <s v="Universidad Politecnica"/>
    <s v="Software Engineering"/>
    <s v="PhD"/>
    <n v="4"/>
    <n v="3500"/>
    <n v="71.400000000000006"/>
    <n v="1100"/>
    <n v="80"/>
    <n v="750"/>
    <n v="0.92"/>
    <n v="59380"/>
    <n v="14845"/>
    <n v="52800"/>
    <n v="55880"/>
    <n v="5.8942404850117883E-2"/>
  </r>
  <r>
    <s v="Italy"/>
    <x v="54"/>
    <s v="Politecnico di Milano"/>
    <s v="Data Analytics"/>
    <s v="Master"/>
    <n v="2"/>
    <n v="4000"/>
    <n v="73.2"/>
    <n v="1200"/>
    <n v="120"/>
    <n v="700"/>
    <n v="0.92"/>
    <n v="34320"/>
    <n v="17160"/>
    <n v="28800"/>
    <n v="30320"/>
    <n v="0.11655011655011654"/>
  </r>
  <r>
    <s v="France"/>
    <x v="8"/>
    <s v="Sorbonne University"/>
    <s v="Computer Science"/>
    <s v="Master"/>
    <n v="2"/>
    <n v="4500"/>
    <n v="84.3"/>
    <n v="1800"/>
    <n v="99"/>
    <n v="850"/>
    <n v="0.92"/>
    <n v="49499"/>
    <n v="24749.5"/>
    <n v="43200"/>
    <n v="44999"/>
    <n v="9.0910927493484714E-2"/>
  </r>
  <r>
    <s v="Malaysia"/>
    <x v="538"/>
    <s v="USM"/>
    <s v="Information Systems"/>
    <s v="Bachelor"/>
    <n v="3"/>
    <n v="7500"/>
    <n v="52.1"/>
    <n v="450"/>
    <n v="120"/>
    <n v="400"/>
    <n v="4.6500000000000004"/>
    <n v="25020"/>
    <n v="8340"/>
    <n v="16200"/>
    <n v="17520"/>
    <n v="0.29976019184652281"/>
  </r>
  <r>
    <s v="Saudi Arabia"/>
    <x v="539"/>
    <s v="King Abdulaziz University"/>
    <s v="Data Engineering"/>
    <s v="Master"/>
    <n v="2"/>
    <n v="4800"/>
    <n v="70.2"/>
    <n v="750"/>
    <n v="200"/>
    <n v="800"/>
    <n v="3.75"/>
    <n v="24600"/>
    <n v="12300"/>
    <n v="18000"/>
    <n v="19800"/>
    <n v="0.1951219512195122"/>
  </r>
  <r>
    <s v="USA"/>
    <x v="29"/>
    <s v="Stanford University"/>
    <s v="Computer Science"/>
    <s v="PhD"/>
    <n v="5"/>
    <n v="52000"/>
    <n v="84.3"/>
    <n v="2300"/>
    <n v="160"/>
    <n v="1500"/>
    <n v="1"/>
    <n v="197660"/>
    <n v="39532"/>
    <n v="138000"/>
    <n v="145660"/>
    <n v="0.26307801274916526"/>
  </r>
  <r>
    <s v="UK"/>
    <x v="0"/>
    <s v="University of Cambridge"/>
    <s v="Artificial Intelligence"/>
    <s v="PhD"/>
    <n v="4"/>
    <n v="45000"/>
    <n v="71.5"/>
    <n v="1600"/>
    <n v="485"/>
    <n v="800"/>
    <n v="0.79"/>
    <n v="125485"/>
    <n v="31371.25"/>
    <n v="76800"/>
    <n v="80485"/>
    <n v="0.35860859863728733"/>
  </r>
  <r>
    <s v="Spain"/>
    <x v="53"/>
    <s v="Universitat de Barcelona"/>
    <s v="Data Science"/>
    <s v="Master"/>
    <n v="2"/>
    <n v="3800"/>
    <n v="73.599999999999994"/>
    <n v="1000"/>
    <n v="80"/>
    <n v="750"/>
    <n v="0.92"/>
    <n v="29380"/>
    <n v="14690"/>
    <n v="24000"/>
    <n v="25580"/>
    <n v="0.12933968686181074"/>
  </r>
  <r>
    <s v="Italy"/>
    <x v="288"/>
    <s v="Sapienza University"/>
    <s v="Software Engineering"/>
    <s v="Bachelor"/>
    <n v="3"/>
    <n v="3500"/>
    <n v="71.2"/>
    <n v="1100"/>
    <n v="120"/>
    <n v="700"/>
    <n v="0.92"/>
    <n v="45320"/>
    <n v="15106.666666666666"/>
    <n v="39600"/>
    <n v="41820"/>
    <n v="7.7228596646072373E-2"/>
  </r>
  <r>
    <s v="France"/>
    <x v="146"/>
    <s v="École Normale Supérieure"/>
    <s v="Computer Engineering"/>
    <s v="Master"/>
    <n v="2"/>
    <n v="4200"/>
    <n v="75.599999999999994"/>
    <n v="1200"/>
    <n v="99"/>
    <n v="850"/>
    <n v="0.92"/>
    <n v="34799"/>
    <n v="17399.5"/>
    <n v="28800"/>
    <n v="30599"/>
    <n v="0.12069312336561396"/>
  </r>
  <r>
    <s v="Malaysia"/>
    <x v="540"/>
    <s v="UTM"/>
    <s v="Data Analytics"/>
    <s v="PhD"/>
    <n v="4"/>
    <n v="8000"/>
    <n v="51.8"/>
    <n v="400"/>
    <n v="120"/>
    <n v="400"/>
    <n v="4.6500000000000004"/>
    <n v="28920"/>
    <n v="7230"/>
    <n v="19200"/>
    <n v="20920"/>
    <n v="0.27662517289073307"/>
  </r>
  <r>
    <s v="Saudi Arabia"/>
    <x v="541"/>
    <s v="KFUPM"/>
    <s v="Computer Science"/>
    <s v="Master"/>
    <n v="2"/>
    <n v="4500"/>
    <n v="68.5"/>
    <n v="700"/>
    <n v="200"/>
    <n v="800"/>
    <n v="3.75"/>
    <n v="23100"/>
    <n v="11550"/>
    <n v="16800"/>
    <n v="18600"/>
    <n v="0.19480519480519481"/>
  </r>
  <r>
    <s v="USA"/>
    <x v="48"/>
    <s v="UC Berkeley"/>
    <s v="Data Science"/>
    <s v="Master"/>
    <n v="2"/>
    <n v="54000"/>
    <n v="83.2"/>
    <n v="2000"/>
    <n v="160"/>
    <n v="1500"/>
    <n v="1"/>
    <n v="105160"/>
    <n v="52580"/>
    <n v="48000"/>
    <n v="51160"/>
    <n v="0.5135032331685051"/>
  </r>
  <r>
    <s v="UK"/>
    <x v="31"/>
    <s v="University of Oxford"/>
    <s v="Software Engineering"/>
    <s v="Master"/>
    <n v="2"/>
    <n v="40000"/>
    <n v="71.5"/>
    <n v="1400"/>
    <n v="485"/>
    <n v="800"/>
    <n v="0.79"/>
    <n v="75685"/>
    <n v="37842.5"/>
    <n v="33600"/>
    <n v="35685"/>
    <n v="0.52850630904406426"/>
  </r>
  <r>
    <s v="Spain"/>
    <x v="292"/>
    <s v="Universidad de Valencia"/>
    <s v="Information Systems"/>
    <s v="PhD"/>
    <n v="4"/>
    <n v="3200"/>
    <n v="68.5"/>
    <n v="800"/>
    <n v="80"/>
    <n v="750"/>
    <n v="0.92"/>
    <n v="44680"/>
    <n v="11170"/>
    <n v="38400"/>
    <n v="41480"/>
    <n v="7.1620411817367946E-2"/>
  </r>
  <r>
    <s v="Italy"/>
    <x v="293"/>
    <s v="Politecnico di Torino"/>
    <s v="Artificial Intelligence"/>
    <s v="Master"/>
    <n v="2"/>
    <n v="3800"/>
    <n v="69.8"/>
    <n v="900"/>
    <n v="120"/>
    <n v="700"/>
    <n v="0.92"/>
    <n v="26920"/>
    <n v="13460"/>
    <n v="21600"/>
    <n v="23120"/>
    <n v="0.14115898959881129"/>
  </r>
  <r>
    <s v="France"/>
    <x v="145"/>
    <s v="INSA Toulouse"/>
    <s v="Data Engineering"/>
    <s v="PhD"/>
    <n v="4"/>
    <n v="4300"/>
    <n v="72.099999999999994"/>
    <n v="1000"/>
    <n v="99"/>
    <n v="850"/>
    <n v="0.92"/>
    <n v="55799"/>
    <n v="13949.75"/>
    <n v="48000"/>
    <n v="51499"/>
    <n v="7.7062312944676428E-2"/>
  </r>
  <r>
    <s v="Malaysia"/>
    <x v="542"/>
    <s v="UNIMAS"/>
    <s v="Computer Science"/>
    <s v="Master"/>
    <n v="2"/>
    <n v="7000"/>
    <n v="49.5"/>
    <n v="380"/>
    <n v="120"/>
    <n v="400"/>
    <n v="4.6500000000000004"/>
    <n v="17040"/>
    <n v="8520"/>
    <n v="9120"/>
    <n v="10040"/>
    <n v="0.41079812206572769"/>
  </r>
  <r>
    <s v="Saudi Arabia"/>
    <x v="543"/>
    <s v="Islamic University"/>
    <s v="Software Development"/>
    <s v="Bachelor"/>
    <n v="4"/>
    <n v="4200"/>
    <n v="65.400000000000006"/>
    <n v="650"/>
    <n v="200"/>
    <n v="800"/>
    <n v="3.75"/>
    <n v="38800"/>
    <n v="9700"/>
    <n v="31200"/>
    <n v="34600"/>
    <n v="0.10824742268041238"/>
  </r>
  <r>
    <s v="USA"/>
    <x v="544"/>
    <s v="Massachusetts"/>
    <s v="Robotics"/>
    <s v="PhD"/>
    <n v="5"/>
    <n v="56000"/>
    <n v="82.1"/>
    <n v="2100"/>
    <n v="160"/>
    <n v="1500"/>
    <n v="1"/>
    <n v="189660"/>
    <n v="37932"/>
    <n v="126000"/>
    <n v="133660"/>
    <n v="0.29526521143098178"/>
  </r>
  <r>
    <s v="UK"/>
    <x v="188"/>
    <s v="University of Edinburgh"/>
    <s v="Data Science"/>
    <s v="Master"/>
    <n v="2"/>
    <n v="38000"/>
    <n v="67.8"/>
    <n v="1100"/>
    <n v="485"/>
    <n v="800"/>
    <n v="0.79"/>
    <n v="66485"/>
    <n v="33242.5"/>
    <n v="26400"/>
    <n v="28485"/>
    <n v="0.57155749417161761"/>
  </r>
  <r>
    <s v="Spain"/>
    <x v="297"/>
    <s v="Universidad de Sevilla"/>
    <s v="Computer Engineering"/>
    <s v="Master"/>
    <n v="2"/>
    <n v="3000"/>
    <n v="65.400000000000006"/>
    <n v="750"/>
    <n v="80"/>
    <n v="750"/>
    <n v="0.92"/>
    <n v="22580"/>
    <n v="11290"/>
    <n v="18000"/>
    <n v="19580"/>
    <n v="0.1328609388839681"/>
  </r>
  <r>
    <s v="Italy"/>
    <x v="298"/>
    <s v="University of Bologna"/>
    <s v="Information Systems"/>
    <s v="PhD"/>
    <n v="4"/>
    <n v="3600"/>
    <n v="70.5"/>
    <n v="950"/>
    <n v="120"/>
    <n v="700"/>
    <n v="0.92"/>
    <n v="52120"/>
    <n v="13030"/>
    <n v="45600"/>
    <n v="48520"/>
    <n v="6.9071373752877974E-2"/>
  </r>
  <r>
    <s v="France"/>
    <x v="545"/>
    <s v="Aix-Marseille University"/>
    <s v="Artificial Intelligence"/>
    <s v="Master"/>
    <n v="2"/>
    <n v="4100"/>
    <n v="73.5"/>
    <n v="1100"/>
    <n v="99"/>
    <n v="850"/>
    <n v="0.92"/>
    <n v="32299"/>
    <n v="16149.5"/>
    <n v="26400"/>
    <n v="28199"/>
    <n v="0.12693891451747732"/>
  </r>
  <r>
    <s v="Malaysia"/>
    <x v="546"/>
    <s v="Multimedia University"/>
    <s v="Data Analytics"/>
    <s v="Bachelor"/>
    <n v="3"/>
    <n v="7800"/>
    <n v="53.2"/>
    <n v="450"/>
    <n v="120"/>
    <n v="400"/>
    <n v="4.6500000000000004"/>
    <n v="25320"/>
    <n v="8440"/>
    <n v="16200"/>
    <n v="17520"/>
    <n v="0.30805687203791471"/>
  </r>
  <r>
    <s v="Saudi Arabia"/>
    <x v="547"/>
    <s v="Imam Abdulrahman University"/>
    <s v="Computer Science"/>
    <s v="Master"/>
    <n v="2"/>
    <n v="4600"/>
    <n v="67.8"/>
    <n v="680"/>
    <n v="200"/>
    <n v="800"/>
    <n v="3.75"/>
    <n v="22720"/>
    <n v="11360"/>
    <n v="16320"/>
    <n v="18120"/>
    <n v="0.20246478873239437"/>
  </r>
  <r>
    <s v="USA"/>
    <x v="126"/>
    <s v="Columbia University"/>
    <s v="Data Science"/>
    <s v="Master"/>
    <n v="2"/>
    <n v="62000"/>
    <n v="100"/>
    <n v="2500"/>
    <n v="160"/>
    <n v="1500"/>
    <n v="1"/>
    <n v="125160"/>
    <n v="62580"/>
    <n v="60000"/>
    <n v="63160"/>
    <n v="0.49536593160754233"/>
  </r>
  <r>
    <s v="UK"/>
    <x v="49"/>
    <s v="University of Manchester"/>
    <s v="Software Engineering"/>
    <s v="PhD"/>
    <n v="4"/>
    <n v="35000"/>
    <n v="65.400000000000006"/>
    <n v="900"/>
    <n v="485"/>
    <n v="800"/>
    <n v="0.79"/>
    <n v="81885"/>
    <n v="20471.25"/>
    <n v="43200"/>
    <n v="46885"/>
    <n v="0.42742871099713015"/>
  </r>
  <r>
    <s v="Spain"/>
    <x v="307"/>
    <s v="Universidad de Granada"/>
    <s v="Computer Science"/>
    <s v="Bachelor"/>
    <n v="3"/>
    <n v="2800"/>
    <n v="64.5"/>
    <n v="700"/>
    <n v="80"/>
    <n v="750"/>
    <n v="0.92"/>
    <n v="30330"/>
    <n v="10110"/>
    <n v="25200"/>
    <n v="27530"/>
    <n v="9.2317837124958793E-2"/>
  </r>
  <r>
    <s v="Italy"/>
    <x v="303"/>
    <s v="University of Florence"/>
    <s v="Data Engineering"/>
    <s v="Master"/>
    <n v="2"/>
    <n v="3500"/>
    <n v="71.2"/>
    <n v="1000"/>
    <n v="120"/>
    <n v="700"/>
    <n v="0.92"/>
    <n v="29020"/>
    <n v="14510"/>
    <n v="24000"/>
    <n v="25520"/>
    <n v="0.1206064782908339"/>
  </r>
  <r>
    <s v="France"/>
    <x v="149"/>
    <s v="University of Bordeaux"/>
    <s v="Information Systems"/>
    <s v="PhD"/>
    <n v="4"/>
    <n v="4300"/>
    <n v="72.099999999999994"/>
    <n v="1000"/>
    <n v="99"/>
    <n v="850"/>
    <n v="0.92"/>
    <n v="55799"/>
    <n v="13949.75"/>
    <n v="48000"/>
    <n v="51499"/>
    <n v="7.7062312944676428E-2"/>
  </r>
  <r>
    <s v="Malaysia"/>
    <x v="548"/>
    <s v="UKM"/>
    <s v="Artificial Intelligence"/>
    <s v="Master"/>
    <n v="2"/>
    <n v="7200"/>
    <n v="51.5"/>
    <n v="420"/>
    <n v="120"/>
    <n v="400"/>
    <n v="4.6500000000000004"/>
    <n v="18200"/>
    <n v="9100"/>
    <n v="10080"/>
    <n v="11000"/>
    <n v="0.39560439560439559"/>
  </r>
  <r>
    <s v="Saudi Arabia"/>
    <x v="549"/>
    <s v="Taif University"/>
    <s v="Software Development"/>
    <s v="Master"/>
    <n v="2"/>
    <n v="4400"/>
    <n v="64.5"/>
    <n v="600"/>
    <n v="200"/>
    <n v="800"/>
    <n v="3.75"/>
    <n v="20600"/>
    <n v="10300"/>
    <n v="14400"/>
    <n v="16200"/>
    <n v="0.21359223300970873"/>
  </r>
  <r>
    <s v="USA"/>
    <x v="180"/>
    <s v="UCLA"/>
    <s v="Computer Engineering"/>
    <s v="PhD"/>
    <n v="5"/>
    <n v="52000"/>
    <n v="79.8"/>
    <n v="2200"/>
    <n v="160"/>
    <n v="1500"/>
    <n v="1"/>
    <n v="191660"/>
    <n v="38332"/>
    <n v="132000"/>
    <n v="139660"/>
    <n v="0.27131378482729834"/>
  </r>
  <r>
    <s v="UK"/>
    <x v="22"/>
    <s v="University of Bristol"/>
    <s v="Data Analytics"/>
    <s v="Master"/>
    <n v="2"/>
    <n v="36000"/>
    <n v="68.900000000000006"/>
    <n v="1200"/>
    <n v="485"/>
    <n v="800"/>
    <n v="0.79"/>
    <n v="66885"/>
    <n v="33442.5"/>
    <n v="28800"/>
    <n v="30885"/>
    <n v="0.53823727293115053"/>
  </r>
  <r>
    <s v="Spain"/>
    <x v="302"/>
    <s v="University of the Basque Country"/>
    <s v="Information Technology"/>
    <s v="Master"/>
    <n v="2"/>
    <n v="3400"/>
    <n v="67.8"/>
    <n v="850"/>
    <n v="80"/>
    <n v="750"/>
    <n v="0.92"/>
    <n v="25380"/>
    <n v="12690"/>
    <n v="20400"/>
    <n v="21980"/>
    <n v="0.13396375098502758"/>
  </r>
  <r>
    <s v="Italy"/>
    <x v="308"/>
    <s v="University of Naples"/>
    <s v="Computer Science"/>
    <s v="Bachelor"/>
    <n v="3"/>
    <n v="3200"/>
    <n v="67.8"/>
    <n v="800"/>
    <n v="120"/>
    <n v="700"/>
    <n v="0.92"/>
    <n v="34220"/>
    <n v="11406.666666666666"/>
    <n v="28800"/>
    <n v="31020"/>
    <n v="9.3512565751022791E-2"/>
  </r>
  <r>
    <s v="France"/>
    <x v="148"/>
    <s v="University of Nice"/>
    <s v="Data Science"/>
    <s v="Master"/>
    <n v="2"/>
    <n v="4100"/>
    <n v="76.5"/>
    <n v="1300"/>
    <n v="99"/>
    <n v="850"/>
    <n v="0.92"/>
    <n v="37099"/>
    <n v="18549.5"/>
    <n v="31200"/>
    <n v="32999"/>
    <n v="0.11051510822394135"/>
  </r>
  <r>
    <s v="Malaysia"/>
    <x v="550"/>
    <s v="UTeM"/>
    <s v="Software Engineering"/>
    <s v="PhD"/>
    <n v="4"/>
    <n v="7500"/>
    <n v="50.2"/>
    <n v="400"/>
    <n v="120"/>
    <n v="400"/>
    <n v="4.6500000000000004"/>
    <n v="28420"/>
    <n v="7105"/>
    <n v="19200"/>
    <n v="20920"/>
    <n v="0.26389866291344122"/>
  </r>
  <r>
    <s v="Saudi Arabia"/>
    <x v="551"/>
    <s v="University of Tabuk"/>
    <s v="Computer Engineering"/>
    <s v="Bachelor"/>
    <n v="4"/>
    <n v="4100"/>
    <n v="63.2"/>
    <n v="580"/>
    <n v="200"/>
    <n v="800"/>
    <n v="3.75"/>
    <n v="35340"/>
    <n v="8835"/>
    <n v="27840"/>
    <n v="31240"/>
    <n v="0.11601584606677985"/>
  </r>
  <r>
    <s v="USA"/>
    <x v="89"/>
    <s v="University of Chicago"/>
    <s v="Artificial Intelligence"/>
    <s v="Master"/>
    <n v="2"/>
    <n v="58000"/>
    <n v="84.1"/>
    <n v="1900"/>
    <n v="160"/>
    <n v="1500"/>
    <n v="1"/>
    <n v="106760"/>
    <n v="53380"/>
    <n v="45600"/>
    <n v="48760"/>
    <n v="0.54327463469464221"/>
  </r>
  <r>
    <s v="UK"/>
    <x v="41"/>
    <s v="University of Glasgow"/>
    <s v="Data Engineering"/>
    <s v="PhD"/>
    <n v="4"/>
    <n v="34000"/>
    <n v="64.5"/>
    <n v="950"/>
    <n v="485"/>
    <n v="800"/>
    <n v="0.79"/>
    <n v="83285"/>
    <n v="20821.25"/>
    <n v="45600"/>
    <n v="49285"/>
    <n v="0.4082367773308519"/>
  </r>
  <r>
    <s v="Spain"/>
    <x v="317"/>
    <s v="University of Salamanca"/>
    <s v="Information Systems"/>
    <s v="Master"/>
    <n v="2"/>
    <n v="3100"/>
    <n v="62.1"/>
    <n v="600"/>
    <n v="80"/>
    <n v="750"/>
    <n v="0.92"/>
    <n v="19080"/>
    <n v="9540"/>
    <n v="14400"/>
    <n v="15980"/>
    <n v="0.16247379454926625"/>
  </r>
  <r>
    <s v="Italy"/>
    <x v="313"/>
    <s v="University of Pisa"/>
    <s v="Software Development"/>
    <s v="Master"/>
    <n v="2"/>
    <n v="3300"/>
    <n v="68.900000000000006"/>
    <n v="850"/>
    <n v="120"/>
    <n v="700"/>
    <n v="0.92"/>
    <n v="25220"/>
    <n v="12610"/>
    <n v="20400"/>
    <n v="21920"/>
    <n v="0.13084853291038859"/>
  </r>
  <r>
    <s v="France"/>
    <x v="150"/>
    <s v="University of Lille"/>
    <s v="Computer Science"/>
    <s v="Bachelor"/>
    <n v="3"/>
    <n v="4200"/>
    <n v="69.8"/>
    <n v="950"/>
    <n v="99"/>
    <n v="850"/>
    <n v="0.92"/>
    <n v="41049"/>
    <n v="13683"/>
    <n v="34200"/>
    <n v="36849"/>
    <n v="0.10231674340422423"/>
  </r>
  <r>
    <s v="Malaysia"/>
    <x v="552"/>
    <s v="UiTM"/>
    <s v="Data Analytics"/>
    <s v="Master"/>
    <n v="2"/>
    <n v="7100"/>
    <n v="51.8"/>
    <n v="430"/>
    <n v="120"/>
    <n v="400"/>
    <n v="4.6500000000000004"/>
    <n v="18340"/>
    <n v="9170"/>
    <n v="10320"/>
    <n v="11240"/>
    <n v="0.38713195201744821"/>
  </r>
  <r>
    <s v="Saudi Arabia"/>
    <x v="553"/>
    <s v="Umm Al-Qura University"/>
    <s v="Information Technology"/>
    <s v="PhD"/>
    <n v="4"/>
    <n v="4300"/>
    <n v="65.8"/>
    <n v="650"/>
    <n v="200"/>
    <n v="800"/>
    <n v="3.75"/>
    <n v="38900"/>
    <n v="9725"/>
    <n v="31200"/>
    <n v="34600"/>
    <n v="0.11053984575835475"/>
  </r>
  <r>
    <s v="USA"/>
    <x v="235"/>
    <s v="Stanford University"/>
    <s v="Data Science"/>
    <s v="Master"/>
    <n v="2"/>
    <n v="55000"/>
    <n v="95.2"/>
    <n v="2400"/>
    <n v="160"/>
    <n v="1500"/>
    <n v="1"/>
    <n v="115760"/>
    <n v="57880"/>
    <n v="57600"/>
    <n v="60760"/>
    <n v="0.47512093987560472"/>
  </r>
  <r>
    <s v="UK"/>
    <x v="98"/>
    <s v="University of Leeds"/>
    <s v="Computer Engineering"/>
    <s v="Master"/>
    <n v="2"/>
    <n v="35000"/>
    <n v="63.2"/>
    <n v="900"/>
    <n v="485"/>
    <n v="800"/>
    <n v="0.79"/>
    <n v="58685"/>
    <n v="29342.5"/>
    <n v="21600"/>
    <n v="23685"/>
    <n v="0.59640453267444837"/>
  </r>
  <r>
    <s v="Spain"/>
    <x v="312"/>
    <s v="University of Zaragoza"/>
    <s v="Artificial Intelligence"/>
    <s v="PhD"/>
    <n v="4"/>
    <n v="2900"/>
    <n v="63.2"/>
    <n v="650"/>
    <n v="80"/>
    <n v="750"/>
    <n v="0.92"/>
    <n v="37180"/>
    <n v="9295"/>
    <n v="31200"/>
    <n v="34280"/>
    <n v="7.7998924152770308E-2"/>
  </r>
  <r>
    <s v="Italy"/>
    <x v="318"/>
    <s v="University of Padua"/>
    <s v="Software Engineering"/>
    <s v="Master"/>
    <n v="2"/>
    <n v="3400"/>
    <n v="69.5"/>
    <n v="900"/>
    <n v="120"/>
    <n v="700"/>
    <n v="0.92"/>
    <n v="26520"/>
    <n v="13260"/>
    <n v="21600"/>
    <n v="23120"/>
    <n v="0.12820512820512819"/>
  </r>
  <r>
    <s v="France"/>
    <x v="152"/>
    <s v="University of Strasbourg"/>
    <s v="Data Analytics"/>
    <s v="Master"/>
    <n v="2"/>
    <n v="4000"/>
    <n v="70.2"/>
    <n v="1000"/>
    <n v="99"/>
    <n v="850"/>
    <n v="0.92"/>
    <n v="29799"/>
    <n v="14899.5"/>
    <n v="24000"/>
    <n v="25799"/>
    <n v="0.13423269237222726"/>
  </r>
  <r>
    <s v="Malaysia"/>
    <x v="554"/>
    <s v="USIM"/>
    <s v="Computer Science"/>
    <s v="Bachelor"/>
    <n v="3"/>
    <n v="6800"/>
    <n v="50.5"/>
    <n v="400"/>
    <n v="120"/>
    <n v="400"/>
    <n v="4.6500000000000004"/>
    <n v="22520"/>
    <n v="7506.666666666667"/>
    <n v="14400"/>
    <n v="15720"/>
    <n v="0.30195381882770872"/>
  </r>
  <r>
    <s v="Saudi Arabia"/>
    <x v="555"/>
    <s v="King Faisal University"/>
    <s v="Information Systems"/>
    <s v="Master"/>
    <n v="2"/>
    <n v="4200"/>
    <n v="64.2"/>
    <n v="600"/>
    <n v="200"/>
    <n v="800"/>
    <n v="3.75"/>
    <n v="20400"/>
    <n v="10200"/>
    <n v="14400"/>
    <n v="16200"/>
    <n v="0.20588235294117646"/>
  </r>
  <r>
    <s v="USA"/>
    <x v="39"/>
    <s v="University of Washington"/>
    <s v="Software Development"/>
    <s v="PhD"/>
    <n v="5"/>
    <n v="50000"/>
    <n v="77.8"/>
    <n v="2000"/>
    <n v="160"/>
    <n v="1500"/>
    <n v="1"/>
    <n v="177660"/>
    <n v="35532"/>
    <n v="120000"/>
    <n v="127660"/>
    <n v="0.2814364516492176"/>
  </r>
  <r>
    <s v="UK"/>
    <x v="103"/>
    <s v="University of Nottingham"/>
    <s v="Data Engineering"/>
    <s v="Master"/>
    <n v="2"/>
    <n v="34000"/>
    <n v="61.2"/>
    <n v="800"/>
    <n v="485"/>
    <n v="800"/>
    <n v="0.79"/>
    <n v="55285"/>
    <n v="27642.5"/>
    <n v="19200"/>
    <n v="21285"/>
    <n v="0.614995025775526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84BA7-F3EC-4521-8231-C3B7A552E5E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7" firstHeaderRow="0" firstDataRow="1" firstDataCol="1"/>
  <pivotFields count="17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numFmtId="164" showAll="0"/>
    <pivotField numFmtId="164" showAll="0"/>
    <pivotField numFmtId="1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Cost" fld="12" subtotal="average" baseField="4" baseItem="0" numFmtId="164"/>
    <dataField name="Average of Cost_Per_Year" fld="13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CD1AF-0E8B-4434-8C36-5EE28D994D2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5" firstHeaderRow="0" firstDataRow="1" firstDataCol="1"/>
  <pivotFields count="17">
    <pivotField axis="axisRow" showAll="0">
      <items count="72">
        <item x="61"/>
        <item x="39"/>
        <item x="3"/>
        <item x="16"/>
        <item x="57"/>
        <item x="63"/>
        <item x="17"/>
        <item x="30"/>
        <item x="59"/>
        <item x="2"/>
        <item x="12"/>
        <item x="46"/>
        <item x="51"/>
        <item x="50"/>
        <item x="22"/>
        <item x="11"/>
        <item x="52"/>
        <item x="55"/>
        <item x="38"/>
        <item x="70"/>
        <item x="28"/>
        <item x="8"/>
        <item x="4"/>
        <item x="60"/>
        <item x="34"/>
        <item x="18"/>
        <item x="44"/>
        <item x="45"/>
        <item x="23"/>
        <item x="40"/>
        <item x="68"/>
        <item x="14"/>
        <item x="20"/>
        <item x="27"/>
        <item x="5"/>
        <item x="64"/>
        <item x="56"/>
        <item x="48"/>
        <item x="25"/>
        <item x="33"/>
        <item x="53"/>
        <item x="6"/>
        <item x="15"/>
        <item x="42"/>
        <item x="29"/>
        <item x="62"/>
        <item x="54"/>
        <item x="24"/>
        <item x="19"/>
        <item x="47"/>
        <item x="32"/>
        <item x="41"/>
        <item x="67"/>
        <item x="7"/>
        <item x="66"/>
        <item x="37"/>
        <item x="13"/>
        <item x="26"/>
        <item x="10"/>
        <item x="9"/>
        <item x="21"/>
        <item x="35"/>
        <item x="49"/>
        <item x="31"/>
        <item x="36"/>
        <item x="1"/>
        <item x="65"/>
        <item x="58"/>
        <item x="0"/>
        <item x="69"/>
        <item x="43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0"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uition_USD" fld="6" subtotal="average" baseField="0" baseItem="0" numFmtId="164"/>
    <dataField name="Average of Non_Tuition_Cost" fld="15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C9248-5CE4-4F00-AED2-18BDCBAEDE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5" firstHeaderRow="0" firstDataRow="1" firstDataCol="1"/>
  <pivotFields count="17">
    <pivotField axis="axisRow" showAll="0">
      <items count="73">
        <item x="61"/>
        <item x="39"/>
        <item x="3"/>
        <item x="16"/>
        <item x="57"/>
        <item x="63"/>
        <item x="17"/>
        <item x="30"/>
        <item x="59"/>
        <item x="2"/>
        <item x="12"/>
        <item x="46"/>
        <item x="51"/>
        <item x="50"/>
        <item x="22"/>
        <item x="11"/>
        <item x="52"/>
        <item x="55"/>
        <item x="38"/>
        <item x="70"/>
        <item x="28"/>
        <item x="8"/>
        <item x="4"/>
        <item x="60"/>
        <item x="34"/>
        <item x="18"/>
        <item x="44"/>
        <item x="45"/>
        <item x="23"/>
        <item x="40"/>
        <item x="68"/>
        <item x="14"/>
        <item x="20"/>
        <item x="27"/>
        <item x="5"/>
        <item x="64"/>
        <item x="56"/>
        <item x="48"/>
        <item x="25"/>
        <item x="33"/>
        <item x="53"/>
        <item x="6"/>
        <item x="15"/>
        <item x="42"/>
        <item x="29"/>
        <item x="62"/>
        <item x="54"/>
        <item x="24"/>
        <item x="19"/>
        <item x="47"/>
        <item x="32"/>
        <item x="41"/>
        <item x="67"/>
        <item x="7"/>
        <item x="66"/>
        <item x="37"/>
        <item x="13"/>
        <item x="26"/>
        <item x="10"/>
        <item x="9"/>
        <item x="21"/>
        <item x="35"/>
        <item x="49"/>
        <item x="31"/>
        <item x="36"/>
        <item x="1"/>
        <item x="65"/>
        <item x="58"/>
        <item x="0"/>
        <item x="69"/>
        <item x="43"/>
        <item h="1" x="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Cost" fld="12" subtotal="average" baseField="0" baseItem="0"/>
    <dataField name="Average of Cost_Per_Year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3F680-C4B3-4855-9925-356B01EBB70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L26" firstHeaderRow="1" firstDataRow="1" firstDataCol="1"/>
  <pivotFields count="17">
    <pivotField showAll="0"/>
    <pivotField axis="axisRow" showAll="0" measureFilter="1" sortType="ascending">
      <items count="557">
        <item x="81"/>
        <item x="43"/>
        <item x="163"/>
        <item x="190"/>
        <item x="357"/>
        <item x="464"/>
        <item x="68"/>
        <item x="367"/>
        <item x="387"/>
        <item x="531"/>
        <item x="372"/>
        <item x="515"/>
        <item x="555"/>
        <item x="361"/>
        <item x="465"/>
        <item x="490"/>
        <item x="6"/>
        <item x="536"/>
        <item x="324"/>
        <item x="19"/>
        <item x="488"/>
        <item x="339"/>
        <item x="332"/>
        <item x="431"/>
        <item x="77"/>
        <item x="254"/>
        <item x="208"/>
        <item x="381"/>
        <item x="123"/>
        <item x="243"/>
        <item x="20"/>
        <item x="16"/>
        <item x="21"/>
        <item x="279"/>
        <item x="230"/>
        <item x="90"/>
        <item x="392"/>
        <item x="42"/>
        <item x="548"/>
        <item x="124"/>
        <item x="53"/>
        <item x="399"/>
        <item x="33"/>
        <item x="195"/>
        <item x="12"/>
        <item x="460"/>
        <item x="105"/>
        <item x="502"/>
        <item x="396"/>
        <item x="246"/>
        <item x="48"/>
        <item x="52"/>
        <item x="156"/>
        <item x="418"/>
        <item x="302"/>
        <item x="101"/>
        <item x="454"/>
        <item x="257"/>
        <item x="384"/>
        <item x="298"/>
        <item x="234"/>
        <item x="149"/>
        <item x="414"/>
        <item x="30"/>
        <item x="95"/>
        <item x="277"/>
        <item x="407"/>
        <item x="84"/>
        <item x="262"/>
        <item x="228"/>
        <item x="22"/>
        <item x="203"/>
        <item x="18"/>
        <item x="405"/>
        <item x="385"/>
        <item x="323"/>
        <item x="131"/>
        <item x="520"/>
        <item x="486"/>
        <item x="335"/>
        <item x="15"/>
        <item x="468"/>
        <item x="130"/>
        <item x="118"/>
        <item x="393"/>
        <item x="0"/>
        <item x="358"/>
        <item x="36"/>
        <item x="480"/>
        <item x="129"/>
        <item x="104"/>
        <item x="415"/>
        <item x="430"/>
        <item x="533"/>
        <item x="319"/>
        <item x="170"/>
        <item x="364"/>
        <item x="177"/>
        <item x="356"/>
        <item x="89"/>
        <item x="458"/>
        <item x="350"/>
        <item x="489"/>
        <item x="506"/>
        <item x="273"/>
        <item x="390"/>
        <item x="275"/>
        <item x="186"/>
        <item x="233"/>
        <item x="182"/>
        <item x="411"/>
        <item x="481"/>
        <item x="11"/>
        <item x="432"/>
        <item x="236"/>
        <item x="187"/>
        <item x="215"/>
        <item x="417"/>
        <item x="475"/>
        <item x="445"/>
        <item x="546"/>
        <item x="171"/>
        <item x="46"/>
        <item x="547"/>
        <item x="83"/>
        <item x="74"/>
        <item x="474"/>
        <item x="97"/>
        <item x="217"/>
        <item x="326"/>
        <item x="34"/>
        <item x="359"/>
        <item x="419"/>
        <item x="239"/>
        <item x="541"/>
        <item x="498"/>
        <item x="408"/>
        <item x="532"/>
        <item x="320"/>
        <item x="78"/>
        <item x="125"/>
        <item x="14"/>
        <item x="456"/>
        <item x="199"/>
        <item x="276"/>
        <item x="92"/>
        <item x="188"/>
        <item x="40"/>
        <item x="136"/>
        <item x="137"/>
        <item x="263"/>
        <item x="391"/>
        <item x="331"/>
        <item x="245"/>
        <item x="194"/>
        <item x="197"/>
        <item x="441"/>
        <item x="282"/>
        <item x="437"/>
        <item x="303"/>
        <item x="373"/>
        <item x="232"/>
        <item x="87"/>
        <item x="159"/>
        <item x="382"/>
        <item x="62"/>
        <item x="286"/>
        <item x="447"/>
        <item x="184"/>
        <item x="45"/>
        <item x="406"/>
        <item x="155"/>
        <item x="325"/>
        <item x="455"/>
        <item x="366"/>
        <item x="260"/>
        <item x="41"/>
        <item x="70"/>
        <item x="274"/>
        <item x="307"/>
        <item x="290"/>
        <item x="219"/>
        <item x="147"/>
        <item x="138"/>
        <item x="296"/>
        <item x="167"/>
        <item x="467"/>
        <item x="172"/>
        <item x="337"/>
        <item x="398"/>
        <item x="108"/>
        <item x="80"/>
        <item x="106"/>
        <item x="165"/>
        <item x="86"/>
        <item x="341"/>
        <item x="370"/>
        <item x="507"/>
        <item x="32"/>
        <item x="56"/>
        <item x="299"/>
        <item x="201"/>
        <item x="269"/>
        <item x="67"/>
        <item x="495"/>
        <item x="135"/>
        <item x="71"/>
        <item x="24"/>
        <item x="267"/>
        <item x="209"/>
        <item x="369"/>
        <item x="401"/>
        <item x="175"/>
        <item x="305"/>
        <item x="309"/>
        <item x="477"/>
        <item x="511"/>
        <item x="120"/>
        <item x="127"/>
        <item x="328"/>
        <item x="132"/>
        <item x="539"/>
        <item x="85"/>
        <item x="268"/>
        <item x="540"/>
        <item x="483"/>
        <item x="258"/>
        <item x="66"/>
        <item x="379"/>
        <item x="82"/>
        <item x="283"/>
        <item x="416"/>
        <item x="344"/>
        <item x="334"/>
        <item x="352"/>
        <item x="210"/>
        <item x="198"/>
        <item x="516"/>
        <item x="360"/>
        <item x="514"/>
        <item x="220"/>
        <item x="402"/>
        <item x="310"/>
        <item x="65"/>
        <item x="259"/>
        <item x="349"/>
        <item x="404"/>
        <item x="517"/>
        <item x="526"/>
        <item x="389"/>
        <item x="264"/>
        <item x="47"/>
        <item x="542"/>
        <item x="472"/>
        <item x="265"/>
        <item x="499"/>
        <item x="500"/>
        <item x="59"/>
        <item x="497"/>
        <item x="446"/>
        <item x="436"/>
        <item x="134"/>
        <item x="206"/>
        <item x="261"/>
        <item x="434"/>
        <item x="154"/>
        <item x="98"/>
        <item x="191"/>
        <item x="143"/>
        <item x="315"/>
        <item x="322"/>
        <item x="346"/>
        <item x="150"/>
        <item x="425"/>
        <item x="427"/>
        <item x="237"/>
        <item x="278"/>
        <item x="295"/>
        <item x="25"/>
        <item x="231"/>
        <item x="189"/>
        <item x="501"/>
        <item x="410"/>
        <item x="482"/>
        <item x="1"/>
        <item x="107"/>
        <item x="180"/>
        <item x="202"/>
        <item x="336"/>
        <item x="161"/>
        <item x="158"/>
        <item x="37"/>
        <item x="386"/>
        <item x="508"/>
        <item x="256"/>
        <item x="146"/>
        <item x="139"/>
        <item x="93"/>
        <item x="287"/>
        <item x="553"/>
        <item x="409"/>
        <item x="478"/>
        <item x="461"/>
        <item x="49"/>
        <item x="376"/>
        <item x="509"/>
        <item x="444"/>
        <item x="545"/>
        <item x="519"/>
        <item x="238"/>
        <item x="388"/>
        <item x="543"/>
        <item x="550"/>
        <item x="3"/>
        <item x="453"/>
        <item x="311"/>
        <item x="122"/>
        <item x="54"/>
        <item x="96"/>
        <item x="342"/>
        <item x="544"/>
        <item x="440"/>
        <item x="223"/>
        <item x="351"/>
        <item x="291"/>
        <item x="462"/>
        <item x="153"/>
        <item x="221"/>
        <item x="121"/>
        <item x="492"/>
        <item x="355"/>
        <item x="4"/>
        <item x="60"/>
        <item x="375"/>
        <item x="528"/>
        <item x="166"/>
        <item x="308"/>
        <item x="91"/>
        <item x="160"/>
        <item x="178"/>
        <item x="126"/>
        <item x="72"/>
        <item x="148"/>
        <item x="421"/>
        <item x="140"/>
        <item x="554"/>
        <item x="518"/>
        <item x="214"/>
        <item x="103"/>
        <item x="525"/>
        <item x="510"/>
        <item x="330"/>
        <item x="248"/>
        <item x="524"/>
        <item x="473"/>
        <item x="58"/>
        <item x="442"/>
        <item x="57"/>
        <item x="23"/>
        <item x="457"/>
        <item x="252"/>
        <item x="31"/>
        <item x="216"/>
        <item x="318"/>
        <item x="280"/>
        <item x="466"/>
        <item x="449"/>
        <item x="8"/>
        <item x="294"/>
        <item x="493"/>
        <item x="333"/>
        <item x="538"/>
        <item x="69"/>
        <item x="88"/>
        <item x="365"/>
        <item x="340"/>
        <item x="313"/>
        <item x="116"/>
        <item x="452"/>
        <item x="471"/>
        <item x="211"/>
        <item x="174"/>
        <item x="371"/>
        <item x="241"/>
        <item x="272"/>
        <item x="363"/>
        <item x="212"/>
        <item x="400"/>
        <item x="28"/>
        <item x="227"/>
        <item x="179"/>
        <item x="301"/>
        <item x="450"/>
        <item x="374"/>
        <item x="110"/>
        <item x="204"/>
        <item x="306"/>
        <item x="459"/>
        <item x="424"/>
        <item x="522"/>
        <item x="185"/>
        <item x="377"/>
        <item x="192"/>
        <item x="368"/>
        <item x="112"/>
        <item x="151"/>
        <item x="383"/>
        <item x="314"/>
        <item x="469"/>
        <item x="435"/>
        <item x="354"/>
        <item x="485"/>
        <item x="133"/>
        <item x="288"/>
        <item x="439"/>
        <item x="253"/>
        <item x="353"/>
        <item x="55"/>
        <item x="205"/>
        <item x="494"/>
        <item x="327"/>
        <item x="484"/>
        <item x="317"/>
        <item x="523"/>
        <item x="470"/>
        <item x="378"/>
        <item x="300"/>
        <item x="348"/>
        <item x="512"/>
        <item x="38"/>
        <item x="235"/>
        <item x="321"/>
        <item x="521"/>
        <item x="443"/>
        <item x="505"/>
        <item x="513"/>
        <item x="537"/>
        <item x="429"/>
        <item x="423"/>
        <item x="119"/>
        <item x="63"/>
        <item x="114"/>
        <item x="39"/>
        <item x="413"/>
        <item x="61"/>
        <item x="13"/>
        <item x="297"/>
        <item x="426"/>
        <item x="552"/>
        <item x="164"/>
        <item x="362"/>
        <item x="100"/>
        <item x="128"/>
        <item x="115"/>
        <item x="527"/>
        <item x="491"/>
        <item x="7"/>
        <item x="266"/>
        <item x="242"/>
        <item x="463"/>
        <item x="380"/>
        <item x="529"/>
        <item x="433"/>
        <item x="102"/>
        <item x="428"/>
        <item x="157"/>
        <item x="113"/>
        <item x="29"/>
        <item x="251"/>
        <item x="10"/>
        <item x="152"/>
        <item x="200"/>
        <item x="79"/>
        <item x="534"/>
        <item x="226"/>
        <item x="76"/>
        <item x="403"/>
        <item x="196"/>
        <item x="193"/>
        <item x="176"/>
        <item x="207"/>
        <item x="51"/>
        <item x="530"/>
        <item x="329"/>
        <item x="535"/>
        <item x="551"/>
        <item x="549"/>
        <item x="27"/>
        <item x="487"/>
        <item x="247"/>
        <item x="451"/>
        <item x="504"/>
        <item x="503"/>
        <item x="26"/>
        <item x="94"/>
        <item x="289"/>
        <item x="225"/>
        <item x="316"/>
        <item x="141"/>
        <item x="395"/>
        <item x="496"/>
        <item x="5"/>
        <item x="338"/>
        <item x="229"/>
        <item x="2"/>
        <item x="145"/>
        <item x="75"/>
        <item x="476"/>
        <item x="224"/>
        <item x="249"/>
        <item x="244"/>
        <item x="438"/>
        <item x="64"/>
        <item x="420"/>
        <item x="293"/>
        <item x="250"/>
        <item x="173"/>
        <item x="213"/>
        <item x="281"/>
        <item x="271"/>
        <item x="181"/>
        <item x="117"/>
        <item x="142"/>
        <item x="255"/>
        <item x="292"/>
        <item x="50"/>
        <item x="479"/>
        <item x="285"/>
        <item x="347"/>
        <item x="109"/>
        <item x="17"/>
        <item x="284"/>
        <item x="304"/>
        <item x="144"/>
        <item x="412"/>
        <item x="44"/>
        <item x="99"/>
        <item x="240"/>
        <item x="35"/>
        <item x="270"/>
        <item x="183"/>
        <item x="218"/>
        <item x="222"/>
        <item x="111"/>
        <item x="162"/>
        <item x="73"/>
        <item x="394"/>
        <item x="168"/>
        <item x="345"/>
        <item x="169"/>
        <item x="343"/>
        <item x="397"/>
        <item x="448"/>
        <item x="422"/>
        <item x="31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numFmtId="10" showAll="0"/>
  </pivotFields>
  <rowFields count="1">
    <field x="1"/>
  </rowFields>
  <rowItems count="16">
    <i>
      <x v="167"/>
    </i>
    <i>
      <x v="20"/>
    </i>
    <i>
      <x v="27"/>
    </i>
    <i>
      <x v="399"/>
    </i>
    <i>
      <x v="447"/>
    </i>
    <i>
      <x v="354"/>
    </i>
    <i>
      <x v="414"/>
    </i>
    <i>
      <x v="239"/>
    </i>
    <i>
      <x v="382"/>
    </i>
    <i>
      <x v="56"/>
    </i>
    <i>
      <x v="500"/>
    </i>
    <i>
      <x v="113"/>
    </i>
    <i>
      <x v="13"/>
    </i>
    <i>
      <x v="513"/>
    </i>
    <i>
      <x v="17"/>
    </i>
    <i t="grand">
      <x/>
    </i>
  </rowItems>
  <colItems count="1">
    <i/>
  </colItems>
  <dataFields count="1">
    <dataField name="Average of Total_Cost" fld="12" subtotal="average" baseField="1" baseItem="0" numFmtId="164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8A6B2-61EF-4A9A-9DB0-421FE69F319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75" firstHeaderRow="0" firstDataRow="1" firstDataCol="1"/>
  <pivotFields count="17">
    <pivotField axis="axisRow" showAll="0">
      <items count="72">
        <item x="61"/>
        <item x="39"/>
        <item x="3"/>
        <item x="16"/>
        <item x="57"/>
        <item x="63"/>
        <item x="17"/>
        <item x="30"/>
        <item x="59"/>
        <item x="2"/>
        <item x="12"/>
        <item x="46"/>
        <item x="51"/>
        <item x="50"/>
        <item x="22"/>
        <item x="11"/>
        <item x="52"/>
        <item x="55"/>
        <item x="38"/>
        <item x="70"/>
        <item x="28"/>
        <item x="8"/>
        <item x="4"/>
        <item x="60"/>
        <item x="34"/>
        <item x="18"/>
        <item x="44"/>
        <item x="45"/>
        <item x="23"/>
        <item x="40"/>
        <item x="68"/>
        <item x="14"/>
        <item x="20"/>
        <item x="27"/>
        <item x="5"/>
        <item x="64"/>
        <item x="56"/>
        <item x="48"/>
        <item x="25"/>
        <item x="33"/>
        <item x="53"/>
        <item x="6"/>
        <item x="15"/>
        <item x="42"/>
        <item x="29"/>
        <item x="62"/>
        <item x="54"/>
        <item x="24"/>
        <item x="19"/>
        <item x="47"/>
        <item x="32"/>
        <item x="41"/>
        <item x="67"/>
        <item x="7"/>
        <item x="66"/>
        <item x="37"/>
        <item x="13"/>
        <item x="26"/>
        <item x="10"/>
        <item x="9"/>
        <item x="21"/>
        <item x="35"/>
        <item x="49"/>
        <item x="31"/>
        <item x="36"/>
        <item x="1"/>
        <item x="65"/>
        <item x="58"/>
        <item x="0"/>
        <item x="69"/>
        <item x="4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64" showAll="0"/>
    <pivotField numFmtId="10"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Rent" fld="14" subtotal="average" baseField="0" baseItem="0" numFmtId="164"/>
    <dataField name="Average of Total_Cost" fld="1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58AB67-3049-45FD-85C5-D4B462997974}" autoFormatId="16" applyNumberFormats="0" applyBorderFormats="0" applyFontFormats="0" applyPatternFormats="0" applyAlignmentFormats="0" applyWidthHeightFormats="0">
  <queryTableRefresh nextId="18" unboundColumnsRight="5">
    <queryTableFields count="17">
      <queryTableField id="1" name="Country" tableColumnId="1"/>
      <queryTableField id="2" name="City" tableColumnId="2"/>
      <queryTableField id="3" name="University" tableColumnId="3"/>
      <queryTableField id="4" name="Program" tableColumnId="4"/>
      <queryTableField id="5" name="Level" tableColumnId="5"/>
      <queryTableField id="6" name="Duration_Years" tableColumnId="6"/>
      <queryTableField id="7" name="Tuition_USD" tableColumnId="7"/>
      <queryTableField id="8" name="Living_Cost_Index" tableColumnId="8"/>
      <queryTableField id="9" name="Rent_USD" tableColumnId="9"/>
      <queryTableField id="10" name="Visa_Fee_USD" tableColumnId="10"/>
      <queryTableField id="11" name="Insurance_USD" tableColumnId="11"/>
      <queryTableField id="12" name="Exchange_Rate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0FF71C-27F6-415D-A891-148D687FC838}" name="International_Education_Costs" displayName="International_Education_Costs" ref="A1:Q908" tableType="queryTable" totalsRowShown="0">
  <autoFilter ref="A1:Q908" xr:uid="{3A0FF71C-27F6-415D-A891-148D687FC838}"/>
  <tableColumns count="17">
    <tableColumn id="1" xr3:uid="{B17E8270-88BC-4EFE-B8B6-485339F49DEC}" uniqueName="1" name="Country" queryTableFieldId="1" dataDxfId="13"/>
    <tableColumn id="2" xr3:uid="{357107B0-19A8-4737-9CDD-C293B39F293F}" uniqueName="2" name="City" queryTableFieldId="2" dataDxfId="12"/>
    <tableColumn id="3" xr3:uid="{A7A2B78A-9871-4775-A2FA-81507C6E80D4}" uniqueName="3" name="University" queryTableFieldId="3" dataDxfId="11"/>
    <tableColumn id="4" xr3:uid="{37176BC4-134B-4D91-A334-59A84F592EFC}" uniqueName="4" name="Program" queryTableFieldId="4" dataDxfId="10"/>
    <tableColumn id="5" xr3:uid="{D1BE979B-CDBF-4FA6-B055-0A2849269FB5}" uniqueName="5" name="Level" queryTableFieldId="5" dataDxfId="9"/>
    <tableColumn id="6" xr3:uid="{C262892A-D041-4FC3-AA3A-2849A630E31D}" uniqueName="6" name="Duration_Years" queryTableFieldId="6"/>
    <tableColumn id="7" xr3:uid="{983F03B8-4849-44D7-B749-4AF3F88E4E5B}" uniqueName="7" name="Tuition_USD" queryTableFieldId="7" dataDxfId="8"/>
    <tableColumn id="8" xr3:uid="{E760A681-C629-4041-9158-574A4D1DCEFF}" uniqueName="8" name="Living_Cost_Index" queryTableFieldId="8"/>
    <tableColumn id="9" xr3:uid="{07E0AF3F-5EF8-4390-A768-C06E1BE0B200}" uniqueName="9" name="Rent_USD" queryTableFieldId="9" dataDxfId="7"/>
    <tableColumn id="10" xr3:uid="{7410B2C7-9A2E-481F-8557-A2D400CB5F8D}" uniqueName="10" name="Visa_Fee_USD" queryTableFieldId="10" dataDxfId="6"/>
    <tableColumn id="11" xr3:uid="{26713D3D-66FC-42B7-B83F-94F85C54B035}" uniqueName="11" name="Insurance_USD" queryTableFieldId="11" dataDxfId="5"/>
    <tableColumn id="12" xr3:uid="{44B68252-5DD6-4036-838B-ED47EDC191D6}" uniqueName="12" name="Exchange_Rate" queryTableFieldId="12"/>
    <tableColumn id="13" xr3:uid="{EAED4899-701D-44EB-ADFB-E2B397FA4C1F}" uniqueName="13" name="Total_Cost" queryTableFieldId="13" dataDxfId="4">
      <calculatedColumnFormula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calculatedColumnFormula>
    </tableColumn>
    <tableColumn id="14" xr3:uid="{EFEFAE81-C28D-4FA2-8734-58ADBC260EE0}" uniqueName="14" name="Cost_Per_Year" queryTableFieldId="14" dataDxfId="3">
      <calculatedColumnFormula>International_Education_Costs[[#This Row],[Total_Cost]]/International_Education_Costs[[#This Row],[Duration_Years]]</calculatedColumnFormula>
    </tableColumn>
    <tableColumn id="15" xr3:uid="{CAADB5AE-EAB0-4870-A94E-91554026CA25}" uniqueName="15" name="Total_Rent" queryTableFieldId="15" dataDxfId="2">
      <calculatedColumnFormula>International_Education_Costs[[#This Row],[Rent_USD]] * 12 * International_Education_Costs[[#This Row],[Duration_Years]]</calculatedColumnFormula>
    </tableColumn>
    <tableColumn id="16" xr3:uid="{DCB3F33F-727B-489C-B8FA-CE94C624E539}" uniqueName="16" name="Non_Tuition_Cost" queryTableFieldId="16" dataDxfId="1">
      <calculatedColumnFormula>International_Education_Costs[[#This Row],[Total_Cost]]-International_Education_Costs[[#This Row],[Tuition_USD]]</calculatedColumnFormula>
    </tableColumn>
    <tableColumn id="17" xr3:uid="{E3BDBC76-4E64-48D6-8660-CBDB2C0BD4E4}" uniqueName="17" name="Tuition_Percentage" queryTableFieldId="17" dataDxfId="0">
      <calculatedColumnFormula>International_Education_Costs[[#This Row],[Tuition_USD]]/International_Education_Costs[[#This Row],[Total_Cost]]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4D80-3DD2-45E1-A1FF-08EEADB4754B}">
  <dimension ref="A3:V75"/>
  <sheetViews>
    <sheetView topLeftCell="R46" workbookViewId="0">
      <selection activeCell="L11" sqref="L11"/>
    </sheetView>
  </sheetViews>
  <sheetFormatPr defaultRowHeight="15" x14ac:dyDescent="0.25"/>
  <cols>
    <col min="1" max="1" width="19.140625" bestFit="1" customWidth="1"/>
    <col min="2" max="2" width="20.7109375" bestFit="1" customWidth="1"/>
    <col min="3" max="3" width="24.28515625" bestFit="1" customWidth="1"/>
    <col min="6" max="6" width="19.140625" bestFit="1" customWidth="1"/>
    <col min="7" max="7" width="22.28515625" bestFit="1" customWidth="1"/>
    <col min="8" max="8" width="27.42578125" bestFit="1" customWidth="1"/>
    <col min="11" max="11" width="13.42578125" bestFit="1" customWidth="1"/>
    <col min="12" max="12" width="20.7109375" bestFit="1" customWidth="1"/>
    <col min="13" max="13" width="24.28515625" bestFit="1" customWidth="1"/>
    <col min="16" max="17" width="20.7109375" bestFit="1" customWidth="1"/>
    <col min="20" max="20" width="19.140625" bestFit="1" customWidth="1"/>
    <col min="21" max="22" width="20.7109375" bestFit="1" customWidth="1"/>
  </cols>
  <sheetData>
    <row r="3" spans="1:22" x14ac:dyDescent="0.25">
      <c r="A3" s="3" t="s">
        <v>1334</v>
      </c>
      <c r="B3" t="s">
        <v>1336</v>
      </c>
      <c r="C3" t="s">
        <v>1337</v>
      </c>
      <c r="F3" s="3" t="s">
        <v>1334</v>
      </c>
      <c r="G3" t="s">
        <v>1338</v>
      </c>
      <c r="H3" t="s">
        <v>1339</v>
      </c>
      <c r="K3" s="3" t="s">
        <v>1334</v>
      </c>
      <c r="L3" t="s">
        <v>1336</v>
      </c>
      <c r="M3" t="s">
        <v>1337</v>
      </c>
      <c r="T3" s="3" t="s">
        <v>1334</v>
      </c>
      <c r="U3" t="s">
        <v>1340</v>
      </c>
      <c r="V3" t="s">
        <v>1336</v>
      </c>
    </row>
    <row r="4" spans="1:22" x14ac:dyDescent="0.25">
      <c r="A4" s="4" t="s">
        <v>1134</v>
      </c>
      <c r="B4">
        <v>8532</v>
      </c>
      <c r="C4">
        <v>3069.6666666666665</v>
      </c>
      <c r="F4" s="4" t="s">
        <v>1134</v>
      </c>
      <c r="G4" s="1">
        <v>1100</v>
      </c>
      <c r="H4" s="1">
        <v>7432</v>
      </c>
      <c r="K4" s="4" t="s">
        <v>75</v>
      </c>
      <c r="L4" s="1">
        <v>64526.488215488214</v>
      </c>
      <c r="M4" s="1">
        <v>18694.07772166104</v>
      </c>
      <c r="T4" s="4" t="s">
        <v>1134</v>
      </c>
      <c r="U4" s="1">
        <v>6792</v>
      </c>
      <c r="V4" s="1">
        <v>8532</v>
      </c>
    </row>
    <row r="5" spans="1:22" x14ac:dyDescent="0.25">
      <c r="A5" s="4" t="s">
        <v>369</v>
      </c>
      <c r="B5">
        <v>13816.666666666666</v>
      </c>
      <c r="C5">
        <v>3834.5833333333335</v>
      </c>
      <c r="F5" s="4" t="s">
        <v>369</v>
      </c>
      <c r="G5" s="1">
        <v>0</v>
      </c>
      <c r="H5" s="1">
        <v>13816.666666666666</v>
      </c>
      <c r="K5" s="4" t="s">
        <v>16</v>
      </c>
      <c r="L5" s="1">
        <v>38155.450110864746</v>
      </c>
      <c r="M5" s="1">
        <v>19898.489283074647</v>
      </c>
      <c r="T5" s="4" t="s">
        <v>369</v>
      </c>
      <c r="U5" s="1">
        <v>12720</v>
      </c>
      <c r="V5" s="1">
        <v>13816.666666666666</v>
      </c>
    </row>
    <row r="6" spans="1:22" x14ac:dyDescent="0.25">
      <c r="A6" s="4" t="s">
        <v>25</v>
      </c>
      <c r="B6">
        <v>85741.279069767435</v>
      </c>
      <c r="C6">
        <v>30131.589147286821</v>
      </c>
      <c r="F6" s="4" t="s">
        <v>25</v>
      </c>
      <c r="G6" s="1">
        <v>34610.465116279069</v>
      </c>
      <c r="H6" s="1">
        <v>51130.813953488374</v>
      </c>
      <c r="K6" s="4" t="s">
        <v>122</v>
      </c>
      <c r="L6" s="1">
        <v>69115.421383647801</v>
      </c>
      <c r="M6" s="1">
        <v>16492.064989517818</v>
      </c>
      <c r="T6" s="4" t="s">
        <v>25</v>
      </c>
      <c r="U6" s="1">
        <v>48753.488372093023</v>
      </c>
      <c r="V6" s="1">
        <v>85741.279069767435</v>
      </c>
    </row>
    <row r="7" spans="1:22" x14ac:dyDescent="0.25">
      <c r="A7" s="4" t="s">
        <v>80</v>
      </c>
      <c r="B7">
        <v>29143.333333333332</v>
      </c>
      <c r="C7">
        <v>11005.37037037037</v>
      </c>
      <c r="F7" s="4" t="s">
        <v>80</v>
      </c>
      <c r="G7" s="1">
        <v>1500</v>
      </c>
      <c r="H7" s="1">
        <v>27643.333333333332</v>
      </c>
      <c r="K7" s="4" t="s">
        <v>1335</v>
      </c>
      <c r="L7" s="1">
        <v>52218.111356119072</v>
      </c>
      <c r="M7" s="1">
        <v>18906.943862550528</v>
      </c>
      <c r="T7" s="4" t="s">
        <v>80</v>
      </c>
      <c r="U7" s="1">
        <v>25333.333333333332</v>
      </c>
      <c r="V7" s="1">
        <v>29143.333333333332</v>
      </c>
    </row>
    <row r="8" spans="1:22" x14ac:dyDescent="0.25">
      <c r="A8" s="4" t="s">
        <v>1122</v>
      </c>
      <c r="B8">
        <v>33986</v>
      </c>
      <c r="C8">
        <v>10880.5</v>
      </c>
      <c r="F8" s="4" t="s">
        <v>1122</v>
      </c>
      <c r="G8" s="1">
        <v>7600</v>
      </c>
      <c r="H8" s="1">
        <v>26386</v>
      </c>
      <c r="T8" s="4" t="s">
        <v>1122</v>
      </c>
      <c r="U8" s="1">
        <v>24336</v>
      </c>
      <c r="V8" s="1">
        <v>33986</v>
      </c>
    </row>
    <row r="9" spans="1:22" x14ac:dyDescent="0.25">
      <c r="A9" s="4" t="s">
        <v>1202</v>
      </c>
      <c r="B9">
        <v>9216</v>
      </c>
      <c r="C9">
        <v>3429</v>
      </c>
      <c r="F9" s="4" t="s">
        <v>1202</v>
      </c>
      <c r="G9" s="1">
        <v>2220</v>
      </c>
      <c r="H9" s="1">
        <v>6996</v>
      </c>
      <c r="T9" s="4" t="s">
        <v>1202</v>
      </c>
      <c r="U9" s="1">
        <v>6336</v>
      </c>
      <c r="V9" s="1">
        <v>9216</v>
      </c>
    </row>
    <row r="10" spans="1:22" x14ac:dyDescent="0.25">
      <c r="A10" s="4" t="s">
        <v>84</v>
      </c>
      <c r="B10">
        <v>34761.111111111109</v>
      </c>
      <c r="C10">
        <v>12121.111111111109</v>
      </c>
      <c r="F10" s="4" t="s">
        <v>84</v>
      </c>
      <c r="G10" s="1">
        <v>3566.6666666666665</v>
      </c>
      <c r="H10" s="1">
        <v>31194.444444444445</v>
      </c>
      <c r="K10" s="3" t="s">
        <v>1334</v>
      </c>
      <c r="L10" t="s">
        <v>1336</v>
      </c>
      <c r="T10" s="4" t="s">
        <v>84</v>
      </c>
      <c r="U10" s="1">
        <v>28786.666666666668</v>
      </c>
      <c r="V10" s="1">
        <v>34761.111111111109</v>
      </c>
    </row>
    <row r="11" spans="1:22" x14ac:dyDescent="0.25">
      <c r="A11" s="4" t="s">
        <v>335</v>
      </c>
      <c r="B11">
        <v>17438.75</v>
      </c>
      <c r="C11">
        <v>6285.9375</v>
      </c>
      <c r="F11" s="4" t="s">
        <v>335</v>
      </c>
      <c r="G11" s="1">
        <v>1000</v>
      </c>
      <c r="H11" s="1">
        <v>16438.75</v>
      </c>
      <c r="K11" s="4" t="s">
        <v>1092</v>
      </c>
      <c r="L11" s="1">
        <v>5700</v>
      </c>
      <c r="T11" s="4" t="s">
        <v>335</v>
      </c>
      <c r="U11" s="1">
        <v>15240</v>
      </c>
      <c r="V11" s="1">
        <v>17438.75</v>
      </c>
    </row>
    <row r="12" spans="1:22" x14ac:dyDescent="0.25">
      <c r="A12" s="4" t="s">
        <v>1128</v>
      </c>
      <c r="B12">
        <v>14530</v>
      </c>
      <c r="C12">
        <v>5754.1666666666661</v>
      </c>
      <c r="F12" s="4" t="s">
        <v>1128</v>
      </c>
      <c r="G12" s="1">
        <v>3200</v>
      </c>
      <c r="H12" s="1">
        <v>11330</v>
      </c>
      <c r="K12" s="4" t="s">
        <v>1183</v>
      </c>
      <c r="L12" s="1">
        <v>5800</v>
      </c>
      <c r="T12" s="4" t="s">
        <v>1128</v>
      </c>
      <c r="U12" s="1">
        <v>10440</v>
      </c>
      <c r="V12" s="1">
        <v>14530</v>
      </c>
    </row>
    <row r="13" spans="1:22" x14ac:dyDescent="0.25">
      <c r="A13" s="4" t="s">
        <v>21</v>
      </c>
      <c r="B13">
        <v>73643.552631578947</v>
      </c>
      <c r="C13">
        <v>25485.531798245614</v>
      </c>
      <c r="F13" s="4" t="s">
        <v>21</v>
      </c>
      <c r="G13" s="1">
        <v>29456.57894736842</v>
      </c>
      <c r="H13" s="1">
        <v>44186.973684210527</v>
      </c>
      <c r="K13" s="4" t="s">
        <v>946</v>
      </c>
      <c r="L13" s="1">
        <v>6240</v>
      </c>
      <c r="T13" s="4" t="s">
        <v>21</v>
      </c>
      <c r="U13" s="1">
        <v>41905.26315789474</v>
      </c>
      <c r="V13" s="1">
        <v>73643.552631578947</v>
      </c>
    </row>
    <row r="14" spans="1:22" x14ac:dyDescent="0.25">
      <c r="A14" s="4" t="s">
        <v>60</v>
      </c>
      <c r="B14">
        <v>29040</v>
      </c>
      <c r="C14">
        <v>10600.944444444447</v>
      </c>
      <c r="F14" s="4" t="s">
        <v>60</v>
      </c>
      <c r="G14" s="1">
        <v>7583.333333333333</v>
      </c>
      <c r="H14" s="1">
        <v>21456.666666666668</v>
      </c>
      <c r="K14" s="4" t="s">
        <v>1257</v>
      </c>
      <c r="L14" s="1">
        <v>6580</v>
      </c>
      <c r="T14" s="4" t="s">
        <v>60</v>
      </c>
      <c r="U14" s="1">
        <v>20200</v>
      </c>
      <c r="V14" s="1">
        <v>29040</v>
      </c>
    </row>
    <row r="15" spans="1:22" x14ac:dyDescent="0.25">
      <c r="A15" s="4" t="s">
        <v>953</v>
      </c>
      <c r="B15">
        <v>15690</v>
      </c>
      <c r="C15">
        <v>5419.166666666667</v>
      </c>
      <c r="F15" s="4" t="s">
        <v>953</v>
      </c>
      <c r="G15" s="1">
        <v>3550</v>
      </c>
      <c r="H15" s="1">
        <v>12140</v>
      </c>
      <c r="K15" s="4" t="s">
        <v>1050</v>
      </c>
      <c r="L15" s="1">
        <v>6660</v>
      </c>
      <c r="T15" s="4" t="s">
        <v>953</v>
      </c>
      <c r="U15" s="1">
        <v>11160</v>
      </c>
      <c r="V15" s="1">
        <v>15690</v>
      </c>
    </row>
    <row r="16" spans="1:22" x14ac:dyDescent="0.25">
      <c r="A16" s="4" t="s">
        <v>1038</v>
      </c>
      <c r="B16">
        <v>18136.666666666668</v>
      </c>
      <c r="C16">
        <v>6497.2222222222217</v>
      </c>
      <c r="F16" s="4" t="s">
        <v>1038</v>
      </c>
      <c r="G16" s="1">
        <v>3583.3333333333335</v>
      </c>
      <c r="H16" s="1">
        <v>14553.333333333334</v>
      </c>
      <c r="K16" s="4" t="s">
        <v>1152</v>
      </c>
      <c r="L16" s="1">
        <v>6860</v>
      </c>
      <c r="T16" s="4" t="s">
        <v>1038</v>
      </c>
      <c r="U16" s="1">
        <v>13340</v>
      </c>
      <c r="V16" s="1">
        <v>18136.666666666668</v>
      </c>
    </row>
    <row r="17" spans="1:22" x14ac:dyDescent="0.25">
      <c r="A17" s="4" t="s">
        <v>1035</v>
      </c>
      <c r="B17">
        <v>26406.666666666668</v>
      </c>
      <c r="C17">
        <v>9574.1666666666661</v>
      </c>
      <c r="F17" s="4" t="s">
        <v>1035</v>
      </c>
      <c r="G17" s="1">
        <v>7750</v>
      </c>
      <c r="H17" s="1">
        <v>18656.666666666668</v>
      </c>
      <c r="K17" s="4" t="s">
        <v>1076</v>
      </c>
      <c r="L17" s="1">
        <v>6890</v>
      </c>
      <c r="T17" s="4" t="s">
        <v>1035</v>
      </c>
      <c r="U17" s="1">
        <v>17140</v>
      </c>
      <c r="V17" s="1">
        <v>26406.666666666668</v>
      </c>
    </row>
    <row r="18" spans="1:22" x14ac:dyDescent="0.25">
      <c r="A18" s="4" t="s">
        <v>116</v>
      </c>
      <c r="B18">
        <v>34500</v>
      </c>
      <c r="C18">
        <v>11500</v>
      </c>
      <c r="F18" s="4" t="s">
        <v>116</v>
      </c>
      <c r="G18" s="1">
        <v>9800</v>
      </c>
      <c r="H18" s="1">
        <v>24700</v>
      </c>
      <c r="K18" s="4" t="s">
        <v>1241</v>
      </c>
      <c r="L18" s="1">
        <v>6920</v>
      </c>
      <c r="T18" s="4" t="s">
        <v>116</v>
      </c>
      <c r="U18" s="1">
        <v>23400</v>
      </c>
      <c r="V18" s="1">
        <v>34500</v>
      </c>
    </row>
    <row r="19" spans="1:22" x14ac:dyDescent="0.25">
      <c r="A19" s="4" t="s">
        <v>56</v>
      </c>
      <c r="B19">
        <v>35621.333333333336</v>
      </c>
      <c r="C19">
        <v>14961</v>
      </c>
      <c r="F19" s="4" t="s">
        <v>56</v>
      </c>
      <c r="G19" s="1">
        <v>1720</v>
      </c>
      <c r="H19" s="1">
        <v>33901.333333333336</v>
      </c>
      <c r="K19" s="4" t="s">
        <v>925</v>
      </c>
      <c r="L19" s="1">
        <v>6920</v>
      </c>
      <c r="T19" s="4" t="s">
        <v>56</v>
      </c>
      <c r="U19" s="1">
        <v>31840</v>
      </c>
      <c r="V19" s="1">
        <v>35621.333333333336</v>
      </c>
    </row>
    <row r="20" spans="1:22" x14ac:dyDescent="0.25">
      <c r="A20" s="4" t="s">
        <v>1041</v>
      </c>
      <c r="B20">
        <v>17356</v>
      </c>
      <c r="C20">
        <v>5596</v>
      </c>
      <c r="F20" s="4" t="s">
        <v>1041</v>
      </c>
      <c r="G20" s="1">
        <v>5160</v>
      </c>
      <c r="H20" s="1">
        <v>12196</v>
      </c>
      <c r="K20" s="4" t="s">
        <v>1106</v>
      </c>
      <c r="L20" s="1">
        <v>7260</v>
      </c>
      <c r="T20" s="4" t="s">
        <v>1041</v>
      </c>
      <c r="U20" s="1">
        <v>11136</v>
      </c>
      <c r="V20" s="1">
        <v>17356</v>
      </c>
    </row>
    <row r="21" spans="1:22" x14ac:dyDescent="0.25">
      <c r="A21" s="4" t="s">
        <v>1116</v>
      </c>
      <c r="B21">
        <v>20024</v>
      </c>
      <c r="C21">
        <v>7035</v>
      </c>
      <c r="F21" s="4" t="s">
        <v>1116</v>
      </c>
      <c r="G21" s="1">
        <v>7360</v>
      </c>
      <c r="H21" s="1">
        <v>12664</v>
      </c>
      <c r="K21" s="4" t="s">
        <v>1198</v>
      </c>
      <c r="L21" s="1">
        <v>7340</v>
      </c>
      <c r="T21" s="4" t="s">
        <v>1116</v>
      </c>
      <c r="U21" s="1">
        <v>11664</v>
      </c>
      <c r="V21" s="1">
        <v>20024</v>
      </c>
    </row>
    <row r="22" spans="1:22" x14ac:dyDescent="0.25">
      <c r="A22" s="4" t="s">
        <v>366</v>
      </c>
      <c r="B22">
        <v>14844.285714285714</v>
      </c>
      <c r="C22">
        <v>4448.9285714285716</v>
      </c>
      <c r="F22" s="4" t="s">
        <v>366</v>
      </c>
      <c r="G22" s="1">
        <v>4700</v>
      </c>
      <c r="H22" s="1">
        <v>10144.285714285714</v>
      </c>
      <c r="K22" s="4" t="s">
        <v>1062</v>
      </c>
      <c r="L22" s="1">
        <v>7370</v>
      </c>
      <c r="T22" s="4" t="s">
        <v>366</v>
      </c>
      <c r="U22" s="1">
        <v>9325.7142857142862</v>
      </c>
      <c r="V22" s="1">
        <v>14844.285714285714</v>
      </c>
    </row>
    <row r="23" spans="1:22" x14ac:dyDescent="0.25">
      <c r="A23" s="4" t="s">
        <v>1223</v>
      </c>
      <c r="B23">
        <v>17474</v>
      </c>
      <c r="C23">
        <v>6090.3333333333339</v>
      </c>
      <c r="F23" s="4" t="s">
        <v>1223</v>
      </c>
      <c r="G23" s="1">
        <v>4800</v>
      </c>
      <c r="H23" s="1">
        <v>12674</v>
      </c>
      <c r="K23" s="4" t="s">
        <v>905</v>
      </c>
      <c r="L23" s="1">
        <v>7500</v>
      </c>
      <c r="T23" s="4" t="s">
        <v>1223</v>
      </c>
      <c r="U23" s="1">
        <v>11664</v>
      </c>
      <c r="V23" s="1">
        <v>17474</v>
      </c>
    </row>
    <row r="24" spans="1:22" x14ac:dyDescent="0.25">
      <c r="A24" s="4" t="s">
        <v>193</v>
      </c>
      <c r="B24">
        <v>28810.909090909092</v>
      </c>
      <c r="C24">
        <v>11072.575757575758</v>
      </c>
      <c r="F24" s="4" t="s">
        <v>193</v>
      </c>
      <c r="G24" s="1">
        <v>0</v>
      </c>
      <c r="H24" s="1">
        <v>28810.909090909092</v>
      </c>
      <c r="K24" s="4" t="s">
        <v>1033</v>
      </c>
      <c r="L24" s="1">
        <v>7960</v>
      </c>
      <c r="T24" s="4" t="s">
        <v>193</v>
      </c>
      <c r="U24" s="1">
        <v>26836.363636363636</v>
      </c>
      <c r="V24" s="1">
        <v>28810.909090909092</v>
      </c>
    </row>
    <row r="25" spans="1:22" x14ac:dyDescent="0.25">
      <c r="A25" s="4" t="s">
        <v>44</v>
      </c>
      <c r="B25">
        <v>36950.851851851854</v>
      </c>
      <c r="C25">
        <v>15594.935185185184</v>
      </c>
      <c r="F25" s="4" t="s">
        <v>44</v>
      </c>
      <c r="G25" s="1">
        <v>4633.333333333333</v>
      </c>
      <c r="H25" s="1">
        <v>32317.518518518518</v>
      </c>
      <c r="K25" s="4" t="s">
        <v>1285</v>
      </c>
      <c r="L25" s="1">
        <v>8180</v>
      </c>
      <c r="T25" s="4" t="s">
        <v>44</v>
      </c>
      <c r="U25" s="1">
        <v>30333.333333333332</v>
      </c>
      <c r="V25" s="1">
        <v>36950.851851851854</v>
      </c>
    </row>
    <row r="26" spans="1:22" x14ac:dyDescent="0.25">
      <c r="A26" s="4" t="s">
        <v>29</v>
      </c>
      <c r="B26">
        <v>30161.363636363636</v>
      </c>
      <c r="C26">
        <v>12353.005050505049</v>
      </c>
      <c r="F26" s="4" t="s">
        <v>29</v>
      </c>
      <c r="G26" s="1">
        <v>177.27272727272728</v>
      </c>
      <c r="H26" s="1">
        <v>29984.090909090908</v>
      </c>
      <c r="K26" s="4" t="s">
        <v>1335</v>
      </c>
      <c r="L26" s="1">
        <v>6945.333333333333</v>
      </c>
      <c r="T26" s="4" t="s">
        <v>29</v>
      </c>
      <c r="U26" s="1">
        <v>28018.18181818182</v>
      </c>
      <c r="V26" s="1">
        <v>30161.363636363636</v>
      </c>
    </row>
    <row r="27" spans="1:22" x14ac:dyDescent="0.25">
      <c r="A27" s="4" t="s">
        <v>1131</v>
      </c>
      <c r="B27">
        <v>12548</v>
      </c>
      <c r="C27">
        <v>4682</v>
      </c>
      <c r="F27" s="4" t="s">
        <v>1131</v>
      </c>
      <c r="G27" s="1">
        <v>4000</v>
      </c>
      <c r="H27" s="1">
        <v>8548</v>
      </c>
      <c r="T27" s="4" t="s">
        <v>1131</v>
      </c>
      <c r="U27" s="1">
        <v>7728</v>
      </c>
      <c r="V27" s="1">
        <v>12548</v>
      </c>
    </row>
    <row r="28" spans="1:22" x14ac:dyDescent="0.25">
      <c r="A28" s="4" t="s">
        <v>348</v>
      </c>
      <c r="B28">
        <v>17165.882352941175</v>
      </c>
      <c r="C28">
        <v>6414.1176470588234</v>
      </c>
      <c r="F28" s="4" t="s">
        <v>348</v>
      </c>
      <c r="G28" s="1">
        <v>147.05882352941177</v>
      </c>
      <c r="H28" s="1">
        <v>17018.823529411766</v>
      </c>
      <c r="T28" s="4" t="s">
        <v>348</v>
      </c>
      <c r="U28" s="1">
        <v>15317.64705882353</v>
      </c>
      <c r="V28" s="1">
        <v>17165.882352941175</v>
      </c>
    </row>
    <row r="29" spans="1:22" x14ac:dyDescent="0.25">
      <c r="A29" s="4" t="s">
        <v>103</v>
      </c>
      <c r="B29">
        <v>96520</v>
      </c>
      <c r="C29">
        <v>24130</v>
      </c>
      <c r="F29" s="4" t="s">
        <v>103</v>
      </c>
      <c r="G29" s="1">
        <v>22000</v>
      </c>
      <c r="H29" s="1">
        <v>74520</v>
      </c>
      <c r="T29" s="4" t="s">
        <v>103</v>
      </c>
      <c r="U29" s="1">
        <v>72000</v>
      </c>
      <c r="V29" s="1">
        <v>96520</v>
      </c>
    </row>
    <row r="30" spans="1:22" x14ac:dyDescent="0.25">
      <c r="A30" s="4" t="s">
        <v>825</v>
      </c>
      <c r="B30">
        <v>18617.5</v>
      </c>
      <c r="C30">
        <v>6995</v>
      </c>
      <c r="F30" s="4" t="s">
        <v>825</v>
      </c>
      <c r="G30" s="1">
        <v>5600</v>
      </c>
      <c r="H30" s="1">
        <v>13017.5</v>
      </c>
      <c r="T30" s="4" t="s">
        <v>825</v>
      </c>
      <c r="U30" s="1">
        <v>11640</v>
      </c>
      <c r="V30" s="1">
        <v>18617.5</v>
      </c>
    </row>
    <row r="31" spans="1:22" x14ac:dyDescent="0.25">
      <c r="A31" s="4" t="s">
        <v>950</v>
      </c>
      <c r="B31">
        <v>30340</v>
      </c>
      <c r="C31">
        <v>13162.222222222221</v>
      </c>
      <c r="F31" s="4" t="s">
        <v>950</v>
      </c>
      <c r="G31" s="1">
        <v>0</v>
      </c>
      <c r="H31" s="1">
        <v>30340</v>
      </c>
      <c r="T31" s="4" t="s">
        <v>950</v>
      </c>
      <c r="U31" s="1">
        <v>28100</v>
      </c>
      <c r="V31" s="1">
        <v>30340</v>
      </c>
    </row>
    <row r="32" spans="1:22" x14ac:dyDescent="0.25">
      <c r="A32" s="4" t="s">
        <v>156</v>
      </c>
      <c r="B32">
        <v>13842.5</v>
      </c>
      <c r="C32">
        <v>4831.25</v>
      </c>
      <c r="F32" s="4" t="s">
        <v>156</v>
      </c>
      <c r="G32" s="1">
        <v>1900</v>
      </c>
      <c r="H32" s="1">
        <v>11942.5</v>
      </c>
      <c r="T32" s="4" t="s">
        <v>156</v>
      </c>
      <c r="U32" s="1">
        <v>10860</v>
      </c>
      <c r="V32" s="1">
        <v>13842.5</v>
      </c>
    </row>
    <row r="33" spans="1:22" x14ac:dyDescent="0.25">
      <c r="A33" s="4" t="s">
        <v>372</v>
      </c>
      <c r="B33">
        <v>15892.5</v>
      </c>
      <c r="C33">
        <v>5356.25</v>
      </c>
      <c r="F33" s="4" t="s">
        <v>372</v>
      </c>
      <c r="G33" s="1">
        <v>3900</v>
      </c>
      <c r="H33" s="1">
        <v>11992.5</v>
      </c>
      <c r="T33" s="4" t="s">
        <v>372</v>
      </c>
      <c r="U33" s="1">
        <v>11070</v>
      </c>
      <c r="V33" s="1">
        <v>15892.5</v>
      </c>
    </row>
    <row r="34" spans="1:22" x14ac:dyDescent="0.25">
      <c r="A34" s="4" t="s">
        <v>1217</v>
      </c>
      <c r="B34">
        <v>15430</v>
      </c>
      <c r="C34">
        <v>5326.6666666666661</v>
      </c>
      <c r="F34" s="4" t="s">
        <v>1217</v>
      </c>
      <c r="G34" s="1">
        <v>2800</v>
      </c>
      <c r="H34" s="1">
        <v>12630</v>
      </c>
      <c r="T34" s="4" t="s">
        <v>1217</v>
      </c>
      <c r="U34" s="1">
        <v>11640</v>
      </c>
      <c r="V34" s="1">
        <v>15430</v>
      </c>
    </row>
    <row r="35" spans="1:22" x14ac:dyDescent="0.25">
      <c r="A35" s="4" t="s">
        <v>68</v>
      </c>
      <c r="B35">
        <v>58805</v>
      </c>
      <c r="C35">
        <v>22518.75</v>
      </c>
      <c r="F35" s="4" t="s">
        <v>68</v>
      </c>
      <c r="G35" s="1">
        <v>17890</v>
      </c>
      <c r="H35" s="1">
        <v>40915</v>
      </c>
      <c r="T35" s="4" t="s">
        <v>68</v>
      </c>
      <c r="U35" s="1">
        <v>38640</v>
      </c>
      <c r="V35" s="1">
        <v>58805</v>
      </c>
    </row>
    <row r="36" spans="1:22" x14ac:dyDescent="0.25">
      <c r="A36" s="4" t="s">
        <v>109</v>
      </c>
      <c r="B36">
        <v>57750</v>
      </c>
      <c r="C36">
        <v>19250</v>
      </c>
      <c r="F36" s="4" t="s">
        <v>109</v>
      </c>
      <c r="G36" s="1">
        <v>12000</v>
      </c>
      <c r="H36" s="1">
        <v>45750</v>
      </c>
      <c r="T36" s="4" t="s">
        <v>109</v>
      </c>
      <c r="U36" s="1">
        <v>43200</v>
      </c>
      <c r="V36" s="1">
        <v>57750</v>
      </c>
    </row>
    <row r="37" spans="1:22" x14ac:dyDescent="0.25">
      <c r="A37" s="4" t="s">
        <v>187</v>
      </c>
      <c r="B37">
        <v>36317.058823529413</v>
      </c>
      <c r="C37">
        <v>13870.49019607843</v>
      </c>
      <c r="F37" s="4" t="s">
        <v>187</v>
      </c>
      <c r="G37" s="1">
        <v>3576.4705882352941</v>
      </c>
      <c r="H37" s="1">
        <v>32740.588235294119</v>
      </c>
      <c r="T37" s="4" t="s">
        <v>187</v>
      </c>
      <c r="U37" s="1">
        <v>30776.470588235294</v>
      </c>
      <c r="V37" s="1">
        <v>36317.058823529413</v>
      </c>
    </row>
    <row r="38" spans="1:22" x14ac:dyDescent="0.25">
      <c r="A38" s="4" t="s">
        <v>33</v>
      </c>
      <c r="B38">
        <v>36282.5</v>
      </c>
      <c r="C38">
        <v>12989.583333333334</v>
      </c>
      <c r="F38" s="4" t="s">
        <v>33</v>
      </c>
      <c r="G38" s="1">
        <v>7875</v>
      </c>
      <c r="H38" s="1">
        <v>28407.5</v>
      </c>
      <c r="T38" s="4" t="s">
        <v>33</v>
      </c>
      <c r="U38" s="1">
        <v>26000</v>
      </c>
      <c r="V38" s="1">
        <v>36282.5</v>
      </c>
    </row>
    <row r="39" spans="1:22" x14ac:dyDescent="0.25">
      <c r="A39" s="4" t="s">
        <v>1205</v>
      </c>
      <c r="B39">
        <v>35936</v>
      </c>
      <c r="C39">
        <v>14100.333333333332</v>
      </c>
      <c r="F39" s="4" t="s">
        <v>1205</v>
      </c>
      <c r="G39" s="1">
        <v>11800</v>
      </c>
      <c r="H39" s="1">
        <v>24136</v>
      </c>
      <c r="T39" s="4" t="s">
        <v>1205</v>
      </c>
      <c r="U39" s="1">
        <v>22176</v>
      </c>
      <c r="V39" s="1">
        <v>35936</v>
      </c>
    </row>
    <row r="40" spans="1:22" x14ac:dyDescent="0.25">
      <c r="A40" s="4" t="s">
        <v>1119</v>
      </c>
      <c r="B40">
        <v>31062</v>
      </c>
      <c r="C40">
        <v>12498</v>
      </c>
      <c r="F40" s="4" t="s">
        <v>1119</v>
      </c>
      <c r="G40" s="1">
        <v>14200</v>
      </c>
      <c r="H40" s="1">
        <v>16862</v>
      </c>
      <c r="T40" s="4" t="s">
        <v>1119</v>
      </c>
      <c r="U40" s="1">
        <v>15312</v>
      </c>
      <c r="V40" s="1">
        <v>31062</v>
      </c>
    </row>
    <row r="41" spans="1:22" x14ac:dyDescent="0.25">
      <c r="A41" s="4" t="s">
        <v>959</v>
      </c>
      <c r="B41">
        <v>34557.142857142855</v>
      </c>
      <c r="C41">
        <v>15254.761904761905</v>
      </c>
      <c r="F41" s="4" t="s">
        <v>959</v>
      </c>
      <c r="G41" s="1">
        <v>400</v>
      </c>
      <c r="H41" s="1">
        <v>34157.142857142855</v>
      </c>
      <c r="T41" s="4" t="s">
        <v>959</v>
      </c>
      <c r="U41" s="1">
        <v>32228.571428571428</v>
      </c>
      <c r="V41" s="1">
        <v>34557.142857142855</v>
      </c>
    </row>
    <row r="42" spans="1:22" x14ac:dyDescent="0.25">
      <c r="A42" s="4" t="s">
        <v>168</v>
      </c>
      <c r="B42">
        <v>23531</v>
      </c>
      <c r="C42">
        <v>8364.9166666666679</v>
      </c>
      <c r="F42" s="4" t="s">
        <v>168</v>
      </c>
      <c r="G42" s="1">
        <v>7220</v>
      </c>
      <c r="H42" s="1">
        <v>16311</v>
      </c>
      <c r="T42" s="4" t="s">
        <v>168</v>
      </c>
      <c r="U42" s="1">
        <v>15072</v>
      </c>
      <c r="V42" s="1">
        <v>23531</v>
      </c>
    </row>
    <row r="43" spans="1:22" x14ac:dyDescent="0.25">
      <c r="A43" s="4" t="s">
        <v>345</v>
      </c>
      <c r="B43">
        <v>26171.111111111109</v>
      </c>
      <c r="C43">
        <v>8708.8888888888887</v>
      </c>
      <c r="F43" s="4" t="s">
        <v>345</v>
      </c>
      <c r="G43" s="1">
        <v>5700</v>
      </c>
      <c r="H43" s="1">
        <v>20471.111111111109</v>
      </c>
      <c r="T43" s="4" t="s">
        <v>345</v>
      </c>
      <c r="U43" s="1">
        <v>19173.333333333332</v>
      </c>
      <c r="V43" s="1">
        <v>26171.111111111109</v>
      </c>
    </row>
    <row r="44" spans="1:22" x14ac:dyDescent="0.25">
      <c r="A44" s="4" t="s">
        <v>1044</v>
      </c>
      <c r="B44">
        <v>12970</v>
      </c>
      <c r="C44">
        <v>4361.25</v>
      </c>
      <c r="F44" s="4" t="s">
        <v>1044</v>
      </c>
      <c r="G44" s="1">
        <v>1950</v>
      </c>
      <c r="H44" s="1">
        <v>11020</v>
      </c>
      <c r="T44" s="4" t="s">
        <v>1044</v>
      </c>
      <c r="U44" s="1">
        <v>10200</v>
      </c>
      <c r="V44" s="1">
        <v>12970</v>
      </c>
    </row>
    <row r="45" spans="1:22" x14ac:dyDescent="0.25">
      <c r="A45" s="4" t="s">
        <v>37</v>
      </c>
      <c r="B45">
        <v>45917.523809523809</v>
      </c>
      <c r="C45">
        <v>19028.809523809519</v>
      </c>
      <c r="F45" s="4" t="s">
        <v>37</v>
      </c>
      <c r="G45" s="1">
        <v>13523.809523809523</v>
      </c>
      <c r="H45" s="1">
        <v>32393.714285714286</v>
      </c>
      <c r="T45" s="4" t="s">
        <v>37</v>
      </c>
      <c r="U45" s="1">
        <v>30400</v>
      </c>
      <c r="V45" s="1">
        <v>45917.523809523809</v>
      </c>
    </row>
    <row r="46" spans="1:22" x14ac:dyDescent="0.25">
      <c r="A46" s="4" t="s">
        <v>76</v>
      </c>
      <c r="B46">
        <v>62987.222222222219</v>
      </c>
      <c r="C46">
        <v>24788.703703703704</v>
      </c>
      <c r="F46" s="4" t="s">
        <v>76</v>
      </c>
      <c r="G46" s="1">
        <v>29333.333333333332</v>
      </c>
      <c r="H46" s="1">
        <v>33653.888888888891</v>
      </c>
      <c r="T46" s="4" t="s">
        <v>76</v>
      </c>
      <c r="U46" s="1">
        <v>31733.333333333332</v>
      </c>
      <c r="V46" s="1">
        <v>62987.222222222219</v>
      </c>
    </row>
    <row r="47" spans="1:22" x14ac:dyDescent="0.25">
      <c r="A47" s="4" t="s">
        <v>378</v>
      </c>
      <c r="B47">
        <v>23080</v>
      </c>
      <c r="C47">
        <v>5770</v>
      </c>
      <c r="F47" s="4" t="s">
        <v>378</v>
      </c>
      <c r="G47" s="1">
        <v>2500</v>
      </c>
      <c r="H47" s="1">
        <v>20580</v>
      </c>
      <c r="T47" s="4" t="s">
        <v>378</v>
      </c>
      <c r="U47" s="1">
        <v>19200</v>
      </c>
      <c r="V47" s="1">
        <v>23080</v>
      </c>
    </row>
    <row r="48" spans="1:22" x14ac:dyDescent="0.25">
      <c r="A48" s="4" t="s">
        <v>196</v>
      </c>
      <c r="B48">
        <v>33339.545454545456</v>
      </c>
      <c r="C48">
        <v>13226.060606060608</v>
      </c>
      <c r="F48" s="4" t="s">
        <v>196</v>
      </c>
      <c r="G48" s="1">
        <v>0</v>
      </c>
      <c r="H48" s="1">
        <v>33339.545454545456</v>
      </c>
      <c r="T48" s="4" t="s">
        <v>196</v>
      </c>
      <c r="U48" s="1">
        <v>31363.636363636364</v>
      </c>
      <c r="V48" s="1">
        <v>33339.545454545456</v>
      </c>
    </row>
    <row r="49" spans="1:22" x14ac:dyDescent="0.25">
      <c r="A49" s="4" t="s">
        <v>1137</v>
      </c>
      <c r="B49">
        <v>21276</v>
      </c>
      <c r="C49">
        <v>8427</v>
      </c>
      <c r="F49" s="4" t="s">
        <v>1137</v>
      </c>
      <c r="G49" s="1">
        <v>6600</v>
      </c>
      <c r="H49" s="1">
        <v>14676</v>
      </c>
      <c r="T49" s="4" t="s">
        <v>1137</v>
      </c>
      <c r="U49" s="1">
        <v>13536</v>
      </c>
      <c r="V49" s="1">
        <v>21276</v>
      </c>
    </row>
    <row r="50" spans="1:22" x14ac:dyDescent="0.25">
      <c r="A50" s="4" t="s">
        <v>1047</v>
      </c>
      <c r="B50">
        <v>18620</v>
      </c>
      <c r="C50">
        <v>6605</v>
      </c>
      <c r="F50" s="4" t="s">
        <v>1047</v>
      </c>
      <c r="G50" s="1">
        <v>7250</v>
      </c>
      <c r="H50" s="1">
        <v>11370</v>
      </c>
      <c r="T50" s="4" t="s">
        <v>1047</v>
      </c>
      <c r="U50" s="1">
        <v>10200</v>
      </c>
      <c r="V50" s="1">
        <v>18620</v>
      </c>
    </row>
    <row r="51" spans="1:22" x14ac:dyDescent="0.25">
      <c r="A51" s="4" t="s">
        <v>161</v>
      </c>
      <c r="B51">
        <v>21880</v>
      </c>
      <c r="C51">
        <v>8377.2916666666661</v>
      </c>
      <c r="F51" s="4" t="s">
        <v>161</v>
      </c>
      <c r="G51" s="1">
        <v>2762.5</v>
      </c>
      <c r="H51" s="1">
        <v>19117.5</v>
      </c>
      <c r="T51" s="4" t="s">
        <v>161</v>
      </c>
      <c r="U51" s="1">
        <v>18000</v>
      </c>
      <c r="V51" s="1">
        <v>21880</v>
      </c>
    </row>
    <row r="52" spans="1:22" x14ac:dyDescent="0.25">
      <c r="A52" s="4" t="s">
        <v>105</v>
      </c>
      <c r="B52">
        <v>24832.222222222223</v>
      </c>
      <c r="C52">
        <v>9961.8055555555547</v>
      </c>
      <c r="F52" s="4" t="s">
        <v>105</v>
      </c>
      <c r="G52" s="1">
        <v>5900</v>
      </c>
      <c r="H52" s="1">
        <v>18932.222222222223</v>
      </c>
      <c r="T52" s="4" t="s">
        <v>105</v>
      </c>
      <c r="U52" s="1">
        <v>17813.333333333332</v>
      </c>
      <c r="V52" s="1">
        <v>24832.222222222223</v>
      </c>
    </row>
    <row r="53" spans="1:22" x14ac:dyDescent="0.25">
      <c r="A53" s="4" t="s">
        <v>956</v>
      </c>
      <c r="B53">
        <v>16264.285714285714</v>
      </c>
      <c r="C53">
        <v>5529.0476190476184</v>
      </c>
      <c r="F53" s="4" t="s">
        <v>956</v>
      </c>
      <c r="G53" s="1">
        <v>2185.7142857142858</v>
      </c>
      <c r="H53" s="1">
        <v>14078.571428571429</v>
      </c>
      <c r="T53" s="4" t="s">
        <v>956</v>
      </c>
      <c r="U53" s="1">
        <v>12908.571428571429</v>
      </c>
      <c r="V53" s="1">
        <v>16264.285714285714</v>
      </c>
    </row>
    <row r="54" spans="1:22" x14ac:dyDescent="0.25">
      <c r="A54" s="4" t="s">
        <v>341</v>
      </c>
      <c r="B54">
        <v>21468.888888888891</v>
      </c>
      <c r="C54">
        <v>7707.2222222222226</v>
      </c>
      <c r="F54" s="4" t="s">
        <v>341</v>
      </c>
      <c r="G54" s="1">
        <v>4622.2222222222226</v>
      </c>
      <c r="H54" s="1">
        <v>16846.666666666668</v>
      </c>
      <c r="T54" s="4" t="s">
        <v>341</v>
      </c>
      <c r="U54" s="1">
        <v>15546.666666666666</v>
      </c>
      <c r="V54" s="1">
        <v>21468.888888888891</v>
      </c>
    </row>
    <row r="55" spans="1:22" x14ac:dyDescent="0.25">
      <c r="A55" s="4" t="s">
        <v>375</v>
      </c>
      <c r="B55">
        <v>29971</v>
      </c>
      <c r="C55">
        <v>10989.5</v>
      </c>
      <c r="F55" s="4" t="s">
        <v>375</v>
      </c>
      <c r="G55" s="1">
        <v>4790</v>
      </c>
      <c r="H55" s="1">
        <v>25181</v>
      </c>
      <c r="T55" s="4" t="s">
        <v>375</v>
      </c>
      <c r="U55" s="1">
        <v>22776</v>
      </c>
      <c r="V55" s="1">
        <v>29971</v>
      </c>
    </row>
    <row r="56" spans="1:22" x14ac:dyDescent="0.25">
      <c r="A56" s="4" t="s">
        <v>1214</v>
      </c>
      <c r="B56">
        <v>13682</v>
      </c>
      <c r="C56">
        <v>5014</v>
      </c>
      <c r="F56" s="4" t="s">
        <v>1214</v>
      </c>
      <c r="G56" s="1">
        <v>2520</v>
      </c>
      <c r="H56" s="1">
        <v>11162</v>
      </c>
      <c r="T56" s="4" t="s">
        <v>1214</v>
      </c>
      <c r="U56" s="1">
        <v>10176</v>
      </c>
      <c r="V56" s="1">
        <v>13682</v>
      </c>
    </row>
    <row r="57" spans="1:22" x14ac:dyDescent="0.25">
      <c r="A57" s="4" t="s">
        <v>41</v>
      </c>
      <c r="B57">
        <v>89517.777777777781</v>
      </c>
      <c r="C57">
        <v>29967.268518518522</v>
      </c>
      <c r="F57" s="4" t="s">
        <v>41</v>
      </c>
      <c r="G57" s="1">
        <v>34172.222222222219</v>
      </c>
      <c r="H57" s="1">
        <v>55345.555555555555</v>
      </c>
      <c r="T57" s="4" t="s">
        <v>41</v>
      </c>
      <c r="U57" s="1">
        <v>52700</v>
      </c>
      <c r="V57" s="1">
        <v>89517.777777777781</v>
      </c>
    </row>
    <row r="58" spans="1:22" x14ac:dyDescent="0.25">
      <c r="A58" s="4" t="s">
        <v>1211</v>
      </c>
      <c r="B58">
        <v>20120</v>
      </c>
      <c r="C58">
        <v>7222.333333333333</v>
      </c>
      <c r="F58" s="4" t="s">
        <v>1211</v>
      </c>
      <c r="G58" s="1">
        <v>4140</v>
      </c>
      <c r="H58" s="1">
        <v>15980</v>
      </c>
      <c r="T58" s="4" t="s">
        <v>1211</v>
      </c>
      <c r="U58" s="1">
        <v>14640</v>
      </c>
      <c r="V58" s="1">
        <v>20120</v>
      </c>
    </row>
    <row r="59" spans="1:22" x14ac:dyDescent="0.25">
      <c r="A59" s="4" t="s">
        <v>363</v>
      </c>
      <c r="B59">
        <v>28840</v>
      </c>
      <c r="C59">
        <v>9613.3333333333339</v>
      </c>
      <c r="F59" s="4" t="s">
        <v>363</v>
      </c>
      <c r="G59" s="1">
        <v>5900</v>
      </c>
      <c r="H59" s="1">
        <v>22940</v>
      </c>
      <c r="T59" s="4" t="s">
        <v>363</v>
      </c>
      <c r="U59" s="1">
        <v>21600</v>
      </c>
      <c r="V59" s="1">
        <v>28840</v>
      </c>
    </row>
    <row r="60" spans="1:22" x14ac:dyDescent="0.25">
      <c r="A60" s="4" t="s">
        <v>64</v>
      </c>
      <c r="B60">
        <v>25216.956521739132</v>
      </c>
      <c r="C60">
        <v>11692.608695652174</v>
      </c>
      <c r="F60" s="4" t="s">
        <v>64</v>
      </c>
      <c r="G60" s="1">
        <v>5982.608695652174</v>
      </c>
      <c r="H60" s="1">
        <v>19234.347826086956</v>
      </c>
      <c r="T60" s="4" t="s">
        <v>64</v>
      </c>
      <c r="U60" s="1">
        <v>17530.434782608696</v>
      </c>
      <c r="V60" s="1">
        <v>25216.956521739132</v>
      </c>
    </row>
    <row r="61" spans="1:22" x14ac:dyDescent="0.25">
      <c r="A61" s="4" t="s">
        <v>184</v>
      </c>
      <c r="B61">
        <v>32322.941176470587</v>
      </c>
      <c r="C61">
        <v>11833.823529411764</v>
      </c>
      <c r="F61" s="4" t="s">
        <v>184</v>
      </c>
      <c r="G61" s="1">
        <v>3188.2352941176468</v>
      </c>
      <c r="H61" s="1">
        <v>29134.705882352941</v>
      </c>
      <c r="T61" s="4" t="s">
        <v>184</v>
      </c>
      <c r="U61" s="1">
        <v>27035.294117647059</v>
      </c>
      <c r="V61" s="1">
        <v>32322.941176470587</v>
      </c>
    </row>
    <row r="62" spans="1:22" x14ac:dyDescent="0.25">
      <c r="A62" s="4" t="s">
        <v>52</v>
      </c>
      <c r="B62">
        <v>30838</v>
      </c>
      <c r="C62">
        <v>11829.25</v>
      </c>
      <c r="F62" s="4" t="s">
        <v>52</v>
      </c>
      <c r="G62" s="1">
        <v>0</v>
      </c>
      <c r="H62" s="1">
        <v>30838</v>
      </c>
      <c r="T62" s="4" t="s">
        <v>52</v>
      </c>
      <c r="U62" s="1">
        <v>28980</v>
      </c>
      <c r="V62" s="1">
        <v>30838</v>
      </c>
    </row>
    <row r="63" spans="1:22" x14ac:dyDescent="0.25">
      <c r="A63" s="4" t="s">
        <v>48</v>
      </c>
      <c r="B63">
        <v>53408.800000000003</v>
      </c>
      <c r="C63">
        <v>22174.616666666669</v>
      </c>
      <c r="F63" s="4" t="s">
        <v>48</v>
      </c>
      <c r="G63" s="1">
        <v>1460</v>
      </c>
      <c r="H63" s="1">
        <v>51948.800000000003</v>
      </c>
      <c r="T63" s="4" t="s">
        <v>48</v>
      </c>
      <c r="U63" s="1">
        <v>48960</v>
      </c>
      <c r="V63" s="1">
        <v>53408.800000000003</v>
      </c>
    </row>
    <row r="64" spans="1:22" x14ac:dyDescent="0.25">
      <c r="A64" s="4" t="s">
        <v>112</v>
      </c>
      <c r="B64">
        <v>40740</v>
      </c>
      <c r="C64">
        <v>10185</v>
      </c>
      <c r="F64" s="4" t="s">
        <v>112</v>
      </c>
      <c r="G64" s="1">
        <v>5200</v>
      </c>
      <c r="H64" s="1">
        <v>35540</v>
      </c>
      <c r="T64" s="4" t="s">
        <v>112</v>
      </c>
      <c r="U64" s="1">
        <v>33600</v>
      </c>
      <c r="V64" s="1">
        <v>40740</v>
      </c>
    </row>
    <row r="65" spans="1:22" x14ac:dyDescent="0.25">
      <c r="A65" s="4" t="s">
        <v>351</v>
      </c>
      <c r="B65">
        <v>22662.5</v>
      </c>
      <c r="C65">
        <v>8144.375</v>
      </c>
      <c r="F65" s="4" t="s">
        <v>351</v>
      </c>
      <c r="G65" s="1">
        <v>9850</v>
      </c>
      <c r="H65" s="1">
        <v>12812.5</v>
      </c>
      <c r="T65" s="4" t="s">
        <v>351</v>
      </c>
      <c r="U65" s="1">
        <v>11700</v>
      </c>
      <c r="V65" s="1">
        <v>22662.5</v>
      </c>
    </row>
    <row r="66" spans="1:22" x14ac:dyDescent="0.25">
      <c r="A66" s="4" t="s">
        <v>1032</v>
      </c>
      <c r="B66">
        <v>7773.333333333333</v>
      </c>
      <c r="C66">
        <v>3008.0555555555561</v>
      </c>
      <c r="F66" s="4" t="s">
        <v>1032</v>
      </c>
      <c r="G66" s="1">
        <v>1400</v>
      </c>
      <c r="H66" s="1">
        <v>6373.333333333333</v>
      </c>
      <c r="T66" s="4" t="s">
        <v>1032</v>
      </c>
      <c r="U66" s="1">
        <v>5780</v>
      </c>
      <c r="V66" s="1">
        <v>7773.333333333333</v>
      </c>
    </row>
    <row r="67" spans="1:22" x14ac:dyDescent="0.25">
      <c r="A67" s="4" t="s">
        <v>338</v>
      </c>
      <c r="B67">
        <v>17982.222222222223</v>
      </c>
      <c r="C67">
        <v>5942.2222222222226</v>
      </c>
      <c r="F67" s="4" t="s">
        <v>338</v>
      </c>
      <c r="G67" s="1">
        <v>1277.7777777777778</v>
      </c>
      <c r="H67" s="1">
        <v>16704.444444444445</v>
      </c>
      <c r="T67" s="4" t="s">
        <v>338</v>
      </c>
      <c r="U67" s="1">
        <v>15146.666666666666</v>
      </c>
      <c r="V67" s="1">
        <v>17982.222222222223</v>
      </c>
    </row>
    <row r="68" spans="1:22" x14ac:dyDescent="0.25">
      <c r="A68" s="4" t="s">
        <v>354</v>
      </c>
      <c r="B68">
        <v>59182.5</v>
      </c>
      <c r="C68">
        <v>20741.875</v>
      </c>
      <c r="F68" s="4" t="s">
        <v>354</v>
      </c>
      <c r="G68" s="1">
        <v>24687.5</v>
      </c>
      <c r="H68" s="1">
        <v>34495</v>
      </c>
      <c r="T68" s="4" t="s">
        <v>354</v>
      </c>
      <c r="U68" s="1">
        <v>31950</v>
      </c>
      <c r="V68" s="1">
        <v>59182.5</v>
      </c>
    </row>
    <row r="69" spans="1:22" x14ac:dyDescent="0.25">
      <c r="A69" s="4" t="s">
        <v>17</v>
      </c>
      <c r="B69">
        <v>73048.978494623661</v>
      </c>
      <c r="C69">
        <v>29568.745519713284</v>
      </c>
      <c r="F69" s="4" t="s">
        <v>17</v>
      </c>
      <c r="G69" s="1">
        <v>30341.935483870966</v>
      </c>
      <c r="H69" s="1">
        <v>42707.043010752692</v>
      </c>
      <c r="T69" s="4" t="s">
        <v>17</v>
      </c>
      <c r="U69" s="1">
        <v>40025.806451612902</v>
      </c>
      <c r="V69" s="1">
        <v>73048.978494623661</v>
      </c>
    </row>
    <row r="70" spans="1:22" x14ac:dyDescent="0.25">
      <c r="A70" s="4" t="s">
        <v>1208</v>
      </c>
      <c r="B70">
        <v>16096</v>
      </c>
      <c r="C70">
        <v>5818</v>
      </c>
      <c r="F70" s="4" t="s">
        <v>1208</v>
      </c>
      <c r="G70" s="1">
        <v>3520</v>
      </c>
      <c r="H70" s="1">
        <v>12576</v>
      </c>
      <c r="T70" s="4" t="s">
        <v>1208</v>
      </c>
      <c r="U70" s="1">
        <v>11616</v>
      </c>
      <c r="V70" s="1">
        <v>16096</v>
      </c>
    </row>
    <row r="71" spans="1:22" x14ac:dyDescent="0.25">
      <c r="A71" s="4" t="s">
        <v>1125</v>
      </c>
      <c r="B71">
        <v>16778</v>
      </c>
      <c r="C71">
        <v>6320</v>
      </c>
      <c r="F71" s="4" t="s">
        <v>1125</v>
      </c>
      <c r="G71" s="1">
        <v>2700</v>
      </c>
      <c r="H71" s="1">
        <v>14078</v>
      </c>
      <c r="T71" s="4" t="s">
        <v>1125</v>
      </c>
      <c r="U71" s="1">
        <v>13008</v>
      </c>
      <c r="V71" s="1">
        <v>16778</v>
      </c>
    </row>
    <row r="72" spans="1:22" x14ac:dyDescent="0.25">
      <c r="A72" s="4" t="s">
        <v>12</v>
      </c>
      <c r="B72">
        <v>127748.46153846153</v>
      </c>
      <c r="C72">
        <v>40607.717948717946</v>
      </c>
      <c r="F72" s="4" t="s">
        <v>12</v>
      </c>
      <c r="G72" s="1">
        <v>47742.307692307695</v>
      </c>
      <c r="H72" s="1">
        <v>80006.153846153844</v>
      </c>
      <c r="T72" s="4" t="s">
        <v>12</v>
      </c>
      <c r="U72" s="1">
        <v>74769.230769230766</v>
      </c>
      <c r="V72" s="1">
        <v>127748.46153846153</v>
      </c>
    </row>
    <row r="73" spans="1:22" x14ac:dyDescent="0.25">
      <c r="A73" s="4" t="s">
        <v>1220</v>
      </c>
      <c r="B73">
        <v>12496</v>
      </c>
      <c r="C73">
        <v>4499</v>
      </c>
      <c r="F73" s="4" t="s">
        <v>1220</v>
      </c>
      <c r="G73" s="1">
        <v>3620</v>
      </c>
      <c r="H73" s="1">
        <v>8876</v>
      </c>
      <c r="T73" s="4" t="s">
        <v>1220</v>
      </c>
      <c r="U73" s="1">
        <v>8016</v>
      </c>
      <c r="V73" s="1">
        <v>12496</v>
      </c>
    </row>
    <row r="74" spans="1:22" x14ac:dyDescent="0.25">
      <c r="A74" s="4" t="s">
        <v>381</v>
      </c>
      <c r="B74">
        <v>25920</v>
      </c>
      <c r="C74">
        <v>6480</v>
      </c>
      <c r="F74" s="4" t="s">
        <v>381</v>
      </c>
      <c r="G74" s="1">
        <v>3200</v>
      </c>
      <c r="H74" s="1">
        <v>22720</v>
      </c>
      <c r="T74" s="4" t="s">
        <v>381</v>
      </c>
      <c r="U74" s="1">
        <v>21600</v>
      </c>
      <c r="V74" s="1">
        <v>25920</v>
      </c>
    </row>
    <row r="75" spans="1:22" x14ac:dyDescent="0.25">
      <c r="A75" s="4" t="s">
        <v>1335</v>
      </c>
      <c r="B75">
        <v>52218.111356119072</v>
      </c>
      <c r="C75">
        <v>18906.943862550524</v>
      </c>
      <c r="F75" s="4" t="s">
        <v>1335</v>
      </c>
      <c r="G75" s="1">
        <v>16705.016538037486</v>
      </c>
      <c r="H75" s="1">
        <v>35513.09481808159</v>
      </c>
      <c r="T75" s="4" t="s">
        <v>1335</v>
      </c>
      <c r="U75" s="1">
        <v>33295.832414553472</v>
      </c>
      <c r="V75" s="1">
        <v>52218.111356119072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7867-B25B-4728-8FB1-DAF051B0ACF5}">
  <dimension ref="A1:Q908"/>
  <sheetViews>
    <sheetView tabSelected="1" topLeftCell="G1" workbookViewId="0">
      <selection activeCell="M2" sqref="M2"/>
    </sheetView>
  </sheetViews>
  <sheetFormatPr defaultRowHeight="15" x14ac:dyDescent="0.25"/>
  <cols>
    <col min="1" max="1" width="19.140625" bestFit="1" customWidth="1"/>
    <col min="2" max="2" width="19.28515625" bestFit="1" customWidth="1"/>
    <col min="3" max="3" width="46.7109375" bestFit="1" customWidth="1"/>
    <col min="4" max="4" width="25.28515625" bestFit="1" customWidth="1"/>
    <col min="5" max="5" width="8.85546875" bestFit="1" customWidth="1"/>
    <col min="6" max="6" width="17.140625" bestFit="1" customWidth="1"/>
    <col min="7" max="7" width="14.28515625" style="1" bestFit="1" customWidth="1"/>
    <col min="8" max="8" width="19.85546875" bestFit="1" customWidth="1"/>
    <col min="9" max="9" width="12.28515625" style="1" bestFit="1" customWidth="1"/>
    <col min="10" max="10" width="16" style="1" bestFit="1" customWidth="1"/>
    <col min="11" max="11" width="17" style="1" bestFit="1" customWidth="1"/>
    <col min="12" max="12" width="18.28515625" customWidth="1"/>
    <col min="13" max="13" width="14.28515625" style="1" customWidth="1"/>
    <col min="14" max="14" width="16.7109375" style="1" customWidth="1"/>
    <col min="15" max="15" width="14.7109375" style="1" customWidth="1"/>
    <col min="16" max="16" width="21.42578125" style="1" customWidth="1"/>
    <col min="17" max="17" width="20.140625" style="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1329</v>
      </c>
      <c r="N1" s="1" t="s">
        <v>1330</v>
      </c>
      <c r="O1" s="1" t="s">
        <v>1331</v>
      </c>
      <c r="P1" s="1" t="s">
        <v>1332</v>
      </c>
      <c r="Q1" s="2" t="s">
        <v>1333</v>
      </c>
    </row>
    <row r="2" spans="1:1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 s="1">
        <v>55400</v>
      </c>
      <c r="H2">
        <v>83.5</v>
      </c>
      <c r="I2" s="1">
        <v>2200</v>
      </c>
      <c r="J2" s="1">
        <v>160</v>
      </c>
      <c r="K2" s="1">
        <v>1500</v>
      </c>
      <c r="L2">
        <v>1</v>
      </c>
      <c r="M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111360</v>
      </c>
      <c r="N2" s="1">
        <f>International_Education_Costs[[#This Row],[Total_Cost]]/International_Education_Costs[[#This Row],[Duration_Years]]</f>
        <v>55680</v>
      </c>
      <c r="O2" s="1">
        <f>International_Education_Costs[[#This Row],[Rent_USD]] * 12 * International_Education_Costs[[#This Row],[Duration_Years]]</f>
        <v>52800</v>
      </c>
      <c r="P2" s="1">
        <f>International_Education_Costs[[#This Row],[Total_Cost]]-International_Education_Costs[[#This Row],[Tuition_USD]]</f>
        <v>55960</v>
      </c>
      <c r="Q2" s="2">
        <f>International_Education_Costs[[#This Row],[Tuition_USD]]/International_Education_Costs[[#This Row],[Total_Cost]]</f>
        <v>0.49748563218390807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16</v>
      </c>
      <c r="F3">
        <v>1</v>
      </c>
      <c r="G3" s="1">
        <v>41200</v>
      </c>
      <c r="H3">
        <v>75.8</v>
      </c>
      <c r="I3" s="1">
        <v>1800</v>
      </c>
      <c r="J3" s="1">
        <v>485</v>
      </c>
      <c r="K3" s="1">
        <v>800</v>
      </c>
      <c r="L3">
        <v>0.79</v>
      </c>
      <c r="M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64085</v>
      </c>
      <c r="N3" s="1">
        <f>International_Education_Costs[[#This Row],[Total_Cost]]/International_Education_Costs[[#This Row],[Duration_Years]]</f>
        <v>64085</v>
      </c>
      <c r="O3" s="1">
        <f>International_Education_Costs[[#This Row],[Rent_USD]] * 12 * International_Education_Costs[[#This Row],[Duration_Years]]</f>
        <v>21600</v>
      </c>
      <c r="P3" s="1">
        <f>International_Education_Costs[[#This Row],[Total_Cost]]-International_Education_Costs[[#This Row],[Tuition_USD]]</f>
        <v>22885</v>
      </c>
      <c r="Q3" s="2">
        <f>International_Education_Costs[[#This Row],[Tuition_USD]]/International_Education_Costs[[#This Row],[Total_Cost]]</f>
        <v>0.64289615354607166</v>
      </c>
    </row>
    <row r="4" spans="1:17" x14ac:dyDescent="0.25">
      <c r="A4" t="s">
        <v>21</v>
      </c>
      <c r="B4" t="s">
        <v>22</v>
      </c>
      <c r="C4" t="s">
        <v>23</v>
      </c>
      <c r="D4" t="s">
        <v>24</v>
      </c>
      <c r="E4" t="s">
        <v>16</v>
      </c>
      <c r="F4">
        <v>2</v>
      </c>
      <c r="G4" s="1">
        <v>38500</v>
      </c>
      <c r="H4">
        <v>72.5</v>
      </c>
      <c r="I4" s="1">
        <v>1600</v>
      </c>
      <c r="J4" s="1">
        <v>235</v>
      </c>
      <c r="K4" s="1">
        <v>900</v>
      </c>
      <c r="L4">
        <v>1.35</v>
      </c>
      <c r="M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78935</v>
      </c>
      <c r="N4" s="1">
        <f>International_Education_Costs[[#This Row],[Total_Cost]]/International_Education_Costs[[#This Row],[Duration_Years]]</f>
        <v>39467.5</v>
      </c>
      <c r="O4" s="1">
        <f>International_Education_Costs[[#This Row],[Rent_USD]] * 12 * International_Education_Costs[[#This Row],[Duration_Years]]</f>
        <v>38400</v>
      </c>
      <c r="P4" s="1">
        <f>International_Education_Costs[[#This Row],[Total_Cost]]-International_Education_Costs[[#This Row],[Tuition_USD]]</f>
        <v>40435</v>
      </c>
      <c r="Q4" s="2">
        <f>International_Education_Costs[[#This Row],[Tuition_USD]]/International_Education_Costs[[#This Row],[Total_Cost]]</f>
        <v>0.4877430797491607</v>
      </c>
    </row>
    <row r="5" spans="1:17" x14ac:dyDescent="0.25">
      <c r="A5" t="s">
        <v>25</v>
      </c>
      <c r="B5" t="s">
        <v>26</v>
      </c>
      <c r="C5" t="s">
        <v>27</v>
      </c>
      <c r="D5" t="s">
        <v>28</v>
      </c>
      <c r="E5" t="s">
        <v>16</v>
      </c>
      <c r="F5">
        <v>2</v>
      </c>
      <c r="G5" s="1">
        <v>42000</v>
      </c>
      <c r="H5">
        <v>71.2</v>
      </c>
      <c r="I5" s="1">
        <v>1400</v>
      </c>
      <c r="J5" s="1">
        <v>450</v>
      </c>
      <c r="K5" s="1">
        <v>650</v>
      </c>
      <c r="L5">
        <v>1.52</v>
      </c>
      <c r="M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77350</v>
      </c>
      <c r="N5" s="1">
        <f>International_Education_Costs[[#This Row],[Total_Cost]]/International_Education_Costs[[#This Row],[Duration_Years]]</f>
        <v>38675</v>
      </c>
      <c r="O5" s="1">
        <f>International_Education_Costs[[#This Row],[Rent_USD]] * 12 * International_Education_Costs[[#This Row],[Duration_Years]]</f>
        <v>33600</v>
      </c>
      <c r="P5" s="1">
        <f>International_Education_Costs[[#This Row],[Total_Cost]]-International_Education_Costs[[#This Row],[Tuition_USD]]</f>
        <v>35350</v>
      </c>
      <c r="Q5" s="2">
        <f>International_Education_Costs[[#This Row],[Tuition_USD]]/International_Education_Costs[[#This Row],[Total_Cost]]</f>
        <v>0.54298642533936647</v>
      </c>
    </row>
    <row r="6" spans="1:17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>
        <v>2</v>
      </c>
      <c r="G6" s="1">
        <v>500</v>
      </c>
      <c r="H6">
        <v>70.5</v>
      </c>
      <c r="I6" s="1">
        <v>1100</v>
      </c>
      <c r="J6" s="1">
        <v>75</v>
      </c>
      <c r="K6" s="1">
        <v>550</v>
      </c>
      <c r="L6">
        <v>0.92</v>
      </c>
      <c r="M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28075</v>
      </c>
      <c r="N6" s="1">
        <f>International_Education_Costs[[#This Row],[Total_Cost]]/International_Education_Costs[[#This Row],[Duration_Years]]</f>
        <v>14037.5</v>
      </c>
      <c r="O6" s="1">
        <f>International_Education_Costs[[#This Row],[Rent_USD]] * 12 * International_Education_Costs[[#This Row],[Duration_Years]]</f>
        <v>26400</v>
      </c>
      <c r="P6" s="1">
        <f>International_Education_Costs[[#This Row],[Total_Cost]]-International_Education_Costs[[#This Row],[Tuition_USD]]</f>
        <v>27575</v>
      </c>
      <c r="Q6" s="2">
        <f>International_Education_Costs[[#This Row],[Tuition_USD]]/International_Education_Costs[[#This Row],[Total_Cost]]</f>
        <v>1.7809439002671415E-2</v>
      </c>
    </row>
    <row r="7" spans="1:17" x14ac:dyDescent="0.25">
      <c r="A7" t="s">
        <v>33</v>
      </c>
      <c r="B7" t="s">
        <v>34</v>
      </c>
      <c r="C7" t="s">
        <v>35</v>
      </c>
      <c r="D7" t="s">
        <v>36</v>
      </c>
      <c r="E7" t="s">
        <v>16</v>
      </c>
      <c r="F7">
        <v>2</v>
      </c>
      <c r="G7" s="1">
        <v>8900</v>
      </c>
      <c r="H7">
        <v>76.400000000000006</v>
      </c>
      <c r="I7" s="1">
        <v>1300</v>
      </c>
      <c r="J7" s="1">
        <v>220</v>
      </c>
      <c r="K7" s="1">
        <v>750</v>
      </c>
      <c r="L7">
        <v>145.80000000000001</v>
      </c>
      <c r="M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41820</v>
      </c>
      <c r="N7" s="1">
        <f>International_Education_Costs[[#This Row],[Total_Cost]]/International_Education_Costs[[#This Row],[Duration_Years]]</f>
        <v>20910</v>
      </c>
      <c r="O7" s="1">
        <f>International_Education_Costs[[#This Row],[Rent_USD]] * 12 * International_Education_Costs[[#This Row],[Duration_Years]]</f>
        <v>31200</v>
      </c>
      <c r="P7" s="1">
        <f>International_Education_Costs[[#This Row],[Total_Cost]]-International_Education_Costs[[#This Row],[Tuition_USD]]</f>
        <v>32920</v>
      </c>
      <c r="Q7" s="2">
        <f>International_Education_Costs[[#This Row],[Tuition_USD]]/International_Education_Costs[[#This Row],[Total_Cost]]</f>
        <v>0.21281683405069346</v>
      </c>
    </row>
    <row r="8" spans="1:17" x14ac:dyDescent="0.25">
      <c r="A8" t="s">
        <v>37</v>
      </c>
      <c r="B8" t="s">
        <v>38</v>
      </c>
      <c r="C8" t="s">
        <v>39</v>
      </c>
      <c r="D8" t="s">
        <v>40</v>
      </c>
      <c r="E8" t="s">
        <v>16</v>
      </c>
      <c r="F8">
        <v>1</v>
      </c>
      <c r="G8" s="1">
        <v>15800</v>
      </c>
      <c r="H8">
        <v>73.2</v>
      </c>
      <c r="I8" s="1">
        <v>1500</v>
      </c>
      <c r="J8" s="1">
        <v>180</v>
      </c>
      <c r="K8" s="1">
        <v>720</v>
      </c>
      <c r="L8">
        <v>0.92</v>
      </c>
      <c r="M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34700</v>
      </c>
      <c r="N8" s="1">
        <f>International_Education_Costs[[#This Row],[Total_Cost]]/International_Education_Costs[[#This Row],[Duration_Years]]</f>
        <v>34700</v>
      </c>
      <c r="O8" s="1">
        <f>International_Education_Costs[[#This Row],[Rent_USD]] * 12 * International_Education_Costs[[#This Row],[Duration_Years]]</f>
        <v>18000</v>
      </c>
      <c r="P8" s="1">
        <f>International_Education_Costs[[#This Row],[Total_Cost]]-International_Education_Costs[[#This Row],[Tuition_USD]]</f>
        <v>18900</v>
      </c>
      <c r="Q8" s="2">
        <f>International_Education_Costs[[#This Row],[Tuition_USD]]/International_Education_Costs[[#This Row],[Total_Cost]]</f>
        <v>0.45533141210374639</v>
      </c>
    </row>
    <row r="9" spans="1:17" x14ac:dyDescent="0.25">
      <c r="A9" t="s">
        <v>41</v>
      </c>
      <c r="B9" t="s">
        <v>41</v>
      </c>
      <c r="C9" t="s">
        <v>42</v>
      </c>
      <c r="D9" t="s">
        <v>43</v>
      </c>
      <c r="E9" t="s">
        <v>16</v>
      </c>
      <c r="F9">
        <v>1.5</v>
      </c>
      <c r="G9" s="1">
        <v>35000</v>
      </c>
      <c r="H9">
        <v>81.099999999999994</v>
      </c>
      <c r="I9" s="1">
        <v>1900</v>
      </c>
      <c r="J9" s="1">
        <v>90</v>
      </c>
      <c r="K9" s="1">
        <v>800</v>
      </c>
      <c r="L9">
        <v>1.34</v>
      </c>
      <c r="M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70490</v>
      </c>
      <c r="N9" s="1">
        <f>International_Education_Costs[[#This Row],[Total_Cost]]/International_Education_Costs[[#This Row],[Duration_Years]]</f>
        <v>46993.333333333336</v>
      </c>
      <c r="O9" s="1">
        <f>International_Education_Costs[[#This Row],[Rent_USD]] * 12 * International_Education_Costs[[#This Row],[Duration_Years]]</f>
        <v>34200</v>
      </c>
      <c r="P9" s="1">
        <f>International_Education_Costs[[#This Row],[Total_Cost]]-International_Education_Costs[[#This Row],[Tuition_USD]]</f>
        <v>35490</v>
      </c>
      <c r="Q9" s="2">
        <f>International_Education_Costs[[#This Row],[Tuition_USD]]/International_Education_Costs[[#This Row],[Total_Cost]]</f>
        <v>0.49652432969215493</v>
      </c>
    </row>
    <row r="10" spans="1:17" x14ac:dyDescent="0.25">
      <c r="A10" t="s">
        <v>44</v>
      </c>
      <c r="B10" t="s">
        <v>45</v>
      </c>
      <c r="C10" t="s">
        <v>46</v>
      </c>
      <c r="D10" t="s">
        <v>47</v>
      </c>
      <c r="E10" t="s">
        <v>16</v>
      </c>
      <c r="F10">
        <v>2</v>
      </c>
      <c r="G10" s="1">
        <v>4500</v>
      </c>
      <c r="H10">
        <v>74.599999999999994</v>
      </c>
      <c r="I10" s="1">
        <v>1400</v>
      </c>
      <c r="J10" s="1">
        <v>99</v>
      </c>
      <c r="K10" s="1">
        <v>650</v>
      </c>
      <c r="L10">
        <v>0.92</v>
      </c>
      <c r="M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39499</v>
      </c>
      <c r="N10" s="1">
        <f>International_Education_Costs[[#This Row],[Total_Cost]]/International_Education_Costs[[#This Row],[Duration_Years]]</f>
        <v>19749.5</v>
      </c>
      <c r="O10" s="1">
        <f>International_Education_Costs[[#This Row],[Rent_USD]] * 12 * International_Education_Costs[[#This Row],[Duration_Years]]</f>
        <v>33600</v>
      </c>
      <c r="P10" s="1">
        <f>International_Education_Costs[[#This Row],[Total_Cost]]-International_Education_Costs[[#This Row],[Tuition_USD]]</f>
        <v>34999</v>
      </c>
      <c r="Q10" s="2">
        <f>International_Education_Costs[[#This Row],[Tuition_USD]]/International_Education_Costs[[#This Row],[Total_Cost]]</f>
        <v>0.11392693485911036</v>
      </c>
    </row>
    <row r="11" spans="1:17" x14ac:dyDescent="0.25">
      <c r="A11" t="s">
        <v>48</v>
      </c>
      <c r="B11" t="s">
        <v>49</v>
      </c>
      <c r="C11" t="s">
        <v>50</v>
      </c>
      <c r="D11" t="s">
        <v>51</v>
      </c>
      <c r="E11" t="s">
        <v>16</v>
      </c>
      <c r="F11">
        <v>2</v>
      </c>
      <c r="G11" s="1">
        <v>1460</v>
      </c>
      <c r="H11">
        <v>91.5</v>
      </c>
      <c r="I11" s="1">
        <v>2100</v>
      </c>
      <c r="J11" s="1">
        <v>88</v>
      </c>
      <c r="K11" s="1">
        <v>1200</v>
      </c>
      <c r="L11">
        <v>0.89</v>
      </c>
      <c r="M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54348</v>
      </c>
      <c r="N11" s="1">
        <f>International_Education_Costs[[#This Row],[Total_Cost]]/International_Education_Costs[[#This Row],[Duration_Years]]</f>
        <v>27174</v>
      </c>
      <c r="O11" s="1">
        <f>International_Education_Costs[[#This Row],[Rent_USD]] * 12 * International_Education_Costs[[#This Row],[Duration_Years]]</f>
        <v>50400</v>
      </c>
      <c r="P11" s="1">
        <f>International_Education_Costs[[#This Row],[Total_Cost]]-International_Education_Costs[[#This Row],[Tuition_USD]]</f>
        <v>52888</v>
      </c>
      <c r="Q11" s="2">
        <f>International_Education_Costs[[#This Row],[Tuition_USD]]/International_Education_Costs[[#This Row],[Total_Cost]]</f>
        <v>2.6863914035475087E-2</v>
      </c>
    </row>
    <row r="12" spans="1:17" x14ac:dyDescent="0.25">
      <c r="A12" t="s">
        <v>52</v>
      </c>
      <c r="B12" t="s">
        <v>53</v>
      </c>
      <c r="C12" t="s">
        <v>54</v>
      </c>
      <c r="D12" t="s">
        <v>55</v>
      </c>
      <c r="E12" t="s">
        <v>16</v>
      </c>
      <c r="F12">
        <v>2</v>
      </c>
      <c r="G12" s="1">
        <v>0</v>
      </c>
      <c r="H12">
        <v>71.8</v>
      </c>
      <c r="I12" s="1">
        <v>1200</v>
      </c>
      <c r="J12" s="1">
        <v>110</v>
      </c>
      <c r="K12" s="1">
        <v>400</v>
      </c>
      <c r="L12">
        <v>10.45</v>
      </c>
      <c r="M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29710</v>
      </c>
      <c r="N12" s="1">
        <f>International_Education_Costs[[#This Row],[Total_Cost]]/International_Education_Costs[[#This Row],[Duration_Years]]</f>
        <v>14855</v>
      </c>
      <c r="O12" s="1">
        <f>International_Education_Costs[[#This Row],[Rent_USD]] * 12 * International_Education_Costs[[#This Row],[Duration_Years]]</f>
        <v>28800</v>
      </c>
      <c r="P12" s="1">
        <f>International_Education_Costs[[#This Row],[Total_Cost]]-International_Education_Costs[[#This Row],[Tuition_USD]]</f>
        <v>29710</v>
      </c>
      <c r="Q12" s="2">
        <f>International_Education_Costs[[#This Row],[Tuition_USD]]/International_Education_Costs[[#This Row],[Total_Cost]]</f>
        <v>0</v>
      </c>
    </row>
    <row r="13" spans="1:17" x14ac:dyDescent="0.25">
      <c r="A13" t="s">
        <v>56</v>
      </c>
      <c r="B13" t="s">
        <v>57</v>
      </c>
      <c r="C13" t="s">
        <v>58</v>
      </c>
      <c r="D13" t="s">
        <v>59</v>
      </c>
      <c r="E13" t="s">
        <v>16</v>
      </c>
      <c r="F13">
        <v>2</v>
      </c>
      <c r="G13" s="1">
        <v>0</v>
      </c>
      <c r="H13">
        <v>73.400000000000006</v>
      </c>
      <c r="I13" s="1">
        <v>1300</v>
      </c>
      <c r="J13" s="1">
        <v>120</v>
      </c>
      <c r="K13" s="1">
        <v>450</v>
      </c>
      <c r="L13">
        <v>6.92</v>
      </c>
      <c r="M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32220</v>
      </c>
      <c r="N13" s="1">
        <f>International_Education_Costs[[#This Row],[Total_Cost]]/International_Education_Costs[[#This Row],[Duration_Years]]</f>
        <v>16110</v>
      </c>
      <c r="O13" s="1">
        <f>International_Education_Costs[[#This Row],[Rent_USD]] * 12 * International_Education_Costs[[#This Row],[Duration_Years]]</f>
        <v>31200</v>
      </c>
      <c r="P13" s="1">
        <f>International_Education_Costs[[#This Row],[Total_Cost]]-International_Education_Costs[[#This Row],[Tuition_USD]]</f>
        <v>32220</v>
      </c>
      <c r="Q13" s="2">
        <f>International_Education_Costs[[#This Row],[Tuition_USD]]/International_Education_Costs[[#This Row],[Total_Cost]]</f>
        <v>0</v>
      </c>
    </row>
    <row r="14" spans="1:17" x14ac:dyDescent="0.25">
      <c r="A14" t="s">
        <v>60</v>
      </c>
      <c r="B14" t="s">
        <v>61</v>
      </c>
      <c r="C14" t="s">
        <v>62</v>
      </c>
      <c r="D14" t="s">
        <v>63</v>
      </c>
      <c r="E14" t="s">
        <v>16</v>
      </c>
      <c r="F14">
        <v>2.5</v>
      </c>
      <c r="G14" s="1">
        <v>8900</v>
      </c>
      <c r="H14">
        <v>52.3</v>
      </c>
      <c r="I14" s="1">
        <v>800</v>
      </c>
      <c r="J14" s="1">
        <v>140</v>
      </c>
      <c r="K14" s="1">
        <v>400</v>
      </c>
      <c r="L14">
        <v>7.18</v>
      </c>
      <c r="M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34040</v>
      </c>
      <c r="N14" s="1">
        <f>International_Education_Costs[[#This Row],[Total_Cost]]/International_Education_Costs[[#This Row],[Duration_Years]]</f>
        <v>13616</v>
      </c>
      <c r="O14" s="1">
        <f>International_Education_Costs[[#This Row],[Rent_USD]] * 12 * International_Education_Costs[[#This Row],[Duration_Years]]</f>
        <v>24000</v>
      </c>
      <c r="P14" s="1">
        <f>International_Education_Costs[[#This Row],[Total_Cost]]-International_Education_Costs[[#This Row],[Tuition_USD]]</f>
        <v>25140</v>
      </c>
      <c r="Q14" s="2">
        <f>International_Education_Costs[[#This Row],[Tuition_USD]]/International_Education_Costs[[#This Row],[Total_Cost]]</f>
        <v>0.26145710928319627</v>
      </c>
    </row>
    <row r="15" spans="1:17" x14ac:dyDescent="0.25">
      <c r="A15" t="s">
        <v>64</v>
      </c>
      <c r="B15" t="s">
        <v>65</v>
      </c>
      <c r="C15" t="s">
        <v>66</v>
      </c>
      <c r="D15" t="s">
        <v>67</v>
      </c>
      <c r="E15" t="s">
        <v>16</v>
      </c>
      <c r="F15">
        <v>2</v>
      </c>
      <c r="G15" s="1">
        <v>7200</v>
      </c>
      <c r="H15">
        <v>68.7</v>
      </c>
      <c r="I15" s="1">
        <v>900</v>
      </c>
      <c r="J15" s="1">
        <v>130</v>
      </c>
      <c r="K15" s="1">
        <v>500</v>
      </c>
      <c r="L15">
        <v>1320.5</v>
      </c>
      <c r="M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29930</v>
      </c>
      <c r="N15" s="1">
        <f>International_Education_Costs[[#This Row],[Total_Cost]]/International_Education_Costs[[#This Row],[Duration_Years]]</f>
        <v>14965</v>
      </c>
      <c r="O15" s="1">
        <f>International_Education_Costs[[#This Row],[Rent_USD]] * 12 * International_Education_Costs[[#This Row],[Duration_Years]]</f>
        <v>21600</v>
      </c>
      <c r="P15" s="1">
        <f>International_Education_Costs[[#This Row],[Total_Cost]]-International_Education_Costs[[#This Row],[Tuition_USD]]</f>
        <v>22730</v>
      </c>
      <c r="Q15" s="2">
        <f>International_Education_Costs[[#This Row],[Tuition_USD]]/International_Education_Costs[[#This Row],[Total_Cost]]</f>
        <v>0.24056130972268627</v>
      </c>
    </row>
    <row r="16" spans="1:17" x14ac:dyDescent="0.25">
      <c r="A16" t="s">
        <v>68</v>
      </c>
      <c r="B16" t="s">
        <v>69</v>
      </c>
      <c r="C16" t="s">
        <v>70</v>
      </c>
      <c r="D16" t="s">
        <v>71</v>
      </c>
      <c r="E16" t="s">
        <v>16</v>
      </c>
      <c r="F16">
        <v>1</v>
      </c>
      <c r="G16" s="1">
        <v>28900</v>
      </c>
      <c r="H16">
        <v>72.900000000000006</v>
      </c>
      <c r="I16" s="1">
        <v>1600</v>
      </c>
      <c r="J16" s="1">
        <v>150</v>
      </c>
      <c r="K16" s="1">
        <v>650</v>
      </c>
      <c r="L16">
        <v>0.92</v>
      </c>
      <c r="M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48900</v>
      </c>
      <c r="N16" s="1">
        <f>International_Education_Costs[[#This Row],[Total_Cost]]/International_Education_Costs[[#This Row],[Duration_Years]]</f>
        <v>48900</v>
      </c>
      <c r="O16" s="1">
        <f>International_Education_Costs[[#This Row],[Rent_USD]] * 12 * International_Education_Costs[[#This Row],[Duration_Years]]</f>
        <v>19200</v>
      </c>
      <c r="P16" s="1">
        <f>International_Education_Costs[[#This Row],[Total_Cost]]-International_Education_Costs[[#This Row],[Tuition_USD]]</f>
        <v>20000</v>
      </c>
      <c r="Q16" s="2">
        <f>International_Education_Costs[[#This Row],[Tuition_USD]]/International_Education_Costs[[#This Row],[Total_Cost]]</f>
        <v>0.59100204498977504</v>
      </c>
    </row>
    <row r="17" spans="1:17" x14ac:dyDescent="0.25">
      <c r="A17" t="s">
        <v>64</v>
      </c>
      <c r="B17" t="s">
        <v>72</v>
      </c>
      <c r="C17" t="s">
        <v>73</v>
      </c>
      <c r="D17" t="s">
        <v>74</v>
      </c>
      <c r="E17" t="s">
        <v>75</v>
      </c>
      <c r="F17">
        <v>4</v>
      </c>
      <c r="G17" s="1">
        <v>5900</v>
      </c>
      <c r="H17">
        <v>62.4</v>
      </c>
      <c r="I17" s="1">
        <v>700</v>
      </c>
      <c r="J17" s="1">
        <v>130</v>
      </c>
      <c r="K17" s="1">
        <v>500</v>
      </c>
      <c r="L17">
        <v>1320.5</v>
      </c>
      <c r="M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41630</v>
      </c>
      <c r="N17" s="1">
        <f>International_Education_Costs[[#This Row],[Total_Cost]]/International_Education_Costs[[#This Row],[Duration_Years]]</f>
        <v>10407.5</v>
      </c>
      <c r="O17" s="1">
        <f>International_Education_Costs[[#This Row],[Rent_USD]] * 12 * International_Education_Costs[[#This Row],[Duration_Years]]</f>
        <v>33600</v>
      </c>
      <c r="P17" s="1">
        <f>International_Education_Costs[[#This Row],[Total_Cost]]-International_Education_Costs[[#This Row],[Tuition_USD]]</f>
        <v>35730</v>
      </c>
      <c r="Q17" s="2">
        <f>International_Education_Costs[[#This Row],[Tuition_USD]]/International_Education_Costs[[#This Row],[Total_Cost]]</f>
        <v>0.14172471775162143</v>
      </c>
    </row>
    <row r="18" spans="1:17" x14ac:dyDescent="0.25">
      <c r="A18" t="s">
        <v>76</v>
      </c>
      <c r="B18" t="s">
        <v>77</v>
      </c>
      <c r="C18" t="s">
        <v>78</v>
      </c>
      <c r="D18" t="s">
        <v>79</v>
      </c>
      <c r="E18" t="s">
        <v>75</v>
      </c>
      <c r="F18">
        <v>3</v>
      </c>
      <c r="G18" s="1">
        <v>28500</v>
      </c>
      <c r="H18">
        <v>69.8</v>
      </c>
      <c r="I18" s="1">
        <v>1200</v>
      </c>
      <c r="J18" s="1">
        <v>245</v>
      </c>
      <c r="K18" s="1">
        <v>600</v>
      </c>
      <c r="L18">
        <v>1.64</v>
      </c>
      <c r="M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73745</v>
      </c>
      <c r="N18" s="1">
        <f>International_Education_Costs[[#This Row],[Total_Cost]]/International_Education_Costs[[#This Row],[Duration_Years]]</f>
        <v>24581.666666666668</v>
      </c>
      <c r="O18" s="1">
        <f>International_Education_Costs[[#This Row],[Rent_USD]] * 12 * International_Education_Costs[[#This Row],[Duration_Years]]</f>
        <v>43200</v>
      </c>
      <c r="P18" s="1">
        <f>International_Education_Costs[[#This Row],[Total_Cost]]-International_Education_Costs[[#This Row],[Tuition_USD]]</f>
        <v>45245</v>
      </c>
      <c r="Q18" s="2">
        <f>International_Education_Costs[[#This Row],[Tuition_USD]]/International_Education_Costs[[#This Row],[Total_Cost]]</f>
        <v>0.38646687911044819</v>
      </c>
    </row>
    <row r="19" spans="1:17" x14ac:dyDescent="0.25">
      <c r="A19" t="s">
        <v>80</v>
      </c>
      <c r="B19" t="s">
        <v>81</v>
      </c>
      <c r="C19" t="s">
        <v>82</v>
      </c>
      <c r="D19" t="s">
        <v>83</v>
      </c>
      <c r="E19" t="s">
        <v>75</v>
      </c>
      <c r="F19">
        <v>3</v>
      </c>
      <c r="G19" s="1">
        <v>1500</v>
      </c>
      <c r="H19">
        <v>67.400000000000006</v>
      </c>
      <c r="I19" s="1">
        <v>950</v>
      </c>
      <c r="J19" s="1">
        <v>160</v>
      </c>
      <c r="K19" s="1">
        <v>500</v>
      </c>
      <c r="L19">
        <v>0.92</v>
      </c>
      <c r="M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37360</v>
      </c>
      <c r="N19" s="1">
        <f>International_Education_Costs[[#This Row],[Total_Cost]]/International_Education_Costs[[#This Row],[Duration_Years]]</f>
        <v>12453.333333333334</v>
      </c>
      <c r="O19" s="1">
        <f>International_Education_Costs[[#This Row],[Rent_USD]] * 12 * International_Education_Costs[[#This Row],[Duration_Years]]</f>
        <v>34200</v>
      </c>
      <c r="P19" s="1">
        <f>International_Education_Costs[[#This Row],[Total_Cost]]-International_Education_Costs[[#This Row],[Tuition_USD]]</f>
        <v>35860</v>
      </c>
      <c r="Q19" s="2">
        <f>International_Education_Costs[[#This Row],[Tuition_USD]]/International_Education_Costs[[#This Row],[Total_Cost]]</f>
        <v>4.0149892933618841E-2</v>
      </c>
    </row>
    <row r="20" spans="1:17" x14ac:dyDescent="0.25">
      <c r="A20" t="s">
        <v>84</v>
      </c>
      <c r="B20" t="s">
        <v>85</v>
      </c>
      <c r="C20" t="s">
        <v>86</v>
      </c>
      <c r="D20" t="s">
        <v>87</v>
      </c>
      <c r="E20" t="s">
        <v>75</v>
      </c>
      <c r="F20">
        <v>3</v>
      </c>
      <c r="G20" s="1">
        <v>3500</v>
      </c>
      <c r="H20">
        <v>68.900000000000006</v>
      </c>
      <c r="I20" s="1">
        <v>1000</v>
      </c>
      <c r="J20" s="1">
        <v>180</v>
      </c>
      <c r="K20" s="1">
        <v>550</v>
      </c>
      <c r="L20">
        <v>0.92</v>
      </c>
      <c r="M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41330</v>
      </c>
      <c r="N20" s="1">
        <f>International_Education_Costs[[#This Row],[Total_Cost]]/International_Education_Costs[[#This Row],[Duration_Years]]</f>
        <v>13776.666666666666</v>
      </c>
      <c r="O20" s="1">
        <f>International_Education_Costs[[#This Row],[Rent_USD]] * 12 * International_Education_Costs[[#This Row],[Duration_Years]]</f>
        <v>36000</v>
      </c>
      <c r="P20" s="1">
        <f>International_Education_Costs[[#This Row],[Total_Cost]]-International_Education_Costs[[#This Row],[Tuition_USD]]</f>
        <v>37830</v>
      </c>
      <c r="Q20" s="2">
        <f>International_Education_Costs[[#This Row],[Tuition_USD]]/International_Education_Costs[[#This Row],[Total_Cost]]</f>
        <v>8.4684248729736275E-2</v>
      </c>
    </row>
    <row r="21" spans="1:17" x14ac:dyDescent="0.25">
      <c r="A21" t="s">
        <v>12</v>
      </c>
      <c r="B21" t="s">
        <v>88</v>
      </c>
      <c r="C21" t="s">
        <v>89</v>
      </c>
      <c r="D21" t="s">
        <v>90</v>
      </c>
      <c r="E21" t="s">
        <v>75</v>
      </c>
      <c r="F21">
        <v>4</v>
      </c>
      <c r="G21" s="1">
        <v>52300</v>
      </c>
      <c r="H21">
        <v>72.5</v>
      </c>
      <c r="I21" s="1">
        <v>1800</v>
      </c>
      <c r="J21" s="1">
        <v>160</v>
      </c>
      <c r="K21" s="1">
        <v>1500</v>
      </c>
      <c r="L21">
        <v>1</v>
      </c>
      <c r="M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144860</v>
      </c>
      <c r="N21" s="1">
        <f>International_Education_Costs[[#This Row],[Total_Cost]]/International_Education_Costs[[#This Row],[Duration_Years]]</f>
        <v>36215</v>
      </c>
      <c r="O21" s="1">
        <f>International_Education_Costs[[#This Row],[Rent_USD]] * 12 * International_Education_Costs[[#This Row],[Duration_Years]]</f>
        <v>86400</v>
      </c>
      <c r="P21" s="1">
        <f>International_Education_Costs[[#This Row],[Total_Cost]]-International_Education_Costs[[#This Row],[Tuition_USD]]</f>
        <v>92560</v>
      </c>
      <c r="Q21" s="2">
        <f>International_Education_Costs[[#This Row],[Tuition_USD]]/International_Education_Costs[[#This Row],[Total_Cost]]</f>
        <v>0.36103824382162086</v>
      </c>
    </row>
    <row r="22" spans="1:17" x14ac:dyDescent="0.25">
      <c r="A22" t="s">
        <v>12</v>
      </c>
      <c r="B22" t="s">
        <v>91</v>
      </c>
      <c r="C22" t="s">
        <v>92</v>
      </c>
      <c r="D22" t="s">
        <v>93</v>
      </c>
      <c r="E22" t="s">
        <v>75</v>
      </c>
      <c r="F22">
        <v>4</v>
      </c>
      <c r="G22" s="1">
        <v>43800</v>
      </c>
      <c r="H22">
        <v>71.5</v>
      </c>
      <c r="I22" s="1">
        <v>1700</v>
      </c>
      <c r="J22" s="1">
        <v>160</v>
      </c>
      <c r="K22" s="1">
        <v>1500</v>
      </c>
      <c r="L22">
        <v>1</v>
      </c>
      <c r="M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131560</v>
      </c>
      <c r="N22" s="1">
        <f>International_Education_Costs[[#This Row],[Total_Cost]]/International_Education_Costs[[#This Row],[Duration_Years]]</f>
        <v>32890</v>
      </c>
      <c r="O22" s="1">
        <f>International_Education_Costs[[#This Row],[Rent_USD]] * 12 * International_Education_Costs[[#This Row],[Duration_Years]]</f>
        <v>81600</v>
      </c>
      <c r="P22" s="1">
        <f>International_Education_Costs[[#This Row],[Total_Cost]]-International_Education_Costs[[#This Row],[Tuition_USD]]</f>
        <v>87760</v>
      </c>
      <c r="Q22" s="2">
        <f>International_Education_Costs[[#This Row],[Tuition_USD]]/International_Education_Costs[[#This Row],[Total_Cost]]</f>
        <v>0.33292794162359379</v>
      </c>
    </row>
    <row r="23" spans="1:17" x14ac:dyDescent="0.25">
      <c r="A23" t="s">
        <v>12</v>
      </c>
      <c r="B23" t="s">
        <v>94</v>
      </c>
      <c r="C23" t="s">
        <v>95</v>
      </c>
      <c r="D23" t="s">
        <v>96</v>
      </c>
      <c r="E23" t="s">
        <v>75</v>
      </c>
      <c r="F23">
        <v>4</v>
      </c>
      <c r="G23" s="1">
        <v>40900</v>
      </c>
      <c r="H23">
        <v>72.400000000000006</v>
      </c>
      <c r="I23" s="1">
        <v>1600</v>
      </c>
      <c r="J23" s="1">
        <v>160</v>
      </c>
      <c r="K23" s="1">
        <v>1500</v>
      </c>
      <c r="L23">
        <v>1</v>
      </c>
      <c r="M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123860</v>
      </c>
      <c r="N23" s="1">
        <f>International_Education_Costs[[#This Row],[Total_Cost]]/International_Education_Costs[[#This Row],[Duration_Years]]</f>
        <v>30965</v>
      </c>
      <c r="O23" s="1">
        <f>International_Education_Costs[[#This Row],[Rent_USD]] * 12 * International_Education_Costs[[#This Row],[Duration_Years]]</f>
        <v>76800</v>
      </c>
      <c r="P23" s="1">
        <f>International_Education_Costs[[#This Row],[Total_Cost]]-International_Education_Costs[[#This Row],[Tuition_USD]]</f>
        <v>82960</v>
      </c>
      <c r="Q23" s="2">
        <f>International_Education_Costs[[#This Row],[Tuition_USD]]/International_Education_Costs[[#This Row],[Total_Cost]]</f>
        <v>0.33021152914580981</v>
      </c>
    </row>
    <row r="24" spans="1:17" x14ac:dyDescent="0.25">
      <c r="A24" t="s">
        <v>17</v>
      </c>
      <c r="B24" t="s">
        <v>97</v>
      </c>
      <c r="C24" t="s">
        <v>98</v>
      </c>
      <c r="D24" t="s">
        <v>99</v>
      </c>
      <c r="E24" t="s">
        <v>75</v>
      </c>
      <c r="F24">
        <v>3</v>
      </c>
      <c r="G24" s="1">
        <v>31200</v>
      </c>
      <c r="H24">
        <v>69.8</v>
      </c>
      <c r="I24" s="1">
        <v>1100</v>
      </c>
      <c r="J24" s="1">
        <v>485</v>
      </c>
      <c r="K24" s="1">
        <v>800</v>
      </c>
      <c r="L24">
        <v>0.79</v>
      </c>
      <c r="M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73685</v>
      </c>
      <c r="N24" s="1">
        <f>International_Education_Costs[[#This Row],[Total_Cost]]/International_Education_Costs[[#This Row],[Duration_Years]]</f>
        <v>24561.666666666668</v>
      </c>
      <c r="O24" s="1">
        <f>International_Education_Costs[[#This Row],[Rent_USD]] * 12 * International_Education_Costs[[#This Row],[Duration_Years]]</f>
        <v>39600</v>
      </c>
      <c r="P24" s="1">
        <f>International_Education_Costs[[#This Row],[Total_Cost]]-International_Education_Costs[[#This Row],[Tuition_USD]]</f>
        <v>42485</v>
      </c>
      <c r="Q24" s="2">
        <f>International_Education_Costs[[#This Row],[Tuition_USD]]/International_Education_Costs[[#This Row],[Total_Cost]]</f>
        <v>0.42342403474248491</v>
      </c>
    </row>
    <row r="25" spans="1:17" x14ac:dyDescent="0.25">
      <c r="A25" t="s">
        <v>21</v>
      </c>
      <c r="B25" t="s">
        <v>100</v>
      </c>
      <c r="C25" t="s">
        <v>101</v>
      </c>
      <c r="D25" t="s">
        <v>102</v>
      </c>
      <c r="E25" t="s">
        <v>75</v>
      </c>
      <c r="F25">
        <v>4</v>
      </c>
      <c r="G25" s="1">
        <v>28900</v>
      </c>
      <c r="H25">
        <v>68.5</v>
      </c>
      <c r="I25" s="1">
        <v>1300</v>
      </c>
      <c r="J25" s="1">
        <v>235</v>
      </c>
      <c r="K25" s="1">
        <v>900</v>
      </c>
      <c r="L25">
        <v>1.35</v>
      </c>
      <c r="M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95135</v>
      </c>
      <c r="N25" s="1">
        <f>International_Education_Costs[[#This Row],[Total_Cost]]/International_Education_Costs[[#This Row],[Duration_Years]]</f>
        <v>23783.75</v>
      </c>
      <c r="O25" s="1">
        <f>International_Education_Costs[[#This Row],[Rent_USD]] * 12 * International_Education_Costs[[#This Row],[Duration_Years]]</f>
        <v>62400</v>
      </c>
      <c r="P25" s="1">
        <f>International_Education_Costs[[#This Row],[Total_Cost]]-International_Education_Costs[[#This Row],[Tuition_USD]]</f>
        <v>66235</v>
      </c>
      <c r="Q25" s="2">
        <f>International_Education_Costs[[#This Row],[Tuition_USD]]/International_Education_Costs[[#This Row],[Total_Cost]]</f>
        <v>0.30377884059494403</v>
      </c>
    </row>
    <row r="26" spans="1:17" x14ac:dyDescent="0.25">
      <c r="A26" t="s">
        <v>103</v>
      </c>
      <c r="B26" t="s">
        <v>103</v>
      </c>
      <c r="C26" t="s">
        <v>104</v>
      </c>
      <c r="D26" t="s">
        <v>43</v>
      </c>
      <c r="E26" t="s">
        <v>75</v>
      </c>
      <c r="F26">
        <v>4</v>
      </c>
      <c r="G26" s="1">
        <v>22000</v>
      </c>
      <c r="H26">
        <v>78.599999999999994</v>
      </c>
      <c r="I26" s="1">
        <v>1500</v>
      </c>
      <c r="J26" s="1">
        <v>120</v>
      </c>
      <c r="K26" s="1">
        <v>600</v>
      </c>
      <c r="L26">
        <v>7.82</v>
      </c>
      <c r="M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96520</v>
      </c>
      <c r="N26" s="1">
        <f>International_Education_Costs[[#This Row],[Total_Cost]]/International_Education_Costs[[#This Row],[Duration_Years]]</f>
        <v>24130</v>
      </c>
      <c r="O26" s="1">
        <f>International_Education_Costs[[#This Row],[Rent_USD]] * 12 * International_Education_Costs[[#This Row],[Duration_Years]]</f>
        <v>72000</v>
      </c>
      <c r="P26" s="1">
        <f>International_Education_Costs[[#This Row],[Total_Cost]]-International_Education_Costs[[#This Row],[Tuition_USD]]</f>
        <v>74520</v>
      </c>
      <c r="Q26" s="2">
        <f>International_Education_Costs[[#This Row],[Tuition_USD]]/International_Education_Costs[[#This Row],[Total_Cost]]</f>
        <v>0.22793203481143803</v>
      </c>
    </row>
    <row r="27" spans="1:17" x14ac:dyDescent="0.25">
      <c r="A27" t="s">
        <v>105</v>
      </c>
      <c r="B27" t="s">
        <v>106</v>
      </c>
      <c r="C27" t="s">
        <v>107</v>
      </c>
      <c r="D27" t="s">
        <v>108</v>
      </c>
      <c r="E27" t="s">
        <v>75</v>
      </c>
      <c r="F27">
        <v>3</v>
      </c>
      <c r="G27" s="1">
        <v>3500</v>
      </c>
      <c r="H27">
        <v>58.4</v>
      </c>
      <c r="I27" s="1">
        <v>800</v>
      </c>
      <c r="J27" s="1">
        <v>120</v>
      </c>
      <c r="K27" s="1">
        <v>450</v>
      </c>
      <c r="L27">
        <v>0.92</v>
      </c>
      <c r="M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33770</v>
      </c>
      <c r="N27" s="1">
        <f>International_Education_Costs[[#This Row],[Total_Cost]]/International_Education_Costs[[#This Row],[Duration_Years]]</f>
        <v>11256.666666666666</v>
      </c>
      <c r="O27" s="1">
        <f>International_Education_Costs[[#This Row],[Rent_USD]] * 12 * International_Education_Costs[[#This Row],[Duration_Years]]</f>
        <v>28800</v>
      </c>
      <c r="P27" s="1">
        <f>International_Education_Costs[[#This Row],[Total_Cost]]-International_Education_Costs[[#This Row],[Tuition_USD]]</f>
        <v>30270</v>
      </c>
      <c r="Q27" s="2">
        <f>International_Education_Costs[[#This Row],[Tuition_USD]]/International_Education_Costs[[#This Row],[Total_Cost]]</f>
        <v>0.1036422860527095</v>
      </c>
    </row>
    <row r="28" spans="1:17" x14ac:dyDescent="0.25">
      <c r="A28" t="s">
        <v>109</v>
      </c>
      <c r="B28" t="s">
        <v>110</v>
      </c>
      <c r="C28" t="s">
        <v>111</v>
      </c>
      <c r="D28" t="s">
        <v>15</v>
      </c>
      <c r="E28" t="s">
        <v>75</v>
      </c>
      <c r="F28">
        <v>3</v>
      </c>
      <c r="G28" s="1">
        <v>12000</v>
      </c>
      <c r="H28">
        <v>76.2</v>
      </c>
      <c r="I28" s="1">
        <v>1200</v>
      </c>
      <c r="J28" s="1">
        <v>150</v>
      </c>
      <c r="K28" s="1">
        <v>800</v>
      </c>
      <c r="L28">
        <v>3.72</v>
      </c>
      <c r="M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57750</v>
      </c>
      <c r="N28" s="1">
        <f>International_Education_Costs[[#This Row],[Total_Cost]]/International_Education_Costs[[#This Row],[Duration_Years]]</f>
        <v>19250</v>
      </c>
      <c r="O28" s="1">
        <f>International_Education_Costs[[#This Row],[Rent_USD]] * 12 * International_Education_Costs[[#This Row],[Duration_Years]]</f>
        <v>43200</v>
      </c>
      <c r="P28" s="1">
        <f>International_Education_Costs[[#This Row],[Total_Cost]]-International_Education_Costs[[#This Row],[Tuition_USD]]</f>
        <v>45750</v>
      </c>
      <c r="Q28" s="2">
        <f>International_Education_Costs[[#This Row],[Tuition_USD]]/International_Education_Costs[[#This Row],[Total_Cost]]</f>
        <v>0.20779220779220781</v>
      </c>
    </row>
    <row r="29" spans="1:17" x14ac:dyDescent="0.25">
      <c r="A29" t="s">
        <v>112</v>
      </c>
      <c r="B29" t="s">
        <v>113</v>
      </c>
      <c r="C29" t="s">
        <v>114</v>
      </c>
      <c r="D29" t="s">
        <v>115</v>
      </c>
      <c r="E29" t="s">
        <v>75</v>
      </c>
      <c r="F29">
        <v>4</v>
      </c>
      <c r="G29" s="1">
        <v>5200</v>
      </c>
      <c r="H29">
        <v>62.8</v>
      </c>
      <c r="I29" s="1">
        <v>700</v>
      </c>
      <c r="J29" s="1">
        <v>140</v>
      </c>
      <c r="K29" s="1">
        <v>450</v>
      </c>
      <c r="L29">
        <v>31.2</v>
      </c>
      <c r="M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40740</v>
      </c>
      <c r="N29" s="1">
        <f>International_Education_Costs[[#This Row],[Total_Cost]]/International_Education_Costs[[#This Row],[Duration_Years]]</f>
        <v>10185</v>
      </c>
      <c r="O29" s="1">
        <f>International_Education_Costs[[#This Row],[Rent_USD]] * 12 * International_Education_Costs[[#This Row],[Duration_Years]]</f>
        <v>33600</v>
      </c>
      <c r="P29" s="1">
        <f>International_Education_Costs[[#This Row],[Total_Cost]]-International_Education_Costs[[#This Row],[Tuition_USD]]</f>
        <v>35540</v>
      </c>
      <c r="Q29" s="2">
        <f>International_Education_Costs[[#This Row],[Tuition_USD]]/International_Education_Costs[[#This Row],[Total_Cost]]</f>
        <v>0.12763868433971526</v>
      </c>
    </row>
    <row r="30" spans="1:17" x14ac:dyDescent="0.25">
      <c r="A30" t="s">
        <v>116</v>
      </c>
      <c r="B30" t="s">
        <v>117</v>
      </c>
      <c r="C30" t="s">
        <v>118</v>
      </c>
      <c r="D30" t="s">
        <v>119</v>
      </c>
      <c r="E30" t="s">
        <v>75</v>
      </c>
      <c r="F30">
        <v>3</v>
      </c>
      <c r="G30" s="1">
        <v>9800</v>
      </c>
      <c r="H30">
        <v>54.6</v>
      </c>
      <c r="I30" s="1">
        <v>650</v>
      </c>
      <c r="J30" s="1">
        <v>100</v>
      </c>
      <c r="K30" s="1">
        <v>400</v>
      </c>
      <c r="L30">
        <v>22.5</v>
      </c>
      <c r="M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34500</v>
      </c>
      <c r="N30" s="1">
        <f>International_Education_Costs[[#This Row],[Total_Cost]]/International_Education_Costs[[#This Row],[Duration_Years]]</f>
        <v>11500</v>
      </c>
      <c r="O30" s="1">
        <f>International_Education_Costs[[#This Row],[Rent_USD]] * 12 * International_Education_Costs[[#This Row],[Duration_Years]]</f>
        <v>23400</v>
      </c>
      <c r="P30" s="1">
        <f>International_Education_Costs[[#This Row],[Total_Cost]]-International_Education_Costs[[#This Row],[Tuition_USD]]</f>
        <v>24700</v>
      </c>
      <c r="Q30" s="2">
        <f>International_Education_Costs[[#This Row],[Tuition_USD]]/International_Education_Costs[[#This Row],[Total_Cost]]</f>
        <v>0.28405797101449276</v>
      </c>
    </row>
    <row r="31" spans="1:17" x14ac:dyDescent="0.25">
      <c r="A31" t="s">
        <v>12</v>
      </c>
      <c r="B31" t="s">
        <v>120</v>
      </c>
      <c r="C31" t="s">
        <v>121</v>
      </c>
      <c r="D31" t="s">
        <v>15</v>
      </c>
      <c r="E31" t="s">
        <v>122</v>
      </c>
      <c r="F31">
        <v>5</v>
      </c>
      <c r="G31" s="1">
        <v>54200</v>
      </c>
      <c r="H31">
        <v>89.5</v>
      </c>
      <c r="I31" s="1">
        <v>2300</v>
      </c>
      <c r="J31" s="1">
        <v>160</v>
      </c>
      <c r="K31" s="1">
        <v>1500</v>
      </c>
      <c r="L31">
        <v>1</v>
      </c>
      <c r="M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199860</v>
      </c>
      <c r="N31" s="1">
        <f>International_Education_Costs[[#This Row],[Total_Cost]]/International_Education_Costs[[#This Row],[Duration_Years]]</f>
        <v>39972</v>
      </c>
      <c r="O31" s="1">
        <f>International_Education_Costs[[#This Row],[Rent_USD]] * 12 * International_Education_Costs[[#This Row],[Duration_Years]]</f>
        <v>138000</v>
      </c>
      <c r="P31" s="1">
        <f>International_Education_Costs[[#This Row],[Total_Cost]]-International_Education_Costs[[#This Row],[Tuition_USD]]</f>
        <v>145660</v>
      </c>
      <c r="Q31" s="2">
        <f>International_Education_Costs[[#This Row],[Tuition_USD]]/International_Education_Costs[[#This Row],[Total_Cost]]</f>
        <v>0.27118983288301812</v>
      </c>
    </row>
    <row r="32" spans="1:17" x14ac:dyDescent="0.25">
      <c r="A32" t="s">
        <v>12</v>
      </c>
      <c r="B32" t="s">
        <v>123</v>
      </c>
      <c r="C32" t="s">
        <v>124</v>
      </c>
      <c r="D32" t="s">
        <v>125</v>
      </c>
      <c r="E32" t="s">
        <v>122</v>
      </c>
      <c r="F32">
        <v>5</v>
      </c>
      <c r="G32" s="1">
        <v>53800</v>
      </c>
      <c r="H32">
        <v>83.2</v>
      </c>
      <c r="I32" s="1">
        <v>2200</v>
      </c>
      <c r="J32" s="1">
        <v>160</v>
      </c>
      <c r="K32" s="1">
        <v>1500</v>
      </c>
      <c r="L32">
        <v>1</v>
      </c>
      <c r="M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193460</v>
      </c>
      <c r="N32" s="1">
        <f>International_Education_Costs[[#This Row],[Total_Cost]]/International_Education_Costs[[#This Row],[Duration_Years]]</f>
        <v>38692</v>
      </c>
      <c r="O32" s="1">
        <f>International_Education_Costs[[#This Row],[Rent_USD]] * 12 * International_Education_Costs[[#This Row],[Duration_Years]]</f>
        <v>132000</v>
      </c>
      <c r="P32" s="1">
        <f>International_Education_Costs[[#This Row],[Total_Cost]]-International_Education_Costs[[#This Row],[Tuition_USD]]</f>
        <v>139660</v>
      </c>
      <c r="Q32" s="2">
        <f>International_Education_Costs[[#This Row],[Tuition_USD]]/International_Education_Costs[[#This Row],[Total_Cost]]</f>
        <v>0.27809366277266617</v>
      </c>
    </row>
    <row r="33" spans="1:17" x14ac:dyDescent="0.25">
      <c r="A33" t="s">
        <v>17</v>
      </c>
      <c r="B33" t="s">
        <v>126</v>
      </c>
      <c r="C33" t="s">
        <v>127</v>
      </c>
      <c r="D33" t="s">
        <v>87</v>
      </c>
      <c r="E33" t="s">
        <v>122</v>
      </c>
      <c r="F33">
        <v>4</v>
      </c>
      <c r="G33" s="1">
        <v>29800</v>
      </c>
      <c r="H33">
        <v>74.5</v>
      </c>
      <c r="I33" s="1">
        <v>1600</v>
      </c>
      <c r="J33" s="1">
        <v>485</v>
      </c>
      <c r="K33" s="1">
        <v>800</v>
      </c>
      <c r="L33">
        <v>0.79</v>
      </c>
      <c r="M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110285</v>
      </c>
      <c r="N33" s="1">
        <f>International_Education_Costs[[#This Row],[Total_Cost]]/International_Education_Costs[[#This Row],[Duration_Years]]</f>
        <v>27571.25</v>
      </c>
      <c r="O33" s="1">
        <f>International_Education_Costs[[#This Row],[Rent_USD]] * 12 * International_Education_Costs[[#This Row],[Duration_Years]]</f>
        <v>76800</v>
      </c>
      <c r="P33" s="1">
        <f>International_Education_Costs[[#This Row],[Total_Cost]]-International_Education_Costs[[#This Row],[Tuition_USD]]</f>
        <v>80485</v>
      </c>
      <c r="Q33" s="2">
        <f>International_Education_Costs[[#This Row],[Tuition_USD]]/International_Education_Costs[[#This Row],[Total_Cost]]</f>
        <v>0.27020900394432606</v>
      </c>
    </row>
    <row r="34" spans="1:17" x14ac:dyDescent="0.25">
      <c r="A34" t="s">
        <v>17</v>
      </c>
      <c r="B34" t="s">
        <v>13</v>
      </c>
      <c r="C34" t="s">
        <v>128</v>
      </c>
      <c r="D34" t="s">
        <v>51</v>
      </c>
      <c r="E34" t="s">
        <v>122</v>
      </c>
      <c r="F34">
        <v>4</v>
      </c>
      <c r="G34" s="1">
        <v>31200</v>
      </c>
      <c r="H34">
        <v>75.2</v>
      </c>
      <c r="I34" s="1">
        <v>1700</v>
      </c>
      <c r="J34" s="1">
        <v>485</v>
      </c>
      <c r="K34" s="1">
        <v>800</v>
      </c>
      <c r="L34">
        <v>0.79</v>
      </c>
      <c r="M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116485</v>
      </c>
      <c r="N34" s="1">
        <f>International_Education_Costs[[#This Row],[Total_Cost]]/International_Education_Costs[[#This Row],[Duration_Years]]</f>
        <v>29121.25</v>
      </c>
      <c r="O34" s="1">
        <f>International_Education_Costs[[#This Row],[Rent_USD]] * 12 * International_Education_Costs[[#This Row],[Duration_Years]]</f>
        <v>81600</v>
      </c>
      <c r="P34" s="1">
        <f>International_Education_Costs[[#This Row],[Total_Cost]]-International_Education_Costs[[#This Row],[Tuition_USD]]</f>
        <v>85285</v>
      </c>
      <c r="Q34" s="2">
        <f>International_Education_Costs[[#This Row],[Tuition_USD]]/International_Education_Costs[[#This Row],[Total_Cost]]</f>
        <v>0.26784564536206379</v>
      </c>
    </row>
    <row r="35" spans="1:17" x14ac:dyDescent="0.25">
      <c r="A35" t="s">
        <v>29</v>
      </c>
      <c r="B35" t="s">
        <v>129</v>
      </c>
      <c r="C35" t="s">
        <v>130</v>
      </c>
      <c r="D35" t="s">
        <v>131</v>
      </c>
      <c r="E35" t="s">
        <v>122</v>
      </c>
      <c r="F35">
        <v>3</v>
      </c>
      <c r="G35" s="1">
        <v>500</v>
      </c>
      <c r="H35">
        <v>68.400000000000006</v>
      </c>
      <c r="I35" s="1">
        <v>900</v>
      </c>
      <c r="J35" s="1">
        <v>75</v>
      </c>
      <c r="K35" s="1">
        <v>550</v>
      </c>
      <c r="L35">
        <v>0.92</v>
      </c>
      <c r="M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34625</v>
      </c>
      <c r="N35" s="1">
        <f>International_Education_Costs[[#This Row],[Total_Cost]]/International_Education_Costs[[#This Row],[Duration_Years]]</f>
        <v>11541.666666666666</v>
      </c>
      <c r="O35" s="1">
        <f>International_Education_Costs[[#This Row],[Rent_USD]] * 12 * International_Education_Costs[[#This Row],[Duration_Years]]</f>
        <v>32400</v>
      </c>
      <c r="P35" s="1">
        <f>International_Education_Costs[[#This Row],[Total_Cost]]-International_Education_Costs[[#This Row],[Tuition_USD]]</f>
        <v>34125</v>
      </c>
      <c r="Q35" s="2">
        <f>International_Education_Costs[[#This Row],[Tuition_USD]]/International_Education_Costs[[#This Row],[Total_Cost]]</f>
        <v>1.444043321299639E-2</v>
      </c>
    </row>
    <row r="36" spans="1:17" x14ac:dyDescent="0.25">
      <c r="A36" t="s">
        <v>48</v>
      </c>
      <c r="B36" t="s">
        <v>132</v>
      </c>
      <c r="C36" t="s">
        <v>133</v>
      </c>
      <c r="D36" t="s">
        <v>134</v>
      </c>
      <c r="E36" t="s">
        <v>122</v>
      </c>
      <c r="F36">
        <v>4</v>
      </c>
      <c r="G36" s="1">
        <v>1500</v>
      </c>
      <c r="H36">
        <v>88.6</v>
      </c>
      <c r="I36" s="1">
        <v>1800</v>
      </c>
      <c r="J36" s="1">
        <v>88</v>
      </c>
      <c r="K36" s="1">
        <v>1200</v>
      </c>
      <c r="L36">
        <v>0.89</v>
      </c>
      <c r="M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92788</v>
      </c>
      <c r="N36" s="1">
        <f>International_Education_Costs[[#This Row],[Total_Cost]]/International_Education_Costs[[#This Row],[Duration_Years]]</f>
        <v>23197</v>
      </c>
      <c r="O36" s="1">
        <f>International_Education_Costs[[#This Row],[Rent_USD]] * 12 * International_Education_Costs[[#This Row],[Duration_Years]]</f>
        <v>86400</v>
      </c>
      <c r="P36" s="1">
        <f>International_Education_Costs[[#This Row],[Total_Cost]]-International_Education_Costs[[#This Row],[Tuition_USD]]</f>
        <v>91288</v>
      </c>
      <c r="Q36" s="2">
        <f>International_Education_Costs[[#This Row],[Tuition_USD]]/International_Education_Costs[[#This Row],[Total_Cost]]</f>
        <v>1.6165883519420613E-2</v>
      </c>
    </row>
    <row r="37" spans="1:17" x14ac:dyDescent="0.25">
      <c r="A37" t="s">
        <v>37</v>
      </c>
      <c r="B37" t="s">
        <v>135</v>
      </c>
      <c r="C37" t="s">
        <v>136</v>
      </c>
      <c r="D37" t="s">
        <v>137</v>
      </c>
      <c r="E37" t="s">
        <v>122</v>
      </c>
      <c r="F37">
        <v>4</v>
      </c>
      <c r="G37" s="1">
        <v>4800</v>
      </c>
      <c r="H37">
        <v>71.8</v>
      </c>
      <c r="I37" s="1">
        <v>1200</v>
      </c>
      <c r="J37" s="1">
        <v>180</v>
      </c>
      <c r="K37" s="1">
        <v>720</v>
      </c>
      <c r="L37">
        <v>0.92</v>
      </c>
      <c r="M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65460</v>
      </c>
      <c r="N37" s="1">
        <f>International_Education_Costs[[#This Row],[Total_Cost]]/International_Education_Costs[[#This Row],[Duration_Years]]</f>
        <v>16365</v>
      </c>
      <c r="O37" s="1">
        <f>International_Education_Costs[[#This Row],[Rent_USD]] * 12 * International_Education_Costs[[#This Row],[Duration_Years]]</f>
        <v>57600</v>
      </c>
      <c r="P37" s="1">
        <f>International_Education_Costs[[#This Row],[Total_Cost]]-International_Education_Costs[[#This Row],[Tuition_USD]]</f>
        <v>60660</v>
      </c>
      <c r="Q37" s="2">
        <f>International_Education_Costs[[#This Row],[Tuition_USD]]/International_Education_Costs[[#This Row],[Total_Cost]]</f>
        <v>7.3327222731439046E-2</v>
      </c>
    </row>
    <row r="38" spans="1:17" x14ac:dyDescent="0.25">
      <c r="A38" t="s">
        <v>41</v>
      </c>
      <c r="B38" t="s">
        <v>41</v>
      </c>
      <c r="C38" t="s">
        <v>138</v>
      </c>
      <c r="D38" t="s">
        <v>20</v>
      </c>
      <c r="E38" t="s">
        <v>122</v>
      </c>
      <c r="F38">
        <v>4</v>
      </c>
      <c r="G38" s="1">
        <v>8900</v>
      </c>
      <c r="H38">
        <v>81.5</v>
      </c>
      <c r="I38" s="1">
        <v>1600</v>
      </c>
      <c r="J38" s="1">
        <v>90</v>
      </c>
      <c r="K38" s="1">
        <v>800</v>
      </c>
      <c r="L38">
        <v>1.34</v>
      </c>
      <c r="M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88990</v>
      </c>
      <c r="N38" s="1">
        <f>International_Education_Costs[[#This Row],[Total_Cost]]/International_Education_Costs[[#This Row],[Duration_Years]]</f>
        <v>22247.5</v>
      </c>
      <c r="O38" s="1">
        <f>International_Education_Costs[[#This Row],[Rent_USD]] * 12 * International_Education_Costs[[#This Row],[Duration_Years]]</f>
        <v>76800</v>
      </c>
      <c r="P38" s="1">
        <f>International_Education_Costs[[#This Row],[Total_Cost]]-International_Education_Costs[[#This Row],[Tuition_USD]]</f>
        <v>80090</v>
      </c>
      <c r="Q38" s="2">
        <f>International_Education_Costs[[#This Row],[Tuition_USD]]/International_Education_Costs[[#This Row],[Total_Cost]]</f>
        <v>0.1000112372176649</v>
      </c>
    </row>
    <row r="39" spans="1:17" x14ac:dyDescent="0.25">
      <c r="A39" t="s">
        <v>21</v>
      </c>
      <c r="B39" t="s">
        <v>139</v>
      </c>
      <c r="C39" t="s">
        <v>140</v>
      </c>
      <c r="D39" t="s">
        <v>141</v>
      </c>
      <c r="E39" t="s">
        <v>122</v>
      </c>
      <c r="F39">
        <v>4</v>
      </c>
      <c r="G39" s="1">
        <v>21500</v>
      </c>
      <c r="H39">
        <v>69.8</v>
      </c>
      <c r="I39" s="1">
        <v>1300</v>
      </c>
      <c r="J39" s="1">
        <v>235</v>
      </c>
      <c r="K39" s="1">
        <v>900</v>
      </c>
      <c r="L39">
        <v>1.35</v>
      </c>
      <c r="M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87735</v>
      </c>
      <c r="N39" s="1">
        <f>International_Education_Costs[[#This Row],[Total_Cost]]/International_Education_Costs[[#This Row],[Duration_Years]]</f>
        <v>21933.75</v>
      </c>
      <c r="O39" s="1">
        <f>International_Education_Costs[[#This Row],[Rent_USD]] * 12 * International_Education_Costs[[#This Row],[Duration_Years]]</f>
        <v>62400</v>
      </c>
      <c r="P39" s="1">
        <f>International_Education_Costs[[#This Row],[Total_Cost]]-International_Education_Costs[[#This Row],[Tuition_USD]]</f>
        <v>66235</v>
      </c>
      <c r="Q39" s="2">
        <f>International_Education_Costs[[#This Row],[Tuition_USD]]/International_Education_Costs[[#This Row],[Total_Cost]]</f>
        <v>0.24505613495184361</v>
      </c>
    </row>
    <row r="40" spans="1:17" x14ac:dyDescent="0.25">
      <c r="A40" t="s">
        <v>25</v>
      </c>
      <c r="B40" t="s">
        <v>142</v>
      </c>
      <c r="C40" t="s">
        <v>143</v>
      </c>
      <c r="D40" t="s">
        <v>144</v>
      </c>
      <c r="E40" t="s">
        <v>122</v>
      </c>
      <c r="F40">
        <v>4</v>
      </c>
      <c r="G40" s="1">
        <v>29800</v>
      </c>
      <c r="H40">
        <v>70.2</v>
      </c>
      <c r="I40" s="1">
        <v>1400</v>
      </c>
      <c r="J40" s="1">
        <v>450</v>
      </c>
      <c r="K40" s="1">
        <v>650</v>
      </c>
      <c r="L40">
        <v>1.52</v>
      </c>
      <c r="M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100050</v>
      </c>
      <c r="N40" s="1">
        <f>International_Education_Costs[[#This Row],[Total_Cost]]/International_Education_Costs[[#This Row],[Duration_Years]]</f>
        <v>25012.5</v>
      </c>
      <c r="O40" s="1">
        <f>International_Education_Costs[[#This Row],[Rent_USD]] * 12 * International_Education_Costs[[#This Row],[Duration_Years]]</f>
        <v>67200</v>
      </c>
      <c r="P40" s="1">
        <f>International_Education_Costs[[#This Row],[Total_Cost]]-International_Education_Costs[[#This Row],[Tuition_USD]]</f>
        <v>70250</v>
      </c>
      <c r="Q40" s="2">
        <f>International_Education_Costs[[#This Row],[Tuition_USD]]/International_Education_Costs[[#This Row],[Total_Cost]]</f>
        <v>0.29785107446276859</v>
      </c>
    </row>
    <row r="41" spans="1:17" x14ac:dyDescent="0.25">
      <c r="A41" t="s">
        <v>52</v>
      </c>
      <c r="B41" t="s">
        <v>145</v>
      </c>
      <c r="C41" t="s">
        <v>146</v>
      </c>
      <c r="D41" t="s">
        <v>147</v>
      </c>
      <c r="E41" t="s">
        <v>122</v>
      </c>
      <c r="F41">
        <v>4</v>
      </c>
      <c r="G41" s="1">
        <v>0</v>
      </c>
      <c r="H41">
        <v>69.5</v>
      </c>
      <c r="I41" s="1">
        <v>1000</v>
      </c>
      <c r="J41" s="1">
        <v>110</v>
      </c>
      <c r="K41" s="1">
        <v>400</v>
      </c>
      <c r="L41">
        <v>10.45</v>
      </c>
      <c r="M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49710</v>
      </c>
      <c r="N41" s="1">
        <f>International_Education_Costs[[#This Row],[Total_Cost]]/International_Education_Costs[[#This Row],[Duration_Years]]</f>
        <v>12427.5</v>
      </c>
      <c r="O41" s="1">
        <f>International_Education_Costs[[#This Row],[Rent_USD]] * 12 * International_Education_Costs[[#This Row],[Duration_Years]]</f>
        <v>48000</v>
      </c>
      <c r="P41" s="1">
        <f>International_Education_Costs[[#This Row],[Total_Cost]]-International_Education_Costs[[#This Row],[Tuition_USD]]</f>
        <v>49710</v>
      </c>
      <c r="Q41" s="2">
        <f>International_Education_Costs[[#This Row],[Tuition_USD]]/International_Education_Costs[[#This Row],[Total_Cost]]</f>
        <v>0</v>
      </c>
    </row>
    <row r="42" spans="1:17" x14ac:dyDescent="0.25">
      <c r="A42" t="s">
        <v>12</v>
      </c>
      <c r="B42" t="s">
        <v>148</v>
      </c>
      <c r="C42" t="s">
        <v>149</v>
      </c>
      <c r="D42" t="s">
        <v>15</v>
      </c>
      <c r="E42" t="s">
        <v>75</v>
      </c>
      <c r="F42">
        <v>4</v>
      </c>
      <c r="G42" s="1">
        <v>44200</v>
      </c>
      <c r="H42">
        <v>79.5</v>
      </c>
      <c r="I42" s="1">
        <v>1900</v>
      </c>
      <c r="J42" s="1">
        <v>160</v>
      </c>
      <c r="K42" s="1">
        <v>1500</v>
      </c>
      <c r="L42">
        <v>1</v>
      </c>
      <c r="M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141560</v>
      </c>
      <c r="N42" s="1">
        <f>International_Education_Costs[[#This Row],[Total_Cost]]/International_Education_Costs[[#This Row],[Duration_Years]]</f>
        <v>35390</v>
      </c>
      <c r="O42" s="1">
        <f>International_Education_Costs[[#This Row],[Rent_USD]] * 12 * International_Education_Costs[[#This Row],[Duration_Years]]</f>
        <v>91200</v>
      </c>
      <c r="P42" s="1">
        <f>International_Education_Costs[[#This Row],[Total_Cost]]-International_Education_Costs[[#This Row],[Tuition_USD]]</f>
        <v>97360</v>
      </c>
      <c r="Q42" s="2">
        <f>International_Education_Costs[[#This Row],[Tuition_USD]]/International_Education_Costs[[#This Row],[Total_Cost]]</f>
        <v>0.31223509465950833</v>
      </c>
    </row>
    <row r="43" spans="1:17" x14ac:dyDescent="0.25">
      <c r="A43" t="s">
        <v>12</v>
      </c>
      <c r="B43" t="s">
        <v>150</v>
      </c>
      <c r="C43" t="s">
        <v>151</v>
      </c>
      <c r="D43" t="s">
        <v>15</v>
      </c>
      <c r="E43" t="s">
        <v>16</v>
      </c>
      <c r="F43">
        <v>2</v>
      </c>
      <c r="G43" s="1">
        <v>38900</v>
      </c>
      <c r="H43">
        <v>83.4</v>
      </c>
      <c r="I43" s="1">
        <v>2000</v>
      </c>
      <c r="J43" s="1">
        <v>160</v>
      </c>
      <c r="K43" s="1">
        <v>1500</v>
      </c>
      <c r="L43">
        <v>1</v>
      </c>
      <c r="M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90060</v>
      </c>
      <c r="N43" s="1">
        <f>International_Education_Costs[[#This Row],[Total_Cost]]/International_Education_Costs[[#This Row],[Duration_Years]]</f>
        <v>45030</v>
      </c>
      <c r="O43" s="1">
        <f>International_Education_Costs[[#This Row],[Rent_USD]] * 12 * International_Education_Costs[[#This Row],[Duration_Years]]</f>
        <v>48000</v>
      </c>
      <c r="P43" s="1">
        <f>International_Education_Costs[[#This Row],[Total_Cost]]-International_Education_Costs[[#This Row],[Tuition_USD]]</f>
        <v>51160</v>
      </c>
      <c r="Q43" s="2">
        <f>International_Education_Costs[[#This Row],[Tuition_USD]]/International_Education_Costs[[#This Row],[Total_Cost]]</f>
        <v>0.43193426604485896</v>
      </c>
    </row>
    <row r="44" spans="1:17" x14ac:dyDescent="0.25">
      <c r="A44" t="s">
        <v>21</v>
      </c>
      <c r="B44" t="s">
        <v>152</v>
      </c>
      <c r="C44" t="s">
        <v>153</v>
      </c>
      <c r="D44" t="s">
        <v>15</v>
      </c>
      <c r="E44" t="s">
        <v>122</v>
      </c>
      <c r="F44">
        <v>4</v>
      </c>
      <c r="G44" s="1">
        <v>22800</v>
      </c>
      <c r="H44">
        <v>67.8</v>
      </c>
      <c r="I44" s="1">
        <v>1200</v>
      </c>
      <c r="J44" s="1">
        <v>235</v>
      </c>
      <c r="K44" s="1">
        <v>900</v>
      </c>
      <c r="L44">
        <v>1.35</v>
      </c>
      <c r="M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84235</v>
      </c>
      <c r="N44" s="1">
        <f>International_Education_Costs[[#This Row],[Total_Cost]]/International_Education_Costs[[#This Row],[Duration_Years]]</f>
        <v>21058.75</v>
      </c>
      <c r="O44" s="1">
        <f>International_Education_Costs[[#This Row],[Rent_USD]] * 12 * International_Education_Costs[[#This Row],[Duration_Years]]</f>
        <v>57600</v>
      </c>
      <c r="P44" s="1">
        <f>International_Education_Costs[[#This Row],[Total_Cost]]-International_Education_Costs[[#This Row],[Tuition_USD]]</f>
        <v>61435</v>
      </c>
      <c r="Q44" s="2">
        <f>International_Education_Costs[[#This Row],[Tuition_USD]]/International_Education_Costs[[#This Row],[Total_Cost]]</f>
        <v>0.27067133614293348</v>
      </c>
    </row>
    <row r="45" spans="1:17" x14ac:dyDescent="0.25">
      <c r="A45" t="s">
        <v>17</v>
      </c>
      <c r="B45" t="s">
        <v>154</v>
      </c>
      <c r="C45" t="s">
        <v>155</v>
      </c>
      <c r="D45" t="s">
        <v>15</v>
      </c>
      <c r="E45" t="s">
        <v>16</v>
      </c>
      <c r="F45">
        <v>1</v>
      </c>
      <c r="G45" s="1">
        <v>33500</v>
      </c>
      <c r="H45">
        <v>67.5</v>
      </c>
      <c r="I45" s="1">
        <v>1100</v>
      </c>
      <c r="J45" s="1">
        <v>485</v>
      </c>
      <c r="K45" s="1">
        <v>800</v>
      </c>
      <c r="L45">
        <v>0.79</v>
      </c>
      <c r="M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47985</v>
      </c>
      <c r="N45" s="1">
        <f>International_Education_Costs[[#This Row],[Total_Cost]]/International_Education_Costs[[#This Row],[Duration_Years]]</f>
        <v>47985</v>
      </c>
      <c r="O45" s="1">
        <f>International_Education_Costs[[#This Row],[Rent_USD]] * 12 * International_Education_Costs[[#This Row],[Duration_Years]]</f>
        <v>13200</v>
      </c>
      <c r="P45" s="1">
        <f>International_Education_Costs[[#This Row],[Total_Cost]]-International_Education_Costs[[#This Row],[Tuition_USD]]</f>
        <v>14485</v>
      </c>
      <c r="Q45" s="2">
        <f>International_Education_Costs[[#This Row],[Tuition_USD]]/International_Education_Costs[[#This Row],[Total_Cost]]</f>
        <v>0.69813483380222985</v>
      </c>
    </row>
    <row r="46" spans="1:17" x14ac:dyDescent="0.25">
      <c r="A46" t="s">
        <v>156</v>
      </c>
      <c r="B46" t="s">
        <v>157</v>
      </c>
      <c r="C46" t="s">
        <v>158</v>
      </c>
      <c r="D46" t="s">
        <v>15</v>
      </c>
      <c r="E46" t="s">
        <v>16</v>
      </c>
      <c r="F46">
        <v>2</v>
      </c>
      <c r="G46" s="1">
        <v>2500</v>
      </c>
      <c r="H46">
        <v>45.6</v>
      </c>
      <c r="I46" s="1">
        <v>500</v>
      </c>
      <c r="J46" s="1">
        <v>200</v>
      </c>
      <c r="K46" s="1">
        <v>300</v>
      </c>
      <c r="L46">
        <v>83.2</v>
      </c>
      <c r="M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15300</v>
      </c>
      <c r="N46" s="1">
        <f>International_Education_Costs[[#This Row],[Total_Cost]]/International_Education_Costs[[#This Row],[Duration_Years]]</f>
        <v>7650</v>
      </c>
      <c r="O46" s="1">
        <f>International_Education_Costs[[#This Row],[Rent_USD]] * 12 * International_Education_Costs[[#This Row],[Duration_Years]]</f>
        <v>12000</v>
      </c>
      <c r="P46" s="1">
        <f>International_Education_Costs[[#This Row],[Total_Cost]]-International_Education_Costs[[#This Row],[Tuition_USD]]</f>
        <v>12800</v>
      </c>
      <c r="Q46" s="2">
        <f>International_Education_Costs[[#This Row],[Tuition_USD]]/International_Education_Costs[[#This Row],[Total_Cost]]</f>
        <v>0.16339869281045752</v>
      </c>
    </row>
    <row r="47" spans="1:17" x14ac:dyDescent="0.25">
      <c r="A47" t="s">
        <v>56</v>
      </c>
      <c r="B47" t="s">
        <v>159</v>
      </c>
      <c r="C47" t="s">
        <v>160</v>
      </c>
      <c r="D47" t="s">
        <v>15</v>
      </c>
      <c r="E47" t="s">
        <v>75</v>
      </c>
      <c r="F47">
        <v>3</v>
      </c>
      <c r="G47" s="1">
        <v>0</v>
      </c>
      <c r="H47">
        <v>69.8</v>
      </c>
      <c r="I47" s="1">
        <v>900</v>
      </c>
      <c r="J47" s="1">
        <v>120</v>
      </c>
      <c r="K47" s="1">
        <v>450</v>
      </c>
      <c r="L47">
        <v>6.92</v>
      </c>
      <c r="M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33870</v>
      </c>
      <c r="N47" s="1">
        <f>International_Education_Costs[[#This Row],[Total_Cost]]/International_Education_Costs[[#This Row],[Duration_Years]]</f>
        <v>11290</v>
      </c>
      <c r="O47" s="1">
        <f>International_Education_Costs[[#This Row],[Rent_USD]] * 12 * International_Education_Costs[[#This Row],[Duration_Years]]</f>
        <v>32400</v>
      </c>
      <c r="P47" s="1">
        <f>International_Education_Costs[[#This Row],[Total_Cost]]-International_Education_Costs[[#This Row],[Tuition_USD]]</f>
        <v>33870</v>
      </c>
      <c r="Q47" s="2">
        <f>International_Education_Costs[[#This Row],[Tuition_USD]]/International_Education_Costs[[#This Row],[Total_Cost]]</f>
        <v>0</v>
      </c>
    </row>
    <row r="48" spans="1:17" x14ac:dyDescent="0.25">
      <c r="A48" t="s">
        <v>161</v>
      </c>
      <c r="B48" t="s">
        <v>162</v>
      </c>
      <c r="C48" t="s">
        <v>163</v>
      </c>
      <c r="D48" t="s">
        <v>15</v>
      </c>
      <c r="E48" t="s">
        <v>16</v>
      </c>
      <c r="F48">
        <v>2</v>
      </c>
      <c r="G48" s="1">
        <v>3800</v>
      </c>
      <c r="H48">
        <v>51.2</v>
      </c>
      <c r="I48" s="1">
        <v>650</v>
      </c>
      <c r="J48" s="1">
        <v>80</v>
      </c>
      <c r="K48" s="1">
        <v>350</v>
      </c>
      <c r="L48">
        <v>4.0199999999999996</v>
      </c>
      <c r="M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20180</v>
      </c>
      <c r="N48" s="1">
        <f>International_Education_Costs[[#This Row],[Total_Cost]]/International_Education_Costs[[#This Row],[Duration_Years]]</f>
        <v>10090</v>
      </c>
      <c r="O48" s="1">
        <f>International_Education_Costs[[#This Row],[Rent_USD]] * 12 * International_Education_Costs[[#This Row],[Duration_Years]]</f>
        <v>15600</v>
      </c>
      <c r="P48" s="1">
        <f>International_Education_Costs[[#This Row],[Total_Cost]]-International_Education_Costs[[#This Row],[Tuition_USD]]</f>
        <v>16380</v>
      </c>
      <c r="Q48" s="2">
        <f>International_Education_Costs[[#This Row],[Tuition_USD]]/International_Education_Costs[[#This Row],[Total_Cost]]</f>
        <v>0.18830525272547077</v>
      </c>
    </row>
    <row r="49" spans="1:17" x14ac:dyDescent="0.25">
      <c r="A49" t="s">
        <v>68</v>
      </c>
      <c r="B49" t="s">
        <v>164</v>
      </c>
      <c r="C49" t="s">
        <v>165</v>
      </c>
      <c r="D49" t="s">
        <v>15</v>
      </c>
      <c r="E49" t="s">
        <v>75</v>
      </c>
      <c r="F49">
        <v>4</v>
      </c>
      <c r="G49" s="1">
        <v>25800</v>
      </c>
      <c r="H49">
        <v>68.5</v>
      </c>
      <c r="I49" s="1">
        <v>1100</v>
      </c>
      <c r="J49" s="1">
        <v>150</v>
      </c>
      <c r="K49" s="1">
        <v>650</v>
      </c>
      <c r="L49">
        <v>0.92</v>
      </c>
      <c r="M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81350</v>
      </c>
      <c r="N49" s="1">
        <f>International_Education_Costs[[#This Row],[Total_Cost]]/International_Education_Costs[[#This Row],[Duration_Years]]</f>
        <v>20337.5</v>
      </c>
      <c r="O49" s="1">
        <f>International_Education_Costs[[#This Row],[Rent_USD]] * 12 * International_Education_Costs[[#This Row],[Duration_Years]]</f>
        <v>52800</v>
      </c>
      <c r="P49" s="1">
        <f>International_Education_Costs[[#This Row],[Total_Cost]]-International_Education_Costs[[#This Row],[Tuition_USD]]</f>
        <v>55550</v>
      </c>
      <c r="Q49" s="2">
        <f>International_Education_Costs[[#This Row],[Tuition_USD]]/International_Education_Costs[[#This Row],[Total_Cost]]</f>
        <v>0.31714812538414261</v>
      </c>
    </row>
    <row r="50" spans="1:17" x14ac:dyDescent="0.25">
      <c r="A50" t="s">
        <v>64</v>
      </c>
      <c r="B50" t="s">
        <v>166</v>
      </c>
      <c r="C50" t="s">
        <v>167</v>
      </c>
      <c r="D50" t="s">
        <v>15</v>
      </c>
      <c r="E50" t="s">
        <v>122</v>
      </c>
      <c r="F50">
        <v>4</v>
      </c>
      <c r="G50" s="1">
        <v>6900</v>
      </c>
      <c r="H50">
        <v>65.400000000000006</v>
      </c>
      <c r="I50" s="1">
        <v>700</v>
      </c>
      <c r="J50" s="1">
        <v>130</v>
      </c>
      <c r="K50" s="1">
        <v>500</v>
      </c>
      <c r="L50">
        <v>1320.5</v>
      </c>
      <c r="M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42630</v>
      </c>
      <c r="N50" s="1">
        <f>International_Education_Costs[[#This Row],[Total_Cost]]/International_Education_Costs[[#This Row],[Duration_Years]]</f>
        <v>10657.5</v>
      </c>
      <c r="O50" s="1">
        <f>International_Education_Costs[[#This Row],[Rent_USD]] * 12 * International_Education_Costs[[#This Row],[Duration_Years]]</f>
        <v>33600</v>
      </c>
      <c r="P50" s="1">
        <f>International_Education_Costs[[#This Row],[Total_Cost]]-International_Education_Costs[[#This Row],[Tuition_USD]]</f>
        <v>35730</v>
      </c>
      <c r="Q50" s="2">
        <f>International_Education_Costs[[#This Row],[Tuition_USD]]/International_Education_Costs[[#This Row],[Total_Cost]]</f>
        <v>0.16185784658691063</v>
      </c>
    </row>
    <row r="51" spans="1:17" x14ac:dyDescent="0.25">
      <c r="A51" t="s">
        <v>168</v>
      </c>
      <c r="B51" t="s">
        <v>169</v>
      </c>
      <c r="C51" t="s">
        <v>170</v>
      </c>
      <c r="D51" t="s">
        <v>15</v>
      </c>
      <c r="E51" t="s">
        <v>75</v>
      </c>
      <c r="F51">
        <v>4</v>
      </c>
      <c r="G51" s="1">
        <v>4800</v>
      </c>
      <c r="H51">
        <v>48.2</v>
      </c>
      <c r="I51" s="1">
        <v>500</v>
      </c>
      <c r="J51" s="1">
        <v>110</v>
      </c>
      <c r="K51" s="1">
        <v>300</v>
      </c>
      <c r="L51">
        <v>4.72</v>
      </c>
      <c r="M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30110</v>
      </c>
      <c r="N51" s="1">
        <f>International_Education_Costs[[#This Row],[Total_Cost]]/International_Education_Costs[[#This Row],[Duration_Years]]</f>
        <v>7527.5</v>
      </c>
      <c r="O51" s="1">
        <f>International_Education_Costs[[#This Row],[Rent_USD]] * 12 * International_Education_Costs[[#This Row],[Duration_Years]]</f>
        <v>24000</v>
      </c>
      <c r="P51" s="1">
        <f>International_Education_Costs[[#This Row],[Total_Cost]]-International_Education_Costs[[#This Row],[Tuition_USD]]</f>
        <v>25310</v>
      </c>
      <c r="Q51" s="2">
        <f>International_Education_Costs[[#This Row],[Tuition_USD]]/International_Education_Costs[[#This Row],[Total_Cost]]</f>
        <v>0.15941547658585187</v>
      </c>
    </row>
    <row r="52" spans="1:17" x14ac:dyDescent="0.25">
      <c r="A52" t="s">
        <v>12</v>
      </c>
      <c r="B52" t="s">
        <v>171</v>
      </c>
      <c r="C52" t="s">
        <v>172</v>
      </c>
      <c r="D52" t="s">
        <v>15</v>
      </c>
      <c r="E52" t="s">
        <v>75</v>
      </c>
      <c r="F52">
        <v>4</v>
      </c>
      <c r="G52" s="1">
        <v>44900</v>
      </c>
      <c r="H52">
        <v>84.2</v>
      </c>
      <c r="I52" s="1">
        <v>2100</v>
      </c>
      <c r="J52" s="1">
        <v>160</v>
      </c>
      <c r="K52" s="1">
        <v>1500</v>
      </c>
      <c r="L52">
        <v>1</v>
      </c>
      <c r="M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151860</v>
      </c>
      <c r="N52" s="1">
        <f>International_Education_Costs[[#This Row],[Total_Cost]]/International_Education_Costs[[#This Row],[Duration_Years]]</f>
        <v>37965</v>
      </c>
      <c r="O52" s="1">
        <f>International_Education_Costs[[#This Row],[Rent_USD]] * 12 * International_Education_Costs[[#This Row],[Duration_Years]]</f>
        <v>100800</v>
      </c>
      <c r="P52" s="1">
        <f>International_Education_Costs[[#This Row],[Total_Cost]]-International_Education_Costs[[#This Row],[Tuition_USD]]</f>
        <v>106960</v>
      </c>
      <c r="Q52" s="2">
        <f>International_Education_Costs[[#This Row],[Tuition_USD]]/International_Education_Costs[[#This Row],[Total_Cost]]</f>
        <v>0.29566706176741736</v>
      </c>
    </row>
    <row r="53" spans="1:17" x14ac:dyDescent="0.25">
      <c r="A53" t="s">
        <v>17</v>
      </c>
      <c r="B53" t="s">
        <v>173</v>
      </c>
      <c r="C53" t="s">
        <v>174</v>
      </c>
      <c r="D53" t="s">
        <v>175</v>
      </c>
      <c r="E53" t="s">
        <v>75</v>
      </c>
      <c r="F53">
        <v>3</v>
      </c>
      <c r="G53" s="1">
        <v>32000</v>
      </c>
      <c r="H53">
        <v>68.400000000000006</v>
      </c>
      <c r="I53" s="1">
        <v>1200</v>
      </c>
      <c r="J53" s="1">
        <v>485</v>
      </c>
      <c r="K53" s="1">
        <v>800</v>
      </c>
      <c r="L53">
        <v>0.79</v>
      </c>
      <c r="M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78085</v>
      </c>
      <c r="N53" s="1">
        <f>International_Education_Costs[[#This Row],[Total_Cost]]/International_Education_Costs[[#This Row],[Duration_Years]]</f>
        <v>26028.333333333332</v>
      </c>
      <c r="O53" s="1">
        <f>International_Education_Costs[[#This Row],[Rent_USD]] * 12 * International_Education_Costs[[#This Row],[Duration_Years]]</f>
        <v>43200</v>
      </c>
      <c r="P53" s="1">
        <f>International_Education_Costs[[#This Row],[Total_Cost]]-International_Education_Costs[[#This Row],[Tuition_USD]]</f>
        <v>46085</v>
      </c>
      <c r="Q53" s="2">
        <f>International_Education_Costs[[#This Row],[Tuition_USD]]/International_Education_Costs[[#This Row],[Total_Cost]]</f>
        <v>0.40980982262918614</v>
      </c>
    </row>
    <row r="54" spans="1:17" x14ac:dyDescent="0.25">
      <c r="A54" t="s">
        <v>21</v>
      </c>
      <c r="B54" t="s">
        <v>176</v>
      </c>
      <c r="C54" t="s">
        <v>177</v>
      </c>
      <c r="D54" t="s">
        <v>178</v>
      </c>
      <c r="E54" t="s">
        <v>75</v>
      </c>
      <c r="F54">
        <v>4</v>
      </c>
      <c r="G54" s="1">
        <v>31200</v>
      </c>
      <c r="H54">
        <v>71.2</v>
      </c>
      <c r="I54" s="1">
        <v>1700</v>
      </c>
      <c r="J54" s="1">
        <v>235</v>
      </c>
      <c r="K54" s="1">
        <v>900</v>
      </c>
      <c r="L54">
        <v>1.35</v>
      </c>
      <c r="M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116635</v>
      </c>
      <c r="N54" s="1">
        <f>International_Education_Costs[[#This Row],[Total_Cost]]/International_Education_Costs[[#This Row],[Duration_Years]]</f>
        <v>29158.75</v>
      </c>
      <c r="O54" s="1">
        <f>International_Education_Costs[[#This Row],[Rent_USD]] * 12 * International_Education_Costs[[#This Row],[Duration_Years]]</f>
        <v>81600</v>
      </c>
      <c r="P54" s="1">
        <f>International_Education_Costs[[#This Row],[Total_Cost]]-International_Education_Costs[[#This Row],[Tuition_USD]]</f>
        <v>85435</v>
      </c>
      <c r="Q54" s="2">
        <f>International_Education_Costs[[#This Row],[Tuition_USD]]/International_Education_Costs[[#This Row],[Total_Cost]]</f>
        <v>0.26750117889141339</v>
      </c>
    </row>
    <row r="55" spans="1:17" x14ac:dyDescent="0.25">
      <c r="A55" t="s">
        <v>25</v>
      </c>
      <c r="B55" t="s">
        <v>179</v>
      </c>
      <c r="C55" t="s">
        <v>180</v>
      </c>
      <c r="D55" t="s">
        <v>74</v>
      </c>
      <c r="E55" t="s">
        <v>75</v>
      </c>
      <c r="F55">
        <v>3</v>
      </c>
      <c r="G55" s="1">
        <v>35000</v>
      </c>
      <c r="H55">
        <v>72.8</v>
      </c>
      <c r="I55" s="1">
        <v>1600</v>
      </c>
      <c r="J55" s="1">
        <v>450</v>
      </c>
      <c r="K55" s="1">
        <v>650</v>
      </c>
      <c r="L55">
        <v>1.52</v>
      </c>
      <c r="M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95000</v>
      </c>
      <c r="N55" s="1">
        <f>International_Education_Costs[[#This Row],[Total_Cost]]/International_Education_Costs[[#This Row],[Duration_Years]]</f>
        <v>31666.666666666668</v>
      </c>
      <c r="O55" s="1">
        <f>International_Education_Costs[[#This Row],[Rent_USD]] * 12 * International_Education_Costs[[#This Row],[Duration_Years]]</f>
        <v>57600</v>
      </c>
      <c r="P55" s="1">
        <f>International_Education_Costs[[#This Row],[Total_Cost]]-International_Education_Costs[[#This Row],[Tuition_USD]]</f>
        <v>60000</v>
      </c>
      <c r="Q55" s="2">
        <f>International_Education_Costs[[#This Row],[Tuition_USD]]/International_Education_Costs[[#This Row],[Total_Cost]]</f>
        <v>0.36842105263157893</v>
      </c>
    </row>
    <row r="56" spans="1:17" x14ac:dyDescent="0.25">
      <c r="A56" t="s">
        <v>29</v>
      </c>
      <c r="B56" t="s">
        <v>181</v>
      </c>
      <c r="C56" t="s">
        <v>182</v>
      </c>
      <c r="D56" t="s">
        <v>183</v>
      </c>
      <c r="E56" t="s">
        <v>75</v>
      </c>
      <c r="F56">
        <v>3</v>
      </c>
      <c r="G56" s="1">
        <v>0</v>
      </c>
      <c r="H56">
        <v>65.2</v>
      </c>
      <c r="I56" s="1">
        <v>900</v>
      </c>
      <c r="J56" s="1">
        <v>75</v>
      </c>
      <c r="K56" s="1">
        <v>550</v>
      </c>
      <c r="L56">
        <v>0.92</v>
      </c>
      <c r="M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34125</v>
      </c>
      <c r="N56" s="1">
        <f>International_Education_Costs[[#This Row],[Total_Cost]]/International_Education_Costs[[#This Row],[Duration_Years]]</f>
        <v>11375</v>
      </c>
      <c r="O56" s="1">
        <f>International_Education_Costs[[#This Row],[Rent_USD]] * 12 * International_Education_Costs[[#This Row],[Duration_Years]]</f>
        <v>32400</v>
      </c>
      <c r="P56" s="1">
        <f>International_Education_Costs[[#This Row],[Total_Cost]]-International_Education_Costs[[#This Row],[Tuition_USD]]</f>
        <v>34125</v>
      </c>
      <c r="Q56" s="2">
        <f>International_Education_Costs[[#This Row],[Tuition_USD]]/International_Education_Costs[[#This Row],[Total_Cost]]</f>
        <v>0</v>
      </c>
    </row>
    <row r="57" spans="1:17" x14ac:dyDescent="0.25">
      <c r="A57" t="s">
        <v>184</v>
      </c>
      <c r="B57" t="s">
        <v>185</v>
      </c>
      <c r="C57" t="s">
        <v>186</v>
      </c>
      <c r="D57" t="s">
        <v>108</v>
      </c>
      <c r="E57" t="s">
        <v>75</v>
      </c>
      <c r="F57">
        <v>4</v>
      </c>
      <c r="G57" s="1">
        <v>2800</v>
      </c>
      <c r="H57">
        <v>62.4</v>
      </c>
      <c r="I57" s="1">
        <v>950</v>
      </c>
      <c r="J57" s="1">
        <v>160</v>
      </c>
      <c r="K57" s="1">
        <v>500</v>
      </c>
      <c r="L57">
        <v>0.92</v>
      </c>
      <c r="M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50560</v>
      </c>
      <c r="N57" s="1">
        <f>International_Education_Costs[[#This Row],[Total_Cost]]/International_Education_Costs[[#This Row],[Duration_Years]]</f>
        <v>12640</v>
      </c>
      <c r="O57" s="1">
        <f>International_Education_Costs[[#This Row],[Rent_USD]] * 12 * International_Education_Costs[[#This Row],[Duration_Years]]</f>
        <v>45600</v>
      </c>
      <c r="P57" s="1">
        <f>International_Education_Costs[[#This Row],[Total_Cost]]-International_Education_Costs[[#This Row],[Tuition_USD]]</f>
        <v>47760</v>
      </c>
      <c r="Q57" s="2">
        <f>International_Education_Costs[[#This Row],[Tuition_USD]]/International_Education_Costs[[#This Row],[Total_Cost]]</f>
        <v>5.5379746835443035E-2</v>
      </c>
    </row>
    <row r="58" spans="1:17" x14ac:dyDescent="0.25">
      <c r="A58" t="s">
        <v>187</v>
      </c>
      <c r="B58" t="s">
        <v>188</v>
      </c>
      <c r="C58" t="s">
        <v>189</v>
      </c>
      <c r="D58" t="s">
        <v>190</v>
      </c>
      <c r="E58" t="s">
        <v>75</v>
      </c>
      <c r="F58">
        <v>3</v>
      </c>
      <c r="G58" s="1">
        <v>4200</v>
      </c>
      <c r="H58">
        <v>63.8</v>
      </c>
      <c r="I58" s="1">
        <v>1100</v>
      </c>
      <c r="J58" s="1">
        <v>120</v>
      </c>
      <c r="K58" s="1">
        <v>650</v>
      </c>
      <c r="L58">
        <v>0.92</v>
      </c>
      <c r="M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45870</v>
      </c>
      <c r="N58" s="1">
        <f>International_Education_Costs[[#This Row],[Total_Cost]]/International_Education_Costs[[#This Row],[Duration_Years]]</f>
        <v>15290</v>
      </c>
      <c r="O58" s="1">
        <f>International_Education_Costs[[#This Row],[Rent_USD]] * 12 * International_Education_Costs[[#This Row],[Duration_Years]]</f>
        <v>39600</v>
      </c>
      <c r="P58" s="1">
        <f>International_Education_Costs[[#This Row],[Total_Cost]]-International_Education_Costs[[#This Row],[Tuition_USD]]</f>
        <v>41670</v>
      </c>
      <c r="Q58" s="2">
        <f>International_Education_Costs[[#This Row],[Tuition_USD]]/International_Education_Costs[[#This Row],[Total_Cost]]</f>
        <v>9.1563113145846961E-2</v>
      </c>
    </row>
    <row r="59" spans="1:17" x14ac:dyDescent="0.25">
      <c r="A59" t="s">
        <v>37</v>
      </c>
      <c r="B59" t="s">
        <v>191</v>
      </c>
      <c r="C59" t="s">
        <v>192</v>
      </c>
      <c r="D59" t="s">
        <v>175</v>
      </c>
      <c r="E59" t="s">
        <v>75</v>
      </c>
      <c r="F59">
        <v>3</v>
      </c>
      <c r="G59" s="1">
        <v>11200</v>
      </c>
      <c r="H59">
        <v>71.5</v>
      </c>
      <c r="I59" s="1">
        <v>1300</v>
      </c>
      <c r="J59" s="1">
        <v>180</v>
      </c>
      <c r="K59" s="1">
        <v>720</v>
      </c>
      <c r="L59">
        <v>0.92</v>
      </c>
      <c r="M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60340</v>
      </c>
      <c r="N59" s="1">
        <f>International_Education_Costs[[#This Row],[Total_Cost]]/International_Education_Costs[[#This Row],[Duration_Years]]</f>
        <v>20113.333333333332</v>
      </c>
      <c r="O59" s="1">
        <f>International_Education_Costs[[#This Row],[Rent_USD]] * 12 * International_Education_Costs[[#This Row],[Duration_Years]]</f>
        <v>46800</v>
      </c>
      <c r="P59" s="1">
        <f>International_Education_Costs[[#This Row],[Total_Cost]]-International_Education_Costs[[#This Row],[Tuition_USD]]</f>
        <v>49140</v>
      </c>
      <c r="Q59" s="2">
        <f>International_Education_Costs[[#This Row],[Tuition_USD]]/International_Education_Costs[[#This Row],[Total_Cost]]</f>
        <v>0.18561484918793503</v>
      </c>
    </row>
    <row r="60" spans="1:17" x14ac:dyDescent="0.25">
      <c r="A60" t="s">
        <v>193</v>
      </c>
      <c r="B60" t="s">
        <v>194</v>
      </c>
      <c r="C60" t="s">
        <v>195</v>
      </c>
      <c r="D60" t="s">
        <v>15</v>
      </c>
      <c r="E60" t="s">
        <v>75</v>
      </c>
      <c r="F60">
        <v>3</v>
      </c>
      <c r="G60" s="1">
        <v>0</v>
      </c>
      <c r="H60">
        <v>70.2</v>
      </c>
      <c r="I60" s="1">
        <v>1100</v>
      </c>
      <c r="J60" s="1">
        <v>120</v>
      </c>
      <c r="K60" s="1">
        <v>400</v>
      </c>
      <c r="L60">
        <v>0.92</v>
      </c>
      <c r="M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40920</v>
      </c>
      <c r="N60" s="1">
        <f>International_Education_Costs[[#This Row],[Total_Cost]]/International_Education_Costs[[#This Row],[Duration_Years]]</f>
        <v>13640</v>
      </c>
      <c r="O60" s="1">
        <f>International_Education_Costs[[#This Row],[Rent_USD]] * 12 * International_Education_Costs[[#This Row],[Duration_Years]]</f>
        <v>39600</v>
      </c>
      <c r="P60" s="1">
        <f>International_Education_Costs[[#This Row],[Total_Cost]]-International_Education_Costs[[#This Row],[Tuition_USD]]</f>
        <v>40920</v>
      </c>
      <c r="Q60" s="2">
        <f>International_Education_Costs[[#This Row],[Tuition_USD]]/International_Education_Costs[[#This Row],[Total_Cost]]</f>
        <v>0</v>
      </c>
    </row>
    <row r="61" spans="1:17" x14ac:dyDescent="0.25">
      <c r="A61" t="s">
        <v>196</v>
      </c>
      <c r="B61" t="s">
        <v>197</v>
      </c>
      <c r="C61" t="s">
        <v>198</v>
      </c>
      <c r="D61" t="s">
        <v>199</v>
      </c>
      <c r="E61" t="s">
        <v>75</v>
      </c>
      <c r="F61">
        <v>3</v>
      </c>
      <c r="G61" s="1">
        <v>0</v>
      </c>
      <c r="H61">
        <v>75.599999999999994</v>
      </c>
      <c r="I61" s="1">
        <v>1400</v>
      </c>
      <c r="J61" s="1">
        <v>135</v>
      </c>
      <c r="K61" s="1">
        <v>450</v>
      </c>
      <c r="L61">
        <v>10.45</v>
      </c>
      <c r="M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51885</v>
      </c>
      <c r="N61" s="1">
        <f>International_Education_Costs[[#This Row],[Total_Cost]]/International_Education_Costs[[#This Row],[Duration_Years]]</f>
        <v>17295</v>
      </c>
      <c r="O61" s="1">
        <f>International_Education_Costs[[#This Row],[Rent_USD]] * 12 * International_Education_Costs[[#This Row],[Duration_Years]]</f>
        <v>50400</v>
      </c>
      <c r="P61" s="1">
        <f>International_Education_Costs[[#This Row],[Total_Cost]]-International_Education_Costs[[#This Row],[Tuition_USD]]</f>
        <v>51885</v>
      </c>
      <c r="Q61" s="2">
        <f>International_Education_Costs[[#This Row],[Tuition_USD]]/International_Education_Costs[[#This Row],[Total_Cost]]</f>
        <v>0</v>
      </c>
    </row>
    <row r="62" spans="1:17" x14ac:dyDescent="0.25">
      <c r="A62" t="s">
        <v>33</v>
      </c>
      <c r="B62" t="s">
        <v>200</v>
      </c>
      <c r="C62" t="s">
        <v>201</v>
      </c>
      <c r="D62" t="s">
        <v>28</v>
      </c>
      <c r="E62" t="s">
        <v>75</v>
      </c>
      <c r="F62">
        <v>4</v>
      </c>
      <c r="G62" s="1">
        <v>6800</v>
      </c>
      <c r="H62">
        <v>71.2</v>
      </c>
      <c r="I62" s="1">
        <v>900</v>
      </c>
      <c r="J62" s="1">
        <v>220</v>
      </c>
      <c r="K62" s="1">
        <v>750</v>
      </c>
      <c r="L62">
        <v>145.80000000000001</v>
      </c>
      <c r="M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53220</v>
      </c>
      <c r="N62" s="1">
        <f>International_Education_Costs[[#This Row],[Total_Cost]]/International_Education_Costs[[#This Row],[Duration_Years]]</f>
        <v>13305</v>
      </c>
      <c r="O62" s="1">
        <f>International_Education_Costs[[#This Row],[Rent_USD]] * 12 * International_Education_Costs[[#This Row],[Duration_Years]]</f>
        <v>43200</v>
      </c>
      <c r="P62" s="1">
        <f>International_Education_Costs[[#This Row],[Total_Cost]]-International_Education_Costs[[#This Row],[Tuition_USD]]</f>
        <v>46420</v>
      </c>
      <c r="Q62" s="2">
        <f>International_Education_Costs[[#This Row],[Tuition_USD]]/International_Education_Costs[[#This Row],[Total_Cost]]</f>
        <v>0.12777151446824503</v>
      </c>
    </row>
    <row r="63" spans="1:17" x14ac:dyDescent="0.25">
      <c r="A63" t="s">
        <v>33</v>
      </c>
      <c r="B63" t="s">
        <v>202</v>
      </c>
      <c r="C63" t="s">
        <v>203</v>
      </c>
      <c r="D63" t="s">
        <v>15</v>
      </c>
      <c r="E63" t="s">
        <v>16</v>
      </c>
      <c r="F63">
        <v>2</v>
      </c>
      <c r="G63" s="1">
        <v>8500</v>
      </c>
      <c r="H63">
        <v>71.8</v>
      </c>
      <c r="I63" s="1">
        <v>900</v>
      </c>
      <c r="J63" s="1">
        <v>220</v>
      </c>
      <c r="K63" s="1">
        <v>750</v>
      </c>
      <c r="L63">
        <v>145.80000000000001</v>
      </c>
      <c r="M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31820</v>
      </c>
      <c r="N63" s="1">
        <f>International_Education_Costs[[#This Row],[Total_Cost]]/International_Education_Costs[[#This Row],[Duration_Years]]</f>
        <v>15910</v>
      </c>
      <c r="O63" s="1">
        <f>International_Education_Costs[[#This Row],[Rent_USD]] * 12 * International_Education_Costs[[#This Row],[Duration_Years]]</f>
        <v>21600</v>
      </c>
      <c r="P63" s="1">
        <f>International_Education_Costs[[#This Row],[Total_Cost]]-International_Education_Costs[[#This Row],[Tuition_USD]]</f>
        <v>23320</v>
      </c>
      <c r="Q63" s="2">
        <f>International_Education_Costs[[#This Row],[Tuition_USD]]/International_Education_Costs[[#This Row],[Total_Cost]]</f>
        <v>0.26712759270898806</v>
      </c>
    </row>
    <row r="64" spans="1:17" x14ac:dyDescent="0.25">
      <c r="A64" t="s">
        <v>33</v>
      </c>
      <c r="B64" t="s">
        <v>204</v>
      </c>
      <c r="C64" t="s">
        <v>205</v>
      </c>
      <c r="D64" t="s">
        <v>36</v>
      </c>
      <c r="E64" t="s">
        <v>75</v>
      </c>
      <c r="F64">
        <v>4</v>
      </c>
      <c r="G64" s="1">
        <v>7800</v>
      </c>
      <c r="H64">
        <v>68.5</v>
      </c>
      <c r="I64" s="1">
        <v>750</v>
      </c>
      <c r="J64" s="1">
        <v>220</v>
      </c>
      <c r="K64" s="1">
        <v>750</v>
      </c>
      <c r="L64">
        <v>145.80000000000001</v>
      </c>
      <c r="M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47020</v>
      </c>
      <c r="N64" s="1">
        <f>International_Education_Costs[[#This Row],[Total_Cost]]/International_Education_Costs[[#This Row],[Duration_Years]]</f>
        <v>11755</v>
      </c>
      <c r="O64" s="1">
        <f>International_Education_Costs[[#This Row],[Rent_USD]] * 12 * International_Education_Costs[[#This Row],[Duration_Years]]</f>
        <v>36000</v>
      </c>
      <c r="P64" s="1">
        <f>International_Education_Costs[[#This Row],[Total_Cost]]-International_Education_Costs[[#This Row],[Tuition_USD]]</f>
        <v>39220</v>
      </c>
      <c r="Q64" s="2">
        <f>International_Education_Costs[[#This Row],[Tuition_USD]]/International_Education_Costs[[#This Row],[Total_Cost]]</f>
        <v>0.1658868566567418</v>
      </c>
    </row>
    <row r="65" spans="1:17" x14ac:dyDescent="0.25">
      <c r="A65" t="s">
        <v>33</v>
      </c>
      <c r="B65" t="s">
        <v>206</v>
      </c>
      <c r="C65" t="s">
        <v>207</v>
      </c>
      <c r="D65" t="s">
        <v>208</v>
      </c>
      <c r="E65" t="s">
        <v>16</v>
      </c>
      <c r="F65">
        <v>2</v>
      </c>
      <c r="G65" s="1">
        <v>8200</v>
      </c>
      <c r="H65">
        <v>65.400000000000006</v>
      </c>
      <c r="I65" s="1">
        <v>650</v>
      </c>
      <c r="J65" s="1">
        <v>220</v>
      </c>
      <c r="K65" s="1">
        <v>750</v>
      </c>
      <c r="L65">
        <v>145.80000000000001</v>
      </c>
      <c r="M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25520</v>
      </c>
      <c r="N65" s="1">
        <f>International_Education_Costs[[#This Row],[Total_Cost]]/International_Education_Costs[[#This Row],[Duration_Years]]</f>
        <v>12760</v>
      </c>
      <c r="O65" s="1">
        <f>International_Education_Costs[[#This Row],[Rent_USD]] * 12 * International_Education_Costs[[#This Row],[Duration_Years]]</f>
        <v>15600</v>
      </c>
      <c r="P65" s="1">
        <f>International_Education_Costs[[#This Row],[Total_Cost]]-International_Education_Costs[[#This Row],[Tuition_USD]]</f>
        <v>17320</v>
      </c>
      <c r="Q65" s="2">
        <f>International_Education_Costs[[#This Row],[Tuition_USD]]/International_Education_Costs[[#This Row],[Total_Cost]]</f>
        <v>0.32131661442006271</v>
      </c>
    </row>
    <row r="66" spans="1:17" x14ac:dyDescent="0.25">
      <c r="A66" t="s">
        <v>33</v>
      </c>
      <c r="B66" t="s">
        <v>209</v>
      </c>
      <c r="C66" t="s">
        <v>210</v>
      </c>
      <c r="D66" t="s">
        <v>63</v>
      </c>
      <c r="E66" t="s">
        <v>75</v>
      </c>
      <c r="F66">
        <v>4</v>
      </c>
      <c r="G66" s="1">
        <v>7500</v>
      </c>
      <c r="H66">
        <v>64.8</v>
      </c>
      <c r="I66" s="1">
        <v>600</v>
      </c>
      <c r="J66" s="1">
        <v>220</v>
      </c>
      <c r="K66" s="1">
        <v>750</v>
      </c>
      <c r="L66">
        <v>145.80000000000001</v>
      </c>
      <c r="M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39520</v>
      </c>
      <c r="N66" s="1">
        <f>International_Education_Costs[[#This Row],[Total_Cost]]/International_Education_Costs[[#This Row],[Duration_Years]]</f>
        <v>9880</v>
      </c>
      <c r="O66" s="1">
        <f>International_Education_Costs[[#This Row],[Rent_USD]] * 12 * International_Education_Costs[[#This Row],[Duration_Years]]</f>
        <v>28800</v>
      </c>
      <c r="P66" s="1">
        <f>International_Education_Costs[[#This Row],[Total_Cost]]-International_Education_Costs[[#This Row],[Tuition_USD]]</f>
        <v>32020</v>
      </c>
      <c r="Q66" s="2">
        <f>International_Education_Costs[[#This Row],[Tuition_USD]]/International_Education_Costs[[#This Row],[Total_Cost]]</f>
        <v>0.18977732793522267</v>
      </c>
    </row>
    <row r="67" spans="1:17" x14ac:dyDescent="0.25">
      <c r="A67" t="s">
        <v>33</v>
      </c>
      <c r="B67" t="s">
        <v>211</v>
      </c>
      <c r="C67" t="s">
        <v>212</v>
      </c>
      <c r="D67" t="s">
        <v>20</v>
      </c>
      <c r="E67" t="s">
        <v>16</v>
      </c>
      <c r="F67">
        <v>2</v>
      </c>
      <c r="G67" s="1">
        <v>8100</v>
      </c>
      <c r="H67">
        <v>63.5</v>
      </c>
      <c r="I67" s="1">
        <v>550</v>
      </c>
      <c r="J67" s="1">
        <v>220</v>
      </c>
      <c r="K67" s="1">
        <v>750</v>
      </c>
      <c r="L67">
        <v>145.80000000000001</v>
      </c>
      <c r="M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23020</v>
      </c>
      <c r="N67" s="1">
        <f>International_Education_Costs[[#This Row],[Total_Cost]]/International_Education_Costs[[#This Row],[Duration_Years]]</f>
        <v>11510</v>
      </c>
      <c r="O67" s="1">
        <f>International_Education_Costs[[#This Row],[Rent_USD]] * 12 * International_Education_Costs[[#This Row],[Duration_Years]]</f>
        <v>13200</v>
      </c>
      <c r="P67" s="1">
        <f>International_Education_Costs[[#This Row],[Total_Cost]]-International_Education_Costs[[#This Row],[Tuition_USD]]</f>
        <v>14920</v>
      </c>
      <c r="Q67" s="2">
        <f>International_Education_Costs[[#This Row],[Tuition_USD]]/International_Education_Costs[[#This Row],[Total_Cost]]</f>
        <v>0.35186794092093832</v>
      </c>
    </row>
    <row r="68" spans="1:17" x14ac:dyDescent="0.25">
      <c r="A68" t="s">
        <v>33</v>
      </c>
      <c r="B68" t="s">
        <v>34</v>
      </c>
      <c r="C68" t="s">
        <v>213</v>
      </c>
      <c r="D68" t="s">
        <v>40</v>
      </c>
      <c r="E68" t="s">
        <v>122</v>
      </c>
      <c r="F68">
        <v>3</v>
      </c>
      <c r="G68" s="1">
        <v>8900</v>
      </c>
      <c r="H68">
        <v>76.400000000000006</v>
      </c>
      <c r="I68" s="1">
        <v>1100</v>
      </c>
      <c r="J68" s="1">
        <v>220</v>
      </c>
      <c r="K68" s="1">
        <v>750</v>
      </c>
      <c r="L68">
        <v>145.80000000000001</v>
      </c>
      <c r="M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50970</v>
      </c>
      <c r="N68" s="1">
        <f>International_Education_Costs[[#This Row],[Total_Cost]]/International_Education_Costs[[#This Row],[Duration_Years]]</f>
        <v>16990</v>
      </c>
      <c r="O68" s="1">
        <f>International_Education_Costs[[#This Row],[Rent_USD]] * 12 * International_Education_Costs[[#This Row],[Duration_Years]]</f>
        <v>39600</v>
      </c>
      <c r="P68" s="1">
        <f>International_Education_Costs[[#This Row],[Total_Cost]]-International_Education_Costs[[#This Row],[Tuition_USD]]</f>
        <v>42070</v>
      </c>
      <c r="Q68" s="2">
        <f>International_Education_Costs[[#This Row],[Tuition_USD]]/International_Education_Costs[[#This Row],[Total_Cost]]</f>
        <v>0.17461251716696097</v>
      </c>
    </row>
    <row r="69" spans="1:17" x14ac:dyDescent="0.25">
      <c r="A69" t="s">
        <v>33</v>
      </c>
      <c r="B69" t="s">
        <v>214</v>
      </c>
      <c r="C69" t="s">
        <v>215</v>
      </c>
      <c r="D69" t="s">
        <v>216</v>
      </c>
      <c r="E69" t="s">
        <v>75</v>
      </c>
      <c r="F69">
        <v>4</v>
      </c>
      <c r="G69" s="1">
        <v>7200</v>
      </c>
      <c r="H69">
        <v>64.2</v>
      </c>
      <c r="I69" s="1">
        <v>600</v>
      </c>
      <c r="J69" s="1">
        <v>220</v>
      </c>
      <c r="K69" s="1">
        <v>750</v>
      </c>
      <c r="L69">
        <v>145.80000000000001</v>
      </c>
      <c r="M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39220</v>
      </c>
      <c r="N69" s="1">
        <f>International_Education_Costs[[#This Row],[Total_Cost]]/International_Education_Costs[[#This Row],[Duration_Years]]</f>
        <v>9805</v>
      </c>
      <c r="O69" s="1">
        <f>International_Education_Costs[[#This Row],[Rent_USD]] * 12 * International_Education_Costs[[#This Row],[Duration_Years]]</f>
        <v>28800</v>
      </c>
      <c r="P69" s="1">
        <f>International_Education_Costs[[#This Row],[Total_Cost]]-International_Education_Costs[[#This Row],[Tuition_USD]]</f>
        <v>32020</v>
      </c>
      <c r="Q69" s="2">
        <f>International_Education_Costs[[#This Row],[Tuition_USD]]/International_Education_Costs[[#This Row],[Total_Cost]]</f>
        <v>0.18357980622131564</v>
      </c>
    </row>
    <row r="70" spans="1:17" x14ac:dyDescent="0.25">
      <c r="A70" t="s">
        <v>33</v>
      </c>
      <c r="B70" t="s">
        <v>217</v>
      </c>
      <c r="C70" t="s">
        <v>218</v>
      </c>
      <c r="D70" t="s">
        <v>15</v>
      </c>
      <c r="E70" t="s">
        <v>16</v>
      </c>
      <c r="F70">
        <v>2</v>
      </c>
      <c r="G70" s="1">
        <v>7900</v>
      </c>
      <c r="H70">
        <v>67.8</v>
      </c>
      <c r="I70" s="1">
        <v>700</v>
      </c>
      <c r="J70" s="1">
        <v>220</v>
      </c>
      <c r="K70" s="1">
        <v>750</v>
      </c>
      <c r="L70">
        <v>145.80000000000001</v>
      </c>
      <c r="M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26420</v>
      </c>
      <c r="N70" s="1">
        <f>International_Education_Costs[[#This Row],[Total_Cost]]/International_Education_Costs[[#This Row],[Duration_Years]]</f>
        <v>13210</v>
      </c>
      <c r="O70" s="1">
        <f>International_Education_Costs[[#This Row],[Rent_USD]] * 12 * International_Education_Costs[[#This Row],[Duration_Years]]</f>
        <v>16800</v>
      </c>
      <c r="P70" s="1">
        <f>International_Education_Costs[[#This Row],[Total_Cost]]-International_Education_Costs[[#This Row],[Tuition_USD]]</f>
        <v>18520</v>
      </c>
      <c r="Q70" s="2">
        <f>International_Education_Costs[[#This Row],[Tuition_USD]]/International_Education_Costs[[#This Row],[Total_Cost]]</f>
        <v>0.29901589704769116</v>
      </c>
    </row>
    <row r="71" spans="1:17" x14ac:dyDescent="0.25">
      <c r="A71" t="s">
        <v>33</v>
      </c>
      <c r="B71" t="s">
        <v>219</v>
      </c>
      <c r="C71" t="s">
        <v>220</v>
      </c>
      <c r="D71" t="s">
        <v>208</v>
      </c>
      <c r="E71" t="s">
        <v>75</v>
      </c>
      <c r="F71">
        <v>4</v>
      </c>
      <c r="G71" s="1">
        <v>7100</v>
      </c>
      <c r="H71">
        <v>62.5</v>
      </c>
      <c r="I71" s="1">
        <v>500</v>
      </c>
      <c r="J71" s="1">
        <v>220</v>
      </c>
      <c r="K71" s="1">
        <v>750</v>
      </c>
      <c r="L71">
        <v>145.80000000000001</v>
      </c>
      <c r="M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34320</v>
      </c>
      <c r="N71" s="1">
        <f>International_Education_Costs[[#This Row],[Total_Cost]]/International_Education_Costs[[#This Row],[Duration_Years]]</f>
        <v>8580</v>
      </c>
      <c r="O71" s="1">
        <f>International_Education_Costs[[#This Row],[Rent_USD]] * 12 * International_Education_Costs[[#This Row],[Duration_Years]]</f>
        <v>24000</v>
      </c>
      <c r="P71" s="1">
        <f>International_Education_Costs[[#This Row],[Total_Cost]]-International_Education_Costs[[#This Row],[Tuition_USD]]</f>
        <v>27220</v>
      </c>
      <c r="Q71" s="2">
        <f>International_Education_Costs[[#This Row],[Tuition_USD]]/International_Education_Costs[[#This Row],[Total_Cost]]</f>
        <v>0.20687645687645687</v>
      </c>
    </row>
    <row r="72" spans="1:17" x14ac:dyDescent="0.25">
      <c r="A72" t="s">
        <v>33</v>
      </c>
      <c r="B72" t="s">
        <v>221</v>
      </c>
      <c r="C72" t="s">
        <v>222</v>
      </c>
      <c r="D72" t="s">
        <v>223</v>
      </c>
      <c r="E72" t="s">
        <v>16</v>
      </c>
      <c r="F72">
        <v>2</v>
      </c>
      <c r="G72" s="1">
        <v>7600</v>
      </c>
      <c r="H72">
        <v>63.8</v>
      </c>
      <c r="I72" s="1">
        <v>550</v>
      </c>
      <c r="J72" s="1">
        <v>220</v>
      </c>
      <c r="K72" s="1">
        <v>750</v>
      </c>
      <c r="L72">
        <v>145.80000000000001</v>
      </c>
      <c r="M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22520</v>
      </c>
      <c r="N72" s="1">
        <f>International_Education_Costs[[#This Row],[Total_Cost]]/International_Education_Costs[[#This Row],[Duration_Years]]</f>
        <v>11260</v>
      </c>
      <c r="O72" s="1">
        <f>International_Education_Costs[[#This Row],[Rent_USD]] * 12 * International_Education_Costs[[#This Row],[Duration_Years]]</f>
        <v>13200</v>
      </c>
      <c r="P72" s="1">
        <f>International_Education_Costs[[#This Row],[Total_Cost]]-International_Education_Costs[[#This Row],[Tuition_USD]]</f>
        <v>14920</v>
      </c>
      <c r="Q72" s="2">
        <f>International_Education_Costs[[#This Row],[Tuition_USD]]/International_Education_Costs[[#This Row],[Total_Cost]]</f>
        <v>0.33747779751332146</v>
      </c>
    </row>
    <row r="73" spans="1:17" x14ac:dyDescent="0.25">
      <c r="A73" t="s">
        <v>25</v>
      </c>
      <c r="B73" t="s">
        <v>224</v>
      </c>
      <c r="C73" t="s">
        <v>225</v>
      </c>
      <c r="D73" t="s">
        <v>15</v>
      </c>
      <c r="E73" t="s">
        <v>75</v>
      </c>
      <c r="F73">
        <v>3</v>
      </c>
      <c r="G73" s="1">
        <v>32800</v>
      </c>
      <c r="H73">
        <v>68.5</v>
      </c>
      <c r="I73" s="1">
        <v>1100</v>
      </c>
      <c r="J73" s="1">
        <v>450</v>
      </c>
      <c r="K73" s="1">
        <v>650</v>
      </c>
      <c r="L73">
        <v>1.52</v>
      </c>
      <c r="M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74800</v>
      </c>
      <c r="N73" s="1">
        <f>International_Education_Costs[[#This Row],[Total_Cost]]/International_Education_Costs[[#This Row],[Duration_Years]]</f>
        <v>24933.333333333332</v>
      </c>
      <c r="O73" s="1">
        <f>International_Education_Costs[[#This Row],[Rent_USD]] * 12 * International_Education_Costs[[#This Row],[Duration_Years]]</f>
        <v>39600</v>
      </c>
      <c r="P73" s="1">
        <f>International_Education_Costs[[#This Row],[Total_Cost]]-International_Education_Costs[[#This Row],[Tuition_USD]]</f>
        <v>42000</v>
      </c>
      <c r="Q73" s="2">
        <f>International_Education_Costs[[#This Row],[Tuition_USD]]/International_Education_Costs[[#This Row],[Total_Cost]]</f>
        <v>0.43850267379679142</v>
      </c>
    </row>
    <row r="74" spans="1:17" x14ac:dyDescent="0.25">
      <c r="A74" t="s">
        <v>25</v>
      </c>
      <c r="B74" t="s">
        <v>226</v>
      </c>
      <c r="C74" t="s">
        <v>227</v>
      </c>
      <c r="D74" t="s">
        <v>208</v>
      </c>
      <c r="E74" t="s">
        <v>16</v>
      </c>
      <c r="F74">
        <v>2</v>
      </c>
      <c r="G74" s="1">
        <v>34500</v>
      </c>
      <c r="H74">
        <v>69.8</v>
      </c>
      <c r="I74" s="1">
        <v>1200</v>
      </c>
      <c r="J74" s="1">
        <v>450</v>
      </c>
      <c r="K74" s="1">
        <v>650</v>
      </c>
      <c r="L74">
        <v>1.52</v>
      </c>
      <c r="M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65050</v>
      </c>
      <c r="N74" s="1">
        <f>International_Education_Costs[[#This Row],[Total_Cost]]/International_Education_Costs[[#This Row],[Duration_Years]]</f>
        <v>32525</v>
      </c>
      <c r="O74" s="1">
        <f>International_Education_Costs[[#This Row],[Rent_USD]] * 12 * International_Education_Costs[[#This Row],[Duration_Years]]</f>
        <v>28800</v>
      </c>
      <c r="P74" s="1">
        <f>International_Education_Costs[[#This Row],[Total_Cost]]-International_Education_Costs[[#This Row],[Tuition_USD]]</f>
        <v>30550</v>
      </c>
      <c r="Q74" s="2">
        <f>International_Education_Costs[[#This Row],[Tuition_USD]]/International_Education_Costs[[#This Row],[Total_Cost]]</f>
        <v>0.53036126056879329</v>
      </c>
    </row>
    <row r="75" spans="1:17" x14ac:dyDescent="0.25">
      <c r="A75" t="s">
        <v>25</v>
      </c>
      <c r="B75" t="s">
        <v>228</v>
      </c>
      <c r="C75" t="s">
        <v>229</v>
      </c>
      <c r="D75" t="s">
        <v>223</v>
      </c>
      <c r="E75" t="s">
        <v>75</v>
      </c>
      <c r="F75">
        <v>3</v>
      </c>
      <c r="G75" s="1">
        <v>31200</v>
      </c>
      <c r="H75">
        <v>67.5</v>
      </c>
      <c r="I75" s="1">
        <v>1100</v>
      </c>
      <c r="J75" s="1">
        <v>450</v>
      </c>
      <c r="K75" s="1">
        <v>650</v>
      </c>
      <c r="L75">
        <v>1.52</v>
      </c>
      <c r="M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73200</v>
      </c>
      <c r="N75" s="1">
        <f>International_Education_Costs[[#This Row],[Total_Cost]]/International_Education_Costs[[#This Row],[Duration_Years]]</f>
        <v>24400</v>
      </c>
      <c r="O75" s="1">
        <f>International_Education_Costs[[#This Row],[Rent_USD]] * 12 * International_Education_Costs[[#This Row],[Duration_Years]]</f>
        <v>39600</v>
      </c>
      <c r="P75" s="1">
        <f>International_Education_Costs[[#This Row],[Total_Cost]]-International_Education_Costs[[#This Row],[Tuition_USD]]</f>
        <v>42000</v>
      </c>
      <c r="Q75" s="2">
        <f>International_Education_Costs[[#This Row],[Tuition_USD]]/International_Education_Costs[[#This Row],[Total_Cost]]</f>
        <v>0.42622950819672129</v>
      </c>
    </row>
    <row r="76" spans="1:17" x14ac:dyDescent="0.25">
      <c r="A76" t="s">
        <v>25</v>
      </c>
      <c r="B76" t="s">
        <v>230</v>
      </c>
      <c r="C76" t="s">
        <v>231</v>
      </c>
      <c r="D76" t="s">
        <v>20</v>
      </c>
      <c r="E76" t="s">
        <v>16</v>
      </c>
      <c r="F76">
        <v>2</v>
      </c>
      <c r="G76" s="1">
        <v>30800</v>
      </c>
      <c r="H76">
        <v>65.400000000000006</v>
      </c>
      <c r="I76" s="1">
        <v>950</v>
      </c>
      <c r="J76" s="1">
        <v>450</v>
      </c>
      <c r="K76" s="1">
        <v>650</v>
      </c>
      <c r="L76">
        <v>1.52</v>
      </c>
      <c r="M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55350</v>
      </c>
      <c r="N76" s="1">
        <f>International_Education_Costs[[#This Row],[Total_Cost]]/International_Education_Costs[[#This Row],[Duration_Years]]</f>
        <v>27675</v>
      </c>
      <c r="O76" s="1">
        <f>International_Education_Costs[[#This Row],[Rent_USD]] * 12 * International_Education_Costs[[#This Row],[Duration_Years]]</f>
        <v>22800</v>
      </c>
      <c r="P76" s="1">
        <f>International_Education_Costs[[#This Row],[Total_Cost]]-International_Education_Costs[[#This Row],[Tuition_USD]]</f>
        <v>24550</v>
      </c>
      <c r="Q76" s="2">
        <f>International_Education_Costs[[#This Row],[Tuition_USD]]/International_Education_Costs[[#This Row],[Total_Cost]]</f>
        <v>0.55645889792231251</v>
      </c>
    </row>
    <row r="77" spans="1:17" x14ac:dyDescent="0.25">
      <c r="A77" t="s">
        <v>25</v>
      </c>
      <c r="B77" t="s">
        <v>232</v>
      </c>
      <c r="C77" t="s">
        <v>233</v>
      </c>
      <c r="D77" t="s">
        <v>63</v>
      </c>
      <c r="E77" t="s">
        <v>75</v>
      </c>
      <c r="F77">
        <v>4</v>
      </c>
      <c r="G77" s="1">
        <v>31500</v>
      </c>
      <c r="H77">
        <v>66.8</v>
      </c>
      <c r="I77" s="1">
        <v>1000</v>
      </c>
      <c r="J77" s="1">
        <v>450</v>
      </c>
      <c r="K77" s="1">
        <v>650</v>
      </c>
      <c r="L77">
        <v>1.52</v>
      </c>
      <c r="M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82550</v>
      </c>
      <c r="N77" s="1">
        <f>International_Education_Costs[[#This Row],[Total_Cost]]/International_Education_Costs[[#This Row],[Duration_Years]]</f>
        <v>20637.5</v>
      </c>
      <c r="O77" s="1">
        <f>International_Education_Costs[[#This Row],[Rent_USD]] * 12 * International_Education_Costs[[#This Row],[Duration_Years]]</f>
        <v>48000</v>
      </c>
      <c r="P77" s="1">
        <f>International_Education_Costs[[#This Row],[Total_Cost]]-International_Education_Costs[[#This Row],[Tuition_USD]]</f>
        <v>51050</v>
      </c>
      <c r="Q77" s="2">
        <f>International_Education_Costs[[#This Row],[Tuition_USD]]/International_Education_Costs[[#This Row],[Total_Cost]]</f>
        <v>0.38158691701998787</v>
      </c>
    </row>
    <row r="78" spans="1:17" x14ac:dyDescent="0.25">
      <c r="A78" t="s">
        <v>25</v>
      </c>
      <c r="B78" t="s">
        <v>234</v>
      </c>
      <c r="C78" t="s">
        <v>235</v>
      </c>
      <c r="D78" t="s">
        <v>40</v>
      </c>
      <c r="E78" t="s">
        <v>16</v>
      </c>
      <c r="F78">
        <v>2</v>
      </c>
      <c r="G78" s="1">
        <v>32900</v>
      </c>
      <c r="H78">
        <v>67.2</v>
      </c>
      <c r="I78" s="1">
        <v>1050</v>
      </c>
      <c r="J78" s="1">
        <v>450</v>
      </c>
      <c r="K78" s="1">
        <v>650</v>
      </c>
      <c r="L78">
        <v>1.52</v>
      </c>
      <c r="M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59850</v>
      </c>
      <c r="N78" s="1">
        <f>International_Education_Costs[[#This Row],[Total_Cost]]/International_Education_Costs[[#This Row],[Duration_Years]]</f>
        <v>29925</v>
      </c>
      <c r="O78" s="1">
        <f>International_Education_Costs[[#This Row],[Rent_USD]] * 12 * International_Education_Costs[[#This Row],[Duration_Years]]</f>
        <v>25200</v>
      </c>
      <c r="P78" s="1">
        <f>International_Education_Costs[[#This Row],[Total_Cost]]-International_Education_Costs[[#This Row],[Tuition_USD]]</f>
        <v>26950</v>
      </c>
      <c r="Q78" s="2">
        <f>International_Education_Costs[[#This Row],[Tuition_USD]]/International_Education_Costs[[#This Row],[Total_Cost]]</f>
        <v>0.54970760233918126</v>
      </c>
    </row>
    <row r="79" spans="1:17" x14ac:dyDescent="0.25">
      <c r="A79" t="s">
        <v>25</v>
      </c>
      <c r="B79" t="s">
        <v>236</v>
      </c>
      <c r="C79" t="s">
        <v>237</v>
      </c>
      <c r="D79" t="s">
        <v>216</v>
      </c>
      <c r="E79" t="s">
        <v>75</v>
      </c>
      <c r="F79">
        <v>3</v>
      </c>
      <c r="G79" s="1">
        <v>29800</v>
      </c>
      <c r="H79">
        <v>64.5</v>
      </c>
      <c r="I79" s="1">
        <v>900</v>
      </c>
      <c r="J79" s="1">
        <v>450</v>
      </c>
      <c r="K79" s="1">
        <v>650</v>
      </c>
      <c r="L79">
        <v>1.52</v>
      </c>
      <c r="M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64600</v>
      </c>
      <c r="N79" s="1">
        <f>International_Education_Costs[[#This Row],[Total_Cost]]/International_Education_Costs[[#This Row],[Duration_Years]]</f>
        <v>21533.333333333332</v>
      </c>
      <c r="O79" s="1">
        <f>International_Education_Costs[[#This Row],[Rent_USD]] * 12 * International_Education_Costs[[#This Row],[Duration_Years]]</f>
        <v>32400</v>
      </c>
      <c r="P79" s="1">
        <f>International_Education_Costs[[#This Row],[Total_Cost]]-International_Education_Costs[[#This Row],[Tuition_USD]]</f>
        <v>34800</v>
      </c>
      <c r="Q79" s="2">
        <f>International_Education_Costs[[#This Row],[Tuition_USD]]/International_Education_Costs[[#This Row],[Total_Cost]]</f>
        <v>0.46130030959752322</v>
      </c>
    </row>
    <row r="80" spans="1:17" x14ac:dyDescent="0.25">
      <c r="A80" t="s">
        <v>25</v>
      </c>
      <c r="B80" t="s">
        <v>238</v>
      </c>
      <c r="C80" t="s">
        <v>239</v>
      </c>
      <c r="D80" t="s">
        <v>71</v>
      </c>
      <c r="E80" t="s">
        <v>16</v>
      </c>
      <c r="F80">
        <v>2</v>
      </c>
      <c r="G80" s="1">
        <v>31200</v>
      </c>
      <c r="H80">
        <v>65.8</v>
      </c>
      <c r="I80" s="1">
        <v>950</v>
      </c>
      <c r="J80" s="1">
        <v>450</v>
      </c>
      <c r="K80" s="1">
        <v>650</v>
      </c>
      <c r="L80">
        <v>1.52</v>
      </c>
      <c r="M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55750</v>
      </c>
      <c r="N80" s="1">
        <f>International_Education_Costs[[#This Row],[Total_Cost]]/International_Education_Costs[[#This Row],[Duration_Years]]</f>
        <v>27875</v>
      </c>
      <c r="O80" s="1">
        <f>International_Education_Costs[[#This Row],[Rent_USD]] * 12 * International_Education_Costs[[#This Row],[Duration_Years]]</f>
        <v>22800</v>
      </c>
      <c r="P80" s="1">
        <f>International_Education_Costs[[#This Row],[Total_Cost]]-International_Education_Costs[[#This Row],[Tuition_USD]]</f>
        <v>24550</v>
      </c>
      <c r="Q80" s="2">
        <f>International_Education_Costs[[#This Row],[Tuition_USD]]/International_Education_Costs[[#This Row],[Total_Cost]]</f>
        <v>0.55964125560538114</v>
      </c>
    </row>
    <row r="81" spans="1:17" x14ac:dyDescent="0.25">
      <c r="A81" t="s">
        <v>25</v>
      </c>
      <c r="B81" t="s">
        <v>240</v>
      </c>
      <c r="C81" t="s">
        <v>241</v>
      </c>
      <c r="D81" t="s">
        <v>242</v>
      </c>
      <c r="E81" t="s">
        <v>75</v>
      </c>
      <c r="F81">
        <v>3</v>
      </c>
      <c r="G81" s="1">
        <v>29500</v>
      </c>
      <c r="H81">
        <v>66.2</v>
      </c>
      <c r="I81" s="1">
        <v>1000</v>
      </c>
      <c r="J81" s="1">
        <v>450</v>
      </c>
      <c r="K81" s="1">
        <v>650</v>
      </c>
      <c r="L81">
        <v>1.52</v>
      </c>
      <c r="M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67900</v>
      </c>
      <c r="N81" s="1">
        <f>International_Education_Costs[[#This Row],[Total_Cost]]/International_Education_Costs[[#This Row],[Duration_Years]]</f>
        <v>22633.333333333332</v>
      </c>
      <c r="O81" s="1">
        <f>International_Education_Costs[[#This Row],[Rent_USD]] * 12 * International_Education_Costs[[#This Row],[Duration_Years]]</f>
        <v>36000</v>
      </c>
      <c r="P81" s="1">
        <f>International_Education_Costs[[#This Row],[Total_Cost]]-International_Education_Costs[[#This Row],[Tuition_USD]]</f>
        <v>38400</v>
      </c>
      <c r="Q81" s="2">
        <f>International_Education_Costs[[#This Row],[Tuition_USD]]/International_Education_Costs[[#This Row],[Total_Cost]]</f>
        <v>0.43446244477172313</v>
      </c>
    </row>
    <row r="82" spans="1:17" x14ac:dyDescent="0.25">
      <c r="A82" t="s">
        <v>25</v>
      </c>
      <c r="B82" t="s">
        <v>243</v>
      </c>
      <c r="C82" t="s">
        <v>244</v>
      </c>
      <c r="D82" t="s">
        <v>245</v>
      </c>
      <c r="E82" t="s">
        <v>16</v>
      </c>
      <c r="F82">
        <v>2</v>
      </c>
      <c r="G82" s="1">
        <v>30500</v>
      </c>
      <c r="H82">
        <v>64.8</v>
      </c>
      <c r="I82" s="1">
        <v>850</v>
      </c>
      <c r="J82" s="1">
        <v>450</v>
      </c>
      <c r="K82" s="1">
        <v>650</v>
      </c>
      <c r="L82">
        <v>1.52</v>
      </c>
      <c r="M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52650</v>
      </c>
      <c r="N82" s="1">
        <f>International_Education_Costs[[#This Row],[Total_Cost]]/International_Education_Costs[[#This Row],[Duration_Years]]</f>
        <v>26325</v>
      </c>
      <c r="O82" s="1">
        <f>International_Education_Costs[[#This Row],[Rent_USD]] * 12 * International_Education_Costs[[#This Row],[Duration_Years]]</f>
        <v>20400</v>
      </c>
      <c r="P82" s="1">
        <f>International_Education_Costs[[#This Row],[Total_Cost]]-International_Education_Costs[[#This Row],[Tuition_USD]]</f>
        <v>22150</v>
      </c>
      <c r="Q82" s="2">
        <f>International_Education_Costs[[#This Row],[Tuition_USD]]/International_Education_Costs[[#This Row],[Total_Cost]]</f>
        <v>0.57929724596391263</v>
      </c>
    </row>
    <row r="83" spans="1:17" x14ac:dyDescent="0.25">
      <c r="A83" t="s">
        <v>29</v>
      </c>
      <c r="B83" t="s">
        <v>246</v>
      </c>
      <c r="C83" t="s">
        <v>247</v>
      </c>
      <c r="D83" t="s">
        <v>15</v>
      </c>
      <c r="E83" t="s">
        <v>16</v>
      </c>
      <c r="F83">
        <v>2</v>
      </c>
      <c r="G83" s="1">
        <v>500</v>
      </c>
      <c r="H83">
        <v>65.8</v>
      </c>
      <c r="I83" s="1">
        <v>750</v>
      </c>
      <c r="J83" s="1">
        <v>75</v>
      </c>
      <c r="K83" s="1">
        <v>550</v>
      </c>
      <c r="L83">
        <v>0.92</v>
      </c>
      <c r="M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19675</v>
      </c>
      <c r="N83" s="1">
        <f>International_Education_Costs[[#This Row],[Total_Cost]]/International_Education_Costs[[#This Row],[Duration_Years]]</f>
        <v>9837.5</v>
      </c>
      <c r="O83" s="1">
        <f>International_Education_Costs[[#This Row],[Rent_USD]] * 12 * International_Education_Costs[[#This Row],[Duration_Years]]</f>
        <v>18000</v>
      </c>
      <c r="P83" s="1">
        <f>International_Education_Costs[[#This Row],[Total_Cost]]-International_Education_Costs[[#This Row],[Tuition_USD]]</f>
        <v>19175</v>
      </c>
      <c r="Q83" s="2">
        <f>International_Education_Costs[[#This Row],[Tuition_USD]]/International_Education_Costs[[#This Row],[Total_Cost]]</f>
        <v>2.5412960609911054E-2</v>
      </c>
    </row>
    <row r="84" spans="1:17" x14ac:dyDescent="0.25">
      <c r="A84" t="s">
        <v>29</v>
      </c>
      <c r="B84" t="s">
        <v>248</v>
      </c>
      <c r="C84" t="s">
        <v>249</v>
      </c>
      <c r="D84" t="s">
        <v>208</v>
      </c>
      <c r="E84" t="s">
        <v>75</v>
      </c>
      <c r="F84">
        <v>3</v>
      </c>
      <c r="G84" s="1">
        <v>450</v>
      </c>
      <c r="H84">
        <v>68.5</v>
      </c>
      <c r="I84" s="1">
        <v>850</v>
      </c>
      <c r="J84" s="1">
        <v>75</v>
      </c>
      <c r="K84" s="1">
        <v>550</v>
      </c>
      <c r="L84">
        <v>0.92</v>
      </c>
      <c r="M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32775</v>
      </c>
      <c r="N84" s="1">
        <f>International_Education_Costs[[#This Row],[Total_Cost]]/International_Education_Costs[[#This Row],[Duration_Years]]</f>
        <v>10925</v>
      </c>
      <c r="O84" s="1">
        <f>International_Education_Costs[[#This Row],[Rent_USD]] * 12 * International_Education_Costs[[#This Row],[Duration_Years]]</f>
        <v>30600</v>
      </c>
      <c r="P84" s="1">
        <f>International_Education_Costs[[#This Row],[Total_Cost]]-International_Education_Costs[[#This Row],[Tuition_USD]]</f>
        <v>32325</v>
      </c>
      <c r="Q84" s="2">
        <f>International_Education_Costs[[#This Row],[Tuition_USD]]/International_Education_Costs[[#This Row],[Total_Cost]]</f>
        <v>1.3729977116704805E-2</v>
      </c>
    </row>
    <row r="85" spans="1:17" x14ac:dyDescent="0.25">
      <c r="A85" t="s">
        <v>29</v>
      </c>
      <c r="B85" t="s">
        <v>250</v>
      </c>
      <c r="C85" t="s">
        <v>251</v>
      </c>
      <c r="D85" t="s">
        <v>252</v>
      </c>
      <c r="E85" t="s">
        <v>16</v>
      </c>
      <c r="F85">
        <v>2</v>
      </c>
      <c r="G85" s="1">
        <v>500</v>
      </c>
      <c r="H85">
        <v>71.2</v>
      </c>
      <c r="I85" s="1">
        <v>950</v>
      </c>
      <c r="J85" s="1">
        <v>75</v>
      </c>
      <c r="K85" s="1">
        <v>550</v>
      </c>
      <c r="L85">
        <v>0.92</v>
      </c>
      <c r="M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24475</v>
      </c>
      <c r="N85" s="1">
        <f>International_Education_Costs[[#This Row],[Total_Cost]]/International_Education_Costs[[#This Row],[Duration_Years]]</f>
        <v>12237.5</v>
      </c>
      <c r="O85" s="1">
        <f>International_Education_Costs[[#This Row],[Rent_USD]] * 12 * International_Education_Costs[[#This Row],[Duration_Years]]</f>
        <v>22800</v>
      </c>
      <c r="P85" s="1">
        <f>International_Education_Costs[[#This Row],[Total_Cost]]-International_Education_Costs[[#This Row],[Tuition_USD]]</f>
        <v>23975</v>
      </c>
      <c r="Q85" s="2">
        <f>International_Education_Costs[[#This Row],[Tuition_USD]]/International_Education_Costs[[#This Row],[Total_Cost]]</f>
        <v>2.0429009193054137E-2</v>
      </c>
    </row>
    <row r="86" spans="1:17" x14ac:dyDescent="0.25">
      <c r="A86" t="s">
        <v>29</v>
      </c>
      <c r="B86" t="s">
        <v>253</v>
      </c>
      <c r="C86" t="s">
        <v>254</v>
      </c>
      <c r="D86" t="s">
        <v>63</v>
      </c>
      <c r="E86" t="s">
        <v>75</v>
      </c>
      <c r="F86">
        <v>3</v>
      </c>
      <c r="G86" s="1">
        <v>500</v>
      </c>
      <c r="H86">
        <v>66.400000000000006</v>
      </c>
      <c r="I86" s="1">
        <v>700</v>
      </c>
      <c r="J86" s="1">
        <v>75</v>
      </c>
      <c r="K86" s="1">
        <v>550</v>
      </c>
      <c r="L86">
        <v>0.92</v>
      </c>
      <c r="M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27425</v>
      </c>
      <c r="N86" s="1">
        <f>International_Education_Costs[[#This Row],[Total_Cost]]/International_Education_Costs[[#This Row],[Duration_Years]]</f>
        <v>9141.6666666666661</v>
      </c>
      <c r="O86" s="1">
        <f>International_Education_Costs[[#This Row],[Rent_USD]] * 12 * International_Education_Costs[[#This Row],[Duration_Years]]</f>
        <v>25200</v>
      </c>
      <c r="P86" s="1">
        <f>International_Education_Costs[[#This Row],[Total_Cost]]-International_Education_Costs[[#This Row],[Tuition_USD]]</f>
        <v>26925</v>
      </c>
      <c r="Q86" s="2">
        <f>International_Education_Costs[[#This Row],[Tuition_USD]]/International_Education_Costs[[#This Row],[Total_Cost]]</f>
        <v>1.8231540565177756E-2</v>
      </c>
    </row>
    <row r="87" spans="1:17" x14ac:dyDescent="0.25">
      <c r="A87" t="s">
        <v>29</v>
      </c>
      <c r="B87" t="s">
        <v>255</v>
      </c>
      <c r="C87" t="s">
        <v>256</v>
      </c>
      <c r="D87" t="s">
        <v>40</v>
      </c>
      <c r="E87" t="s">
        <v>16</v>
      </c>
      <c r="F87">
        <v>2</v>
      </c>
      <c r="G87" s="1">
        <v>500</v>
      </c>
      <c r="H87">
        <v>67.8</v>
      </c>
      <c r="I87" s="1">
        <v>800</v>
      </c>
      <c r="J87" s="1">
        <v>75</v>
      </c>
      <c r="K87" s="1">
        <v>550</v>
      </c>
      <c r="L87">
        <v>0.92</v>
      </c>
      <c r="M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20875</v>
      </c>
      <c r="N87" s="1">
        <f>International_Education_Costs[[#This Row],[Total_Cost]]/International_Education_Costs[[#This Row],[Duration_Years]]</f>
        <v>10437.5</v>
      </c>
      <c r="O87" s="1">
        <f>International_Education_Costs[[#This Row],[Rent_USD]] * 12 * International_Education_Costs[[#This Row],[Duration_Years]]</f>
        <v>19200</v>
      </c>
      <c r="P87" s="1">
        <f>International_Education_Costs[[#This Row],[Total_Cost]]-International_Education_Costs[[#This Row],[Tuition_USD]]</f>
        <v>20375</v>
      </c>
      <c r="Q87" s="2">
        <f>International_Education_Costs[[#This Row],[Tuition_USD]]/International_Education_Costs[[#This Row],[Total_Cost]]</f>
        <v>2.3952095808383235E-2</v>
      </c>
    </row>
    <row r="88" spans="1:17" x14ac:dyDescent="0.25">
      <c r="A88" t="s">
        <v>29</v>
      </c>
      <c r="B88" t="s">
        <v>257</v>
      </c>
      <c r="C88" t="s">
        <v>258</v>
      </c>
      <c r="D88" t="s">
        <v>216</v>
      </c>
      <c r="E88" t="s">
        <v>75</v>
      </c>
      <c r="F88">
        <v>3</v>
      </c>
      <c r="G88" s="1">
        <v>450</v>
      </c>
      <c r="H88">
        <v>66.900000000000006</v>
      </c>
      <c r="I88" s="1">
        <v>750</v>
      </c>
      <c r="J88" s="1">
        <v>75</v>
      </c>
      <c r="K88" s="1">
        <v>550</v>
      </c>
      <c r="L88">
        <v>0.92</v>
      </c>
      <c r="M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29175</v>
      </c>
      <c r="N88" s="1">
        <f>International_Education_Costs[[#This Row],[Total_Cost]]/International_Education_Costs[[#This Row],[Duration_Years]]</f>
        <v>9725</v>
      </c>
      <c r="O88" s="1">
        <f>International_Education_Costs[[#This Row],[Rent_USD]] * 12 * International_Education_Costs[[#This Row],[Duration_Years]]</f>
        <v>27000</v>
      </c>
      <c r="P88" s="1">
        <f>International_Education_Costs[[#This Row],[Total_Cost]]-International_Education_Costs[[#This Row],[Tuition_USD]]</f>
        <v>28725</v>
      </c>
      <c r="Q88" s="2">
        <f>International_Education_Costs[[#This Row],[Tuition_USD]]/International_Education_Costs[[#This Row],[Total_Cost]]</f>
        <v>1.5424164524421594E-2</v>
      </c>
    </row>
    <row r="89" spans="1:17" x14ac:dyDescent="0.25">
      <c r="A89" t="s">
        <v>29</v>
      </c>
      <c r="B89" t="s">
        <v>259</v>
      </c>
      <c r="C89" t="s">
        <v>260</v>
      </c>
      <c r="D89" t="s">
        <v>261</v>
      </c>
      <c r="E89" t="s">
        <v>16</v>
      </c>
      <c r="F89">
        <v>2</v>
      </c>
      <c r="G89" s="1">
        <v>500</v>
      </c>
      <c r="H89">
        <v>64.5</v>
      </c>
      <c r="I89" s="1">
        <v>650</v>
      </c>
      <c r="J89" s="1">
        <v>75</v>
      </c>
      <c r="K89" s="1">
        <v>550</v>
      </c>
      <c r="L89">
        <v>0.92</v>
      </c>
      <c r="M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17275</v>
      </c>
      <c r="N89" s="1">
        <f>International_Education_Costs[[#This Row],[Total_Cost]]/International_Education_Costs[[#This Row],[Duration_Years]]</f>
        <v>8637.5</v>
      </c>
      <c r="O89" s="1">
        <f>International_Education_Costs[[#This Row],[Rent_USD]] * 12 * International_Education_Costs[[#This Row],[Duration_Years]]</f>
        <v>15600</v>
      </c>
      <c r="P89" s="1">
        <f>International_Education_Costs[[#This Row],[Total_Cost]]-International_Education_Costs[[#This Row],[Tuition_USD]]</f>
        <v>16775</v>
      </c>
      <c r="Q89" s="2">
        <f>International_Education_Costs[[#This Row],[Tuition_USD]]/International_Education_Costs[[#This Row],[Total_Cost]]</f>
        <v>2.8943560057887119E-2</v>
      </c>
    </row>
    <row r="90" spans="1:17" x14ac:dyDescent="0.25">
      <c r="A90" t="s">
        <v>29</v>
      </c>
      <c r="B90" t="s">
        <v>262</v>
      </c>
      <c r="C90" t="s">
        <v>263</v>
      </c>
      <c r="D90" t="s">
        <v>20</v>
      </c>
      <c r="E90" t="s">
        <v>75</v>
      </c>
      <c r="F90">
        <v>3</v>
      </c>
      <c r="G90" s="1">
        <v>450</v>
      </c>
      <c r="H90">
        <v>63.8</v>
      </c>
      <c r="I90" s="1">
        <v>600</v>
      </c>
      <c r="J90" s="1">
        <v>75</v>
      </c>
      <c r="K90" s="1">
        <v>550</v>
      </c>
      <c r="L90">
        <v>0.92</v>
      </c>
      <c r="M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23775</v>
      </c>
      <c r="N90" s="1">
        <f>International_Education_Costs[[#This Row],[Total_Cost]]/International_Education_Costs[[#This Row],[Duration_Years]]</f>
        <v>7925</v>
      </c>
      <c r="O90" s="1">
        <f>International_Education_Costs[[#This Row],[Rent_USD]] * 12 * International_Education_Costs[[#This Row],[Duration_Years]]</f>
        <v>21600</v>
      </c>
      <c r="P90" s="1">
        <f>International_Education_Costs[[#This Row],[Total_Cost]]-International_Education_Costs[[#This Row],[Tuition_USD]]</f>
        <v>23325</v>
      </c>
      <c r="Q90" s="2">
        <f>International_Education_Costs[[#This Row],[Tuition_USD]]/International_Education_Costs[[#This Row],[Total_Cost]]</f>
        <v>1.8927444794952682E-2</v>
      </c>
    </row>
    <row r="91" spans="1:17" x14ac:dyDescent="0.25">
      <c r="A91" t="s">
        <v>29</v>
      </c>
      <c r="B91" t="s">
        <v>264</v>
      </c>
      <c r="C91" t="s">
        <v>265</v>
      </c>
      <c r="D91" t="s">
        <v>266</v>
      </c>
      <c r="E91" t="s">
        <v>16</v>
      </c>
      <c r="F91">
        <v>2</v>
      </c>
      <c r="G91" s="1">
        <v>500</v>
      </c>
      <c r="H91">
        <v>66.2</v>
      </c>
      <c r="I91" s="1">
        <v>750</v>
      </c>
      <c r="J91" s="1">
        <v>75</v>
      </c>
      <c r="K91" s="1">
        <v>550</v>
      </c>
      <c r="L91">
        <v>0.92</v>
      </c>
      <c r="M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19675</v>
      </c>
      <c r="N91" s="1">
        <f>International_Education_Costs[[#This Row],[Total_Cost]]/International_Education_Costs[[#This Row],[Duration_Years]]</f>
        <v>9837.5</v>
      </c>
      <c r="O91" s="1">
        <f>International_Education_Costs[[#This Row],[Rent_USD]] * 12 * International_Education_Costs[[#This Row],[Duration_Years]]</f>
        <v>18000</v>
      </c>
      <c r="P91" s="1">
        <f>International_Education_Costs[[#This Row],[Total_Cost]]-International_Education_Costs[[#This Row],[Tuition_USD]]</f>
        <v>19175</v>
      </c>
      <c r="Q91" s="2">
        <f>International_Education_Costs[[#This Row],[Tuition_USD]]/International_Education_Costs[[#This Row],[Total_Cost]]</f>
        <v>2.5412960609911054E-2</v>
      </c>
    </row>
    <row r="92" spans="1:17" x14ac:dyDescent="0.25">
      <c r="A92" t="s">
        <v>29</v>
      </c>
      <c r="B92" t="s">
        <v>267</v>
      </c>
      <c r="C92" t="s">
        <v>268</v>
      </c>
      <c r="D92" t="s">
        <v>269</v>
      </c>
      <c r="E92" t="s">
        <v>16</v>
      </c>
      <c r="F92">
        <v>2</v>
      </c>
      <c r="G92" s="1">
        <v>500</v>
      </c>
      <c r="H92">
        <v>67.5</v>
      </c>
      <c r="I92" s="1">
        <v>800</v>
      </c>
      <c r="J92" s="1">
        <v>75</v>
      </c>
      <c r="K92" s="1">
        <v>550</v>
      </c>
      <c r="L92">
        <v>0.92</v>
      </c>
      <c r="M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20875</v>
      </c>
      <c r="N92" s="1">
        <f>International_Education_Costs[[#This Row],[Total_Cost]]/International_Education_Costs[[#This Row],[Duration_Years]]</f>
        <v>10437.5</v>
      </c>
      <c r="O92" s="1">
        <f>International_Education_Costs[[#This Row],[Rent_USD]] * 12 * International_Education_Costs[[#This Row],[Duration_Years]]</f>
        <v>19200</v>
      </c>
      <c r="P92" s="1">
        <f>International_Education_Costs[[#This Row],[Total_Cost]]-International_Education_Costs[[#This Row],[Tuition_USD]]</f>
        <v>20375</v>
      </c>
      <c r="Q92" s="2">
        <f>International_Education_Costs[[#This Row],[Tuition_USD]]/International_Education_Costs[[#This Row],[Total_Cost]]</f>
        <v>2.3952095808383235E-2</v>
      </c>
    </row>
    <row r="93" spans="1:17" x14ac:dyDescent="0.25">
      <c r="A93" t="s">
        <v>12</v>
      </c>
      <c r="B93" t="s">
        <v>270</v>
      </c>
      <c r="C93" t="s">
        <v>271</v>
      </c>
      <c r="D93" t="s">
        <v>15</v>
      </c>
      <c r="E93" t="s">
        <v>16</v>
      </c>
      <c r="F93">
        <v>2</v>
      </c>
      <c r="G93" s="1">
        <v>51900</v>
      </c>
      <c r="H93">
        <v>76.8</v>
      </c>
      <c r="I93" s="1">
        <v>1900</v>
      </c>
      <c r="J93" s="1">
        <v>160</v>
      </c>
      <c r="K93" s="1">
        <v>1500</v>
      </c>
      <c r="L93">
        <v>1</v>
      </c>
      <c r="M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100660</v>
      </c>
      <c r="N93" s="1">
        <f>International_Education_Costs[[#This Row],[Total_Cost]]/International_Education_Costs[[#This Row],[Duration_Years]]</f>
        <v>50330</v>
      </c>
      <c r="O93" s="1">
        <f>International_Education_Costs[[#This Row],[Rent_USD]] * 12 * International_Education_Costs[[#This Row],[Duration_Years]]</f>
        <v>45600</v>
      </c>
      <c r="P93" s="1">
        <f>International_Education_Costs[[#This Row],[Total_Cost]]-International_Education_Costs[[#This Row],[Tuition_USD]]</f>
        <v>48760</v>
      </c>
      <c r="Q93" s="2">
        <f>International_Education_Costs[[#This Row],[Tuition_USD]]/International_Education_Costs[[#This Row],[Total_Cost]]</f>
        <v>0.51559705940790779</v>
      </c>
    </row>
    <row r="94" spans="1:17" x14ac:dyDescent="0.25">
      <c r="A94" t="s">
        <v>12</v>
      </c>
      <c r="B94" t="s">
        <v>272</v>
      </c>
      <c r="C94" t="s">
        <v>273</v>
      </c>
      <c r="D94" t="s">
        <v>71</v>
      </c>
      <c r="E94" t="s">
        <v>16</v>
      </c>
      <c r="F94">
        <v>2</v>
      </c>
      <c r="G94" s="1">
        <v>52400</v>
      </c>
      <c r="H94">
        <v>78.900000000000006</v>
      </c>
      <c r="I94" s="1">
        <v>2000</v>
      </c>
      <c r="J94" s="1">
        <v>160</v>
      </c>
      <c r="K94" s="1">
        <v>1500</v>
      </c>
      <c r="L94">
        <v>1</v>
      </c>
      <c r="M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103560</v>
      </c>
      <c r="N94" s="1">
        <f>International_Education_Costs[[#This Row],[Total_Cost]]/International_Education_Costs[[#This Row],[Duration_Years]]</f>
        <v>51780</v>
      </c>
      <c r="O94" s="1">
        <f>International_Education_Costs[[#This Row],[Rent_USD]] * 12 * International_Education_Costs[[#This Row],[Duration_Years]]</f>
        <v>48000</v>
      </c>
      <c r="P94" s="1">
        <f>International_Education_Costs[[#This Row],[Total_Cost]]-International_Education_Costs[[#This Row],[Tuition_USD]]</f>
        <v>51160</v>
      </c>
      <c r="Q94" s="2">
        <f>International_Education_Costs[[#This Row],[Tuition_USD]]/International_Education_Costs[[#This Row],[Total_Cost]]</f>
        <v>0.50598686751641564</v>
      </c>
    </row>
    <row r="95" spans="1:17" x14ac:dyDescent="0.25">
      <c r="A95" t="s">
        <v>12</v>
      </c>
      <c r="B95" t="s">
        <v>274</v>
      </c>
      <c r="C95" t="s">
        <v>275</v>
      </c>
      <c r="D95" t="s">
        <v>40</v>
      </c>
      <c r="E95" t="s">
        <v>122</v>
      </c>
      <c r="F95">
        <v>5</v>
      </c>
      <c r="G95" s="1">
        <v>53600</v>
      </c>
      <c r="H95">
        <v>72.5</v>
      </c>
      <c r="I95" s="1">
        <v>1700</v>
      </c>
      <c r="J95" s="1">
        <v>160</v>
      </c>
      <c r="K95" s="1">
        <v>1500</v>
      </c>
      <c r="L95">
        <v>1</v>
      </c>
      <c r="M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163260</v>
      </c>
      <c r="N95" s="1">
        <f>International_Education_Costs[[#This Row],[Total_Cost]]/International_Education_Costs[[#This Row],[Duration_Years]]</f>
        <v>32652</v>
      </c>
      <c r="O95" s="1">
        <f>International_Education_Costs[[#This Row],[Rent_USD]] * 12 * International_Education_Costs[[#This Row],[Duration_Years]]</f>
        <v>102000</v>
      </c>
      <c r="P95" s="1">
        <f>International_Education_Costs[[#This Row],[Total_Cost]]-International_Education_Costs[[#This Row],[Tuition_USD]]</f>
        <v>109660</v>
      </c>
      <c r="Q95" s="2">
        <f>International_Education_Costs[[#This Row],[Tuition_USD]]/International_Education_Costs[[#This Row],[Total_Cost]]</f>
        <v>0.32831067009677817</v>
      </c>
    </row>
    <row r="96" spans="1:17" x14ac:dyDescent="0.25">
      <c r="A96" t="s">
        <v>12</v>
      </c>
      <c r="B96" t="s">
        <v>276</v>
      </c>
      <c r="C96" t="s">
        <v>277</v>
      </c>
      <c r="D96" t="s">
        <v>63</v>
      </c>
      <c r="E96" t="s">
        <v>75</v>
      </c>
      <c r="F96">
        <v>4</v>
      </c>
      <c r="G96" s="1">
        <v>50800</v>
      </c>
      <c r="H96">
        <v>71.2</v>
      </c>
      <c r="I96" s="1">
        <v>1600</v>
      </c>
      <c r="J96" s="1">
        <v>160</v>
      </c>
      <c r="K96" s="1">
        <v>1500</v>
      </c>
      <c r="L96">
        <v>1</v>
      </c>
      <c r="M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133760</v>
      </c>
      <c r="N96" s="1">
        <f>International_Education_Costs[[#This Row],[Total_Cost]]/International_Education_Costs[[#This Row],[Duration_Years]]</f>
        <v>33440</v>
      </c>
      <c r="O96" s="1">
        <f>International_Education_Costs[[#This Row],[Rent_USD]] * 12 * International_Education_Costs[[#This Row],[Duration_Years]]</f>
        <v>76800</v>
      </c>
      <c r="P96" s="1">
        <f>International_Education_Costs[[#This Row],[Total_Cost]]-International_Education_Costs[[#This Row],[Tuition_USD]]</f>
        <v>82960</v>
      </c>
      <c r="Q96" s="2">
        <f>International_Education_Costs[[#This Row],[Tuition_USD]]/International_Education_Costs[[#This Row],[Total_Cost]]</f>
        <v>0.37978468899521534</v>
      </c>
    </row>
    <row r="97" spans="1:17" x14ac:dyDescent="0.25">
      <c r="A97" t="s">
        <v>12</v>
      </c>
      <c r="B97" t="s">
        <v>278</v>
      </c>
      <c r="C97" t="s">
        <v>279</v>
      </c>
      <c r="D97" t="s">
        <v>208</v>
      </c>
      <c r="E97" t="s">
        <v>16</v>
      </c>
      <c r="F97">
        <v>2</v>
      </c>
      <c r="G97" s="1">
        <v>51500</v>
      </c>
      <c r="H97">
        <v>70.8</v>
      </c>
      <c r="I97" s="1">
        <v>1500</v>
      </c>
      <c r="J97" s="1">
        <v>160</v>
      </c>
      <c r="K97" s="1">
        <v>1500</v>
      </c>
      <c r="L97">
        <v>1</v>
      </c>
      <c r="M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90660</v>
      </c>
      <c r="N97" s="1">
        <f>International_Education_Costs[[#This Row],[Total_Cost]]/International_Education_Costs[[#This Row],[Duration_Years]]</f>
        <v>45330</v>
      </c>
      <c r="O97" s="1">
        <f>International_Education_Costs[[#This Row],[Rent_USD]] * 12 * International_Education_Costs[[#This Row],[Duration_Years]]</f>
        <v>36000</v>
      </c>
      <c r="P97" s="1">
        <f>International_Education_Costs[[#This Row],[Total_Cost]]-International_Education_Costs[[#This Row],[Tuition_USD]]</f>
        <v>39160</v>
      </c>
      <c r="Q97" s="2">
        <f>International_Education_Costs[[#This Row],[Tuition_USD]]/International_Education_Costs[[#This Row],[Total_Cost]]</f>
        <v>0.5680564747407898</v>
      </c>
    </row>
    <row r="98" spans="1:17" x14ac:dyDescent="0.25">
      <c r="A98" t="s">
        <v>12</v>
      </c>
      <c r="B98" t="s">
        <v>280</v>
      </c>
      <c r="C98" t="s">
        <v>281</v>
      </c>
      <c r="D98" t="s">
        <v>15</v>
      </c>
      <c r="E98" t="s">
        <v>122</v>
      </c>
      <c r="F98">
        <v>5</v>
      </c>
      <c r="G98" s="1">
        <v>38200</v>
      </c>
      <c r="H98">
        <v>69.5</v>
      </c>
      <c r="I98" s="1">
        <v>1400</v>
      </c>
      <c r="J98" s="1">
        <v>160</v>
      </c>
      <c r="K98" s="1">
        <v>1500</v>
      </c>
      <c r="L98">
        <v>1</v>
      </c>
      <c r="M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129860</v>
      </c>
      <c r="N98" s="1">
        <f>International_Education_Costs[[#This Row],[Total_Cost]]/International_Education_Costs[[#This Row],[Duration_Years]]</f>
        <v>25972</v>
      </c>
      <c r="O98" s="1">
        <f>International_Education_Costs[[#This Row],[Rent_USD]] * 12 * International_Education_Costs[[#This Row],[Duration_Years]]</f>
        <v>84000</v>
      </c>
      <c r="P98" s="1">
        <f>International_Education_Costs[[#This Row],[Total_Cost]]-International_Education_Costs[[#This Row],[Tuition_USD]]</f>
        <v>91660</v>
      </c>
      <c r="Q98" s="2">
        <f>International_Education_Costs[[#This Row],[Tuition_USD]]/International_Education_Costs[[#This Row],[Total_Cost]]</f>
        <v>0.29416294470968735</v>
      </c>
    </row>
    <row r="99" spans="1:17" x14ac:dyDescent="0.25">
      <c r="A99" t="s">
        <v>12</v>
      </c>
      <c r="B99" t="s">
        <v>282</v>
      </c>
      <c r="C99" t="s">
        <v>283</v>
      </c>
      <c r="D99" t="s">
        <v>223</v>
      </c>
      <c r="E99" t="s">
        <v>75</v>
      </c>
      <c r="F99">
        <v>4</v>
      </c>
      <c r="G99" s="1">
        <v>41200</v>
      </c>
      <c r="H99">
        <v>70.2</v>
      </c>
      <c r="I99" s="1">
        <v>1300</v>
      </c>
      <c r="J99" s="1">
        <v>160</v>
      </c>
      <c r="K99" s="1">
        <v>1500</v>
      </c>
      <c r="L99">
        <v>1</v>
      </c>
      <c r="M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109760</v>
      </c>
      <c r="N99" s="1">
        <f>International_Education_Costs[[#This Row],[Total_Cost]]/International_Education_Costs[[#This Row],[Duration_Years]]</f>
        <v>27440</v>
      </c>
      <c r="O99" s="1">
        <f>International_Education_Costs[[#This Row],[Rent_USD]] * 12 * International_Education_Costs[[#This Row],[Duration_Years]]</f>
        <v>62400</v>
      </c>
      <c r="P99" s="1">
        <f>International_Education_Costs[[#This Row],[Total_Cost]]-International_Education_Costs[[#This Row],[Tuition_USD]]</f>
        <v>68560</v>
      </c>
      <c r="Q99" s="2">
        <f>International_Education_Costs[[#This Row],[Tuition_USD]]/International_Education_Costs[[#This Row],[Total_Cost]]</f>
        <v>0.37536443148688048</v>
      </c>
    </row>
    <row r="100" spans="1:17" x14ac:dyDescent="0.25">
      <c r="A100" t="s">
        <v>12</v>
      </c>
      <c r="B100" t="s">
        <v>284</v>
      </c>
      <c r="C100" t="s">
        <v>285</v>
      </c>
      <c r="D100" t="s">
        <v>20</v>
      </c>
      <c r="E100" t="s">
        <v>16</v>
      </c>
      <c r="F100">
        <v>2</v>
      </c>
      <c r="G100" s="1">
        <v>39800</v>
      </c>
      <c r="H100">
        <v>71.5</v>
      </c>
      <c r="I100" s="1">
        <v>1600</v>
      </c>
      <c r="J100" s="1">
        <v>160</v>
      </c>
      <c r="K100" s="1">
        <v>1500</v>
      </c>
      <c r="L100">
        <v>1</v>
      </c>
      <c r="M1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81360</v>
      </c>
      <c r="N100" s="1">
        <f>International_Education_Costs[[#This Row],[Total_Cost]]/International_Education_Costs[[#This Row],[Duration_Years]]</f>
        <v>40680</v>
      </c>
      <c r="O100" s="1">
        <f>International_Education_Costs[[#This Row],[Rent_USD]] * 12 * International_Education_Costs[[#This Row],[Duration_Years]]</f>
        <v>38400</v>
      </c>
      <c r="P100" s="1">
        <f>International_Education_Costs[[#This Row],[Total_Cost]]-International_Education_Costs[[#This Row],[Tuition_USD]]</f>
        <v>41560</v>
      </c>
      <c r="Q100" s="2">
        <f>International_Education_Costs[[#This Row],[Tuition_USD]]/International_Education_Costs[[#This Row],[Total_Cost]]</f>
        <v>0.48918387413962633</v>
      </c>
    </row>
    <row r="101" spans="1:17" x14ac:dyDescent="0.25">
      <c r="A101" t="s">
        <v>12</v>
      </c>
      <c r="B101" t="s">
        <v>286</v>
      </c>
      <c r="C101" t="s">
        <v>287</v>
      </c>
      <c r="D101" t="s">
        <v>15</v>
      </c>
      <c r="E101" t="s">
        <v>75</v>
      </c>
      <c r="F101">
        <v>4</v>
      </c>
      <c r="G101" s="1">
        <v>42500</v>
      </c>
      <c r="H101">
        <v>72.8</v>
      </c>
      <c r="I101" s="1">
        <v>1500</v>
      </c>
      <c r="J101" s="1">
        <v>160</v>
      </c>
      <c r="K101" s="1">
        <v>1500</v>
      </c>
      <c r="L101">
        <v>1</v>
      </c>
      <c r="M1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120660</v>
      </c>
      <c r="N101" s="1">
        <f>International_Education_Costs[[#This Row],[Total_Cost]]/International_Education_Costs[[#This Row],[Duration_Years]]</f>
        <v>30165</v>
      </c>
      <c r="O101" s="1">
        <f>International_Education_Costs[[#This Row],[Rent_USD]] * 12 * International_Education_Costs[[#This Row],[Duration_Years]]</f>
        <v>72000</v>
      </c>
      <c r="P101" s="1">
        <f>International_Education_Costs[[#This Row],[Total_Cost]]-International_Education_Costs[[#This Row],[Tuition_USD]]</f>
        <v>78160</v>
      </c>
      <c r="Q101" s="2">
        <f>International_Education_Costs[[#This Row],[Tuition_USD]]/International_Education_Costs[[#This Row],[Total_Cost]]</f>
        <v>0.35222940493949945</v>
      </c>
    </row>
    <row r="102" spans="1:17" x14ac:dyDescent="0.25">
      <c r="A102" t="s">
        <v>12</v>
      </c>
      <c r="B102" t="s">
        <v>288</v>
      </c>
      <c r="C102" t="s">
        <v>289</v>
      </c>
      <c r="D102" t="s">
        <v>63</v>
      </c>
      <c r="E102" t="s">
        <v>16</v>
      </c>
      <c r="F102">
        <v>2</v>
      </c>
      <c r="G102" s="1">
        <v>42800</v>
      </c>
      <c r="H102">
        <v>73.5</v>
      </c>
      <c r="I102" s="1">
        <v>1700</v>
      </c>
      <c r="J102" s="1">
        <v>160</v>
      </c>
      <c r="K102" s="1">
        <v>1500</v>
      </c>
      <c r="L102">
        <v>1</v>
      </c>
      <c r="M1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86760</v>
      </c>
      <c r="N102" s="1">
        <f>International_Education_Costs[[#This Row],[Total_Cost]]/International_Education_Costs[[#This Row],[Duration_Years]]</f>
        <v>43380</v>
      </c>
      <c r="O102" s="1">
        <f>International_Education_Costs[[#This Row],[Rent_USD]] * 12 * International_Education_Costs[[#This Row],[Duration_Years]]</f>
        <v>40800</v>
      </c>
      <c r="P102" s="1">
        <f>International_Education_Costs[[#This Row],[Total_Cost]]-International_Education_Costs[[#This Row],[Tuition_USD]]</f>
        <v>43960</v>
      </c>
      <c r="Q102" s="2">
        <f>International_Education_Costs[[#This Row],[Tuition_USD]]/International_Education_Costs[[#This Row],[Total_Cost]]</f>
        <v>0.49331489165514064</v>
      </c>
    </row>
    <row r="103" spans="1:17" x14ac:dyDescent="0.25">
      <c r="A103" t="s">
        <v>17</v>
      </c>
      <c r="B103" t="s">
        <v>18</v>
      </c>
      <c r="C103" t="s">
        <v>290</v>
      </c>
      <c r="D103" t="s">
        <v>15</v>
      </c>
      <c r="E103" t="s">
        <v>16</v>
      </c>
      <c r="F103">
        <v>1</v>
      </c>
      <c r="G103" s="1">
        <v>39200</v>
      </c>
      <c r="H103">
        <v>76.2</v>
      </c>
      <c r="I103" s="1">
        <v>1900</v>
      </c>
      <c r="J103" s="1">
        <v>485</v>
      </c>
      <c r="K103" s="1">
        <v>800</v>
      </c>
      <c r="L103">
        <v>0.79</v>
      </c>
      <c r="M1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63285</v>
      </c>
      <c r="N103" s="1">
        <f>International_Education_Costs[[#This Row],[Total_Cost]]/International_Education_Costs[[#This Row],[Duration_Years]]</f>
        <v>63285</v>
      </c>
      <c r="O103" s="1">
        <f>International_Education_Costs[[#This Row],[Rent_USD]] * 12 * International_Education_Costs[[#This Row],[Duration_Years]]</f>
        <v>22800</v>
      </c>
      <c r="P103" s="1">
        <f>International_Education_Costs[[#This Row],[Total_Cost]]-International_Education_Costs[[#This Row],[Tuition_USD]]</f>
        <v>24085</v>
      </c>
      <c r="Q103" s="2">
        <f>International_Education_Costs[[#This Row],[Tuition_USD]]/International_Education_Costs[[#This Row],[Total_Cost]]</f>
        <v>0.61942008374812352</v>
      </c>
    </row>
    <row r="104" spans="1:17" x14ac:dyDescent="0.25">
      <c r="A104" t="s">
        <v>17</v>
      </c>
      <c r="B104" t="s">
        <v>291</v>
      </c>
      <c r="C104" t="s">
        <v>292</v>
      </c>
      <c r="D104" t="s">
        <v>208</v>
      </c>
      <c r="E104" t="s">
        <v>75</v>
      </c>
      <c r="F104">
        <v>3</v>
      </c>
      <c r="G104" s="1">
        <v>28500</v>
      </c>
      <c r="H104">
        <v>65.8</v>
      </c>
      <c r="I104" s="1">
        <v>950</v>
      </c>
      <c r="J104" s="1">
        <v>485</v>
      </c>
      <c r="K104" s="1">
        <v>800</v>
      </c>
      <c r="L104">
        <v>0.79</v>
      </c>
      <c r="M1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65585</v>
      </c>
      <c r="N104" s="1">
        <f>International_Education_Costs[[#This Row],[Total_Cost]]/International_Education_Costs[[#This Row],[Duration_Years]]</f>
        <v>21861.666666666668</v>
      </c>
      <c r="O104" s="1">
        <f>International_Education_Costs[[#This Row],[Rent_USD]] * 12 * International_Education_Costs[[#This Row],[Duration_Years]]</f>
        <v>34200</v>
      </c>
      <c r="P104" s="1">
        <f>International_Education_Costs[[#This Row],[Total_Cost]]-International_Education_Costs[[#This Row],[Tuition_USD]]</f>
        <v>37085</v>
      </c>
      <c r="Q104" s="2">
        <f>International_Education_Costs[[#This Row],[Tuition_USD]]/International_Education_Costs[[#This Row],[Total_Cost]]</f>
        <v>0.43455058321262485</v>
      </c>
    </row>
    <row r="105" spans="1:17" x14ac:dyDescent="0.25">
      <c r="A105" t="s">
        <v>17</v>
      </c>
      <c r="B105" t="s">
        <v>293</v>
      </c>
      <c r="C105" t="s">
        <v>294</v>
      </c>
      <c r="D105" t="s">
        <v>20</v>
      </c>
      <c r="E105" t="s">
        <v>16</v>
      </c>
      <c r="F105">
        <v>1</v>
      </c>
      <c r="G105" s="1">
        <v>36800</v>
      </c>
      <c r="H105">
        <v>67.2</v>
      </c>
      <c r="I105" s="1">
        <v>1000</v>
      </c>
      <c r="J105" s="1">
        <v>485</v>
      </c>
      <c r="K105" s="1">
        <v>800</v>
      </c>
      <c r="L105">
        <v>0.79</v>
      </c>
      <c r="M1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50085</v>
      </c>
      <c r="N105" s="1">
        <f>International_Education_Costs[[#This Row],[Total_Cost]]/International_Education_Costs[[#This Row],[Duration_Years]]</f>
        <v>50085</v>
      </c>
      <c r="O105" s="1">
        <f>International_Education_Costs[[#This Row],[Rent_USD]] * 12 * International_Education_Costs[[#This Row],[Duration_Years]]</f>
        <v>12000</v>
      </c>
      <c r="P105" s="1">
        <f>International_Education_Costs[[#This Row],[Total_Cost]]-International_Education_Costs[[#This Row],[Tuition_USD]]</f>
        <v>13285</v>
      </c>
      <c r="Q105" s="2">
        <f>International_Education_Costs[[#This Row],[Tuition_USD]]/International_Education_Costs[[#This Row],[Total_Cost]]</f>
        <v>0.73475092343016868</v>
      </c>
    </row>
    <row r="106" spans="1:17" x14ac:dyDescent="0.25">
      <c r="A106" t="s">
        <v>17</v>
      </c>
      <c r="B106" t="s">
        <v>295</v>
      </c>
      <c r="C106" t="s">
        <v>296</v>
      </c>
      <c r="D106" t="s">
        <v>40</v>
      </c>
      <c r="E106" t="s">
        <v>122</v>
      </c>
      <c r="F106">
        <v>3</v>
      </c>
      <c r="G106" s="1">
        <v>27900</v>
      </c>
      <c r="H106">
        <v>64.5</v>
      </c>
      <c r="I106" s="1">
        <v>850</v>
      </c>
      <c r="J106" s="1">
        <v>485</v>
      </c>
      <c r="K106" s="1">
        <v>800</v>
      </c>
      <c r="L106">
        <v>0.79</v>
      </c>
      <c r="M1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61385</v>
      </c>
      <c r="N106" s="1">
        <f>International_Education_Costs[[#This Row],[Total_Cost]]/International_Education_Costs[[#This Row],[Duration_Years]]</f>
        <v>20461.666666666668</v>
      </c>
      <c r="O106" s="1">
        <f>International_Education_Costs[[#This Row],[Rent_USD]] * 12 * International_Education_Costs[[#This Row],[Duration_Years]]</f>
        <v>30600</v>
      </c>
      <c r="P106" s="1">
        <f>International_Education_Costs[[#This Row],[Total_Cost]]-International_Education_Costs[[#This Row],[Tuition_USD]]</f>
        <v>33485</v>
      </c>
      <c r="Q106" s="2">
        <f>International_Education_Costs[[#This Row],[Tuition_USD]]/International_Education_Costs[[#This Row],[Total_Cost]]</f>
        <v>0.4545084303983058</v>
      </c>
    </row>
    <row r="107" spans="1:17" x14ac:dyDescent="0.25">
      <c r="A107" t="s">
        <v>17</v>
      </c>
      <c r="B107" t="s">
        <v>297</v>
      </c>
      <c r="C107" t="s">
        <v>298</v>
      </c>
      <c r="D107" t="s">
        <v>63</v>
      </c>
      <c r="E107" t="s">
        <v>75</v>
      </c>
      <c r="F107">
        <v>3</v>
      </c>
      <c r="G107" s="1">
        <v>29500</v>
      </c>
      <c r="H107">
        <v>66.8</v>
      </c>
      <c r="I107" s="1">
        <v>950</v>
      </c>
      <c r="J107" s="1">
        <v>485</v>
      </c>
      <c r="K107" s="1">
        <v>800</v>
      </c>
      <c r="L107">
        <v>0.79</v>
      </c>
      <c r="M1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66585</v>
      </c>
      <c r="N107" s="1">
        <f>International_Education_Costs[[#This Row],[Total_Cost]]/International_Education_Costs[[#This Row],[Duration_Years]]</f>
        <v>22195</v>
      </c>
      <c r="O107" s="1">
        <f>International_Education_Costs[[#This Row],[Rent_USD]] * 12 * International_Education_Costs[[#This Row],[Duration_Years]]</f>
        <v>34200</v>
      </c>
      <c r="P107" s="1">
        <f>International_Education_Costs[[#This Row],[Total_Cost]]-International_Education_Costs[[#This Row],[Tuition_USD]]</f>
        <v>37085</v>
      </c>
      <c r="Q107" s="2">
        <f>International_Education_Costs[[#This Row],[Tuition_USD]]/International_Education_Costs[[#This Row],[Total_Cost]]</f>
        <v>0.4430427273409927</v>
      </c>
    </row>
    <row r="108" spans="1:17" x14ac:dyDescent="0.25">
      <c r="A108" t="s">
        <v>17</v>
      </c>
      <c r="B108" t="s">
        <v>299</v>
      </c>
      <c r="C108" t="s">
        <v>300</v>
      </c>
      <c r="D108" t="s">
        <v>301</v>
      </c>
      <c r="E108" t="s">
        <v>16</v>
      </c>
      <c r="F108">
        <v>1</v>
      </c>
      <c r="G108" s="1">
        <v>32400</v>
      </c>
      <c r="H108">
        <v>65.900000000000006</v>
      </c>
      <c r="I108" s="1">
        <v>900</v>
      </c>
      <c r="J108" s="1">
        <v>485</v>
      </c>
      <c r="K108" s="1">
        <v>800</v>
      </c>
      <c r="L108">
        <v>0.79</v>
      </c>
      <c r="M1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44485</v>
      </c>
      <c r="N108" s="1">
        <f>International_Education_Costs[[#This Row],[Total_Cost]]/International_Education_Costs[[#This Row],[Duration_Years]]</f>
        <v>44485</v>
      </c>
      <c r="O108" s="1">
        <f>International_Education_Costs[[#This Row],[Rent_USD]] * 12 * International_Education_Costs[[#This Row],[Duration_Years]]</f>
        <v>10800</v>
      </c>
      <c r="P108" s="1">
        <f>International_Education_Costs[[#This Row],[Total_Cost]]-International_Education_Costs[[#This Row],[Tuition_USD]]</f>
        <v>12085</v>
      </c>
      <c r="Q108" s="2">
        <f>International_Education_Costs[[#This Row],[Tuition_USD]]/International_Education_Costs[[#This Row],[Total_Cost]]</f>
        <v>0.72833539395301783</v>
      </c>
    </row>
    <row r="109" spans="1:17" x14ac:dyDescent="0.25">
      <c r="A109" t="s">
        <v>17</v>
      </c>
      <c r="B109" t="s">
        <v>302</v>
      </c>
      <c r="C109" t="s">
        <v>303</v>
      </c>
      <c r="D109" t="s">
        <v>15</v>
      </c>
      <c r="E109" t="s">
        <v>75</v>
      </c>
      <c r="F109">
        <v>3</v>
      </c>
      <c r="G109" s="1">
        <v>28900</v>
      </c>
      <c r="H109">
        <v>64.8</v>
      </c>
      <c r="I109" s="1">
        <v>850</v>
      </c>
      <c r="J109" s="1">
        <v>485</v>
      </c>
      <c r="K109" s="1">
        <v>800</v>
      </c>
      <c r="L109">
        <v>0.79</v>
      </c>
      <c r="M1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62385</v>
      </c>
      <c r="N109" s="1">
        <f>International_Education_Costs[[#This Row],[Total_Cost]]/International_Education_Costs[[#This Row],[Duration_Years]]</f>
        <v>20795</v>
      </c>
      <c r="O109" s="1">
        <f>International_Education_Costs[[#This Row],[Rent_USD]] * 12 * International_Education_Costs[[#This Row],[Duration_Years]]</f>
        <v>30600</v>
      </c>
      <c r="P109" s="1">
        <f>International_Education_Costs[[#This Row],[Total_Cost]]-International_Education_Costs[[#This Row],[Tuition_USD]]</f>
        <v>33485</v>
      </c>
      <c r="Q109" s="2">
        <f>International_Education_Costs[[#This Row],[Tuition_USD]]/International_Education_Costs[[#This Row],[Total_Cost]]</f>
        <v>0.46325238438727256</v>
      </c>
    </row>
    <row r="110" spans="1:17" x14ac:dyDescent="0.25">
      <c r="A110" t="s">
        <v>17</v>
      </c>
      <c r="B110" t="s">
        <v>304</v>
      </c>
      <c r="C110" t="s">
        <v>305</v>
      </c>
      <c r="D110" t="s">
        <v>242</v>
      </c>
      <c r="E110" t="s">
        <v>16</v>
      </c>
      <c r="F110">
        <v>1</v>
      </c>
      <c r="G110" s="1">
        <v>31200</v>
      </c>
      <c r="H110">
        <v>64.2</v>
      </c>
      <c r="I110" s="1">
        <v>800</v>
      </c>
      <c r="J110" s="1">
        <v>485</v>
      </c>
      <c r="K110" s="1">
        <v>800</v>
      </c>
      <c r="L110">
        <v>0.79</v>
      </c>
      <c r="M1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42085</v>
      </c>
      <c r="N110" s="1">
        <f>International_Education_Costs[[#This Row],[Total_Cost]]/International_Education_Costs[[#This Row],[Duration_Years]]</f>
        <v>42085</v>
      </c>
      <c r="O110" s="1">
        <f>International_Education_Costs[[#This Row],[Rent_USD]] * 12 * International_Education_Costs[[#This Row],[Duration_Years]]</f>
        <v>9600</v>
      </c>
      <c r="P110" s="1">
        <f>International_Education_Costs[[#This Row],[Total_Cost]]-International_Education_Costs[[#This Row],[Tuition_USD]]</f>
        <v>10885</v>
      </c>
      <c r="Q110" s="2">
        <f>International_Education_Costs[[#This Row],[Tuition_USD]]/International_Education_Costs[[#This Row],[Total_Cost]]</f>
        <v>0.74135677794938815</v>
      </c>
    </row>
    <row r="111" spans="1:17" x14ac:dyDescent="0.25">
      <c r="A111" t="s">
        <v>17</v>
      </c>
      <c r="B111" t="s">
        <v>306</v>
      </c>
      <c r="C111" t="s">
        <v>307</v>
      </c>
      <c r="D111" t="s">
        <v>308</v>
      </c>
      <c r="E111" t="s">
        <v>75</v>
      </c>
      <c r="F111">
        <v>3</v>
      </c>
      <c r="G111" s="1">
        <v>27500</v>
      </c>
      <c r="H111">
        <v>63.5</v>
      </c>
      <c r="I111" s="1">
        <v>750</v>
      </c>
      <c r="J111" s="1">
        <v>485</v>
      </c>
      <c r="K111" s="1">
        <v>800</v>
      </c>
      <c r="L111">
        <v>0.79</v>
      </c>
      <c r="M1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57385</v>
      </c>
      <c r="N111" s="1">
        <f>International_Education_Costs[[#This Row],[Total_Cost]]/International_Education_Costs[[#This Row],[Duration_Years]]</f>
        <v>19128.333333333332</v>
      </c>
      <c r="O111" s="1">
        <f>International_Education_Costs[[#This Row],[Rent_USD]] * 12 * International_Education_Costs[[#This Row],[Duration_Years]]</f>
        <v>27000</v>
      </c>
      <c r="P111" s="1">
        <f>International_Education_Costs[[#This Row],[Total_Cost]]-International_Education_Costs[[#This Row],[Tuition_USD]]</f>
        <v>29885</v>
      </c>
      <c r="Q111" s="2">
        <f>International_Education_Costs[[#This Row],[Tuition_USD]]/International_Education_Costs[[#This Row],[Total_Cost]]</f>
        <v>0.47921930818158054</v>
      </c>
    </row>
    <row r="112" spans="1:17" x14ac:dyDescent="0.25">
      <c r="A112" t="s">
        <v>17</v>
      </c>
      <c r="B112" t="s">
        <v>232</v>
      </c>
      <c r="C112" t="s">
        <v>309</v>
      </c>
      <c r="D112" t="s">
        <v>71</v>
      </c>
      <c r="E112" t="s">
        <v>16</v>
      </c>
      <c r="F112">
        <v>1</v>
      </c>
      <c r="G112" s="1">
        <v>30800</v>
      </c>
      <c r="H112">
        <v>64.599999999999994</v>
      </c>
      <c r="I112" s="1">
        <v>800</v>
      </c>
      <c r="J112" s="1">
        <v>485</v>
      </c>
      <c r="K112" s="1">
        <v>800</v>
      </c>
      <c r="L112">
        <v>0.79</v>
      </c>
      <c r="M1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41685</v>
      </c>
      <c r="N112" s="1">
        <f>International_Education_Costs[[#This Row],[Total_Cost]]/International_Education_Costs[[#This Row],[Duration_Years]]</f>
        <v>41685</v>
      </c>
      <c r="O112" s="1">
        <f>International_Education_Costs[[#This Row],[Rent_USD]] * 12 * International_Education_Costs[[#This Row],[Duration_Years]]</f>
        <v>9600</v>
      </c>
      <c r="P112" s="1">
        <f>International_Education_Costs[[#This Row],[Total_Cost]]-International_Education_Costs[[#This Row],[Tuition_USD]]</f>
        <v>10885</v>
      </c>
      <c r="Q112" s="2">
        <f>International_Education_Costs[[#This Row],[Tuition_USD]]/International_Education_Costs[[#This Row],[Total_Cost]]</f>
        <v>0.73887489504617965</v>
      </c>
    </row>
    <row r="113" spans="1:17" x14ac:dyDescent="0.25">
      <c r="A113" t="s">
        <v>21</v>
      </c>
      <c r="B113" t="s">
        <v>310</v>
      </c>
      <c r="C113" t="s">
        <v>311</v>
      </c>
      <c r="D113" t="s">
        <v>208</v>
      </c>
      <c r="E113" t="s">
        <v>75</v>
      </c>
      <c r="F113">
        <v>4</v>
      </c>
      <c r="G113" s="1">
        <v>32500</v>
      </c>
      <c r="H113">
        <v>68.5</v>
      </c>
      <c r="I113" s="1">
        <v>1200</v>
      </c>
      <c r="J113" s="1">
        <v>235</v>
      </c>
      <c r="K113" s="1">
        <v>900</v>
      </c>
      <c r="L113">
        <v>1.35</v>
      </c>
      <c r="M1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93935</v>
      </c>
      <c r="N113" s="1">
        <f>International_Education_Costs[[#This Row],[Total_Cost]]/International_Education_Costs[[#This Row],[Duration_Years]]</f>
        <v>23483.75</v>
      </c>
      <c r="O113" s="1">
        <f>International_Education_Costs[[#This Row],[Rent_USD]] * 12 * International_Education_Costs[[#This Row],[Duration_Years]]</f>
        <v>57600</v>
      </c>
      <c r="P113" s="1">
        <f>International_Education_Costs[[#This Row],[Total_Cost]]-International_Education_Costs[[#This Row],[Tuition_USD]]</f>
        <v>61435</v>
      </c>
      <c r="Q113" s="2">
        <f>International_Education_Costs[[#This Row],[Tuition_USD]]/International_Education_Costs[[#This Row],[Total_Cost]]</f>
        <v>0.34598392505455899</v>
      </c>
    </row>
    <row r="114" spans="1:17" x14ac:dyDescent="0.25">
      <c r="A114" t="s">
        <v>21</v>
      </c>
      <c r="B114" t="s">
        <v>312</v>
      </c>
      <c r="C114" t="s">
        <v>313</v>
      </c>
      <c r="D114" t="s">
        <v>15</v>
      </c>
      <c r="E114" t="s">
        <v>16</v>
      </c>
      <c r="F114">
        <v>2</v>
      </c>
      <c r="G114" s="1">
        <v>29800</v>
      </c>
      <c r="H114">
        <v>65.8</v>
      </c>
      <c r="I114" s="1">
        <v>1100</v>
      </c>
      <c r="J114" s="1">
        <v>235</v>
      </c>
      <c r="K114" s="1">
        <v>900</v>
      </c>
      <c r="L114">
        <v>1.35</v>
      </c>
      <c r="M1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58235</v>
      </c>
      <c r="N114" s="1">
        <f>International_Education_Costs[[#This Row],[Total_Cost]]/International_Education_Costs[[#This Row],[Duration_Years]]</f>
        <v>29117.5</v>
      </c>
      <c r="O114" s="1">
        <f>International_Education_Costs[[#This Row],[Rent_USD]] * 12 * International_Education_Costs[[#This Row],[Duration_Years]]</f>
        <v>26400</v>
      </c>
      <c r="P114" s="1">
        <f>International_Education_Costs[[#This Row],[Total_Cost]]-International_Education_Costs[[#This Row],[Tuition_USD]]</f>
        <v>28435</v>
      </c>
      <c r="Q114" s="2">
        <f>International_Education_Costs[[#This Row],[Tuition_USD]]/International_Education_Costs[[#This Row],[Total_Cost]]</f>
        <v>0.51171975616038468</v>
      </c>
    </row>
    <row r="115" spans="1:17" x14ac:dyDescent="0.25">
      <c r="A115" t="s">
        <v>21</v>
      </c>
      <c r="B115" t="s">
        <v>314</v>
      </c>
      <c r="C115" t="s">
        <v>315</v>
      </c>
      <c r="D115" t="s">
        <v>20</v>
      </c>
      <c r="E115" t="s">
        <v>16</v>
      </c>
      <c r="F115">
        <v>2</v>
      </c>
      <c r="G115" s="1">
        <v>28500</v>
      </c>
      <c r="H115">
        <v>64.5</v>
      </c>
      <c r="I115" s="1">
        <v>1200</v>
      </c>
      <c r="J115" s="1">
        <v>235</v>
      </c>
      <c r="K115" s="1">
        <v>900</v>
      </c>
      <c r="L115">
        <v>1.35</v>
      </c>
      <c r="M1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59335</v>
      </c>
      <c r="N115" s="1">
        <f>International_Education_Costs[[#This Row],[Total_Cost]]/International_Education_Costs[[#This Row],[Duration_Years]]</f>
        <v>29667.5</v>
      </c>
      <c r="O115" s="1">
        <f>International_Education_Costs[[#This Row],[Rent_USD]] * 12 * International_Education_Costs[[#This Row],[Duration_Years]]</f>
        <v>28800</v>
      </c>
      <c r="P115" s="1">
        <f>International_Education_Costs[[#This Row],[Total_Cost]]-International_Education_Costs[[#This Row],[Tuition_USD]]</f>
        <v>30835</v>
      </c>
      <c r="Q115" s="2">
        <f>International_Education_Costs[[#This Row],[Tuition_USD]]/International_Education_Costs[[#This Row],[Total_Cost]]</f>
        <v>0.48032358641611189</v>
      </c>
    </row>
    <row r="116" spans="1:17" x14ac:dyDescent="0.25">
      <c r="A116" t="s">
        <v>21</v>
      </c>
      <c r="B116" t="s">
        <v>316</v>
      </c>
      <c r="C116" t="s">
        <v>317</v>
      </c>
      <c r="D116" t="s">
        <v>63</v>
      </c>
      <c r="E116" t="s">
        <v>75</v>
      </c>
      <c r="F116">
        <v>4</v>
      </c>
      <c r="G116" s="1">
        <v>27900</v>
      </c>
      <c r="H116">
        <v>69.2</v>
      </c>
      <c r="I116" s="1">
        <v>1300</v>
      </c>
      <c r="J116" s="1">
        <v>235</v>
      </c>
      <c r="K116" s="1">
        <v>900</v>
      </c>
      <c r="L116">
        <v>1.35</v>
      </c>
      <c r="M1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94135</v>
      </c>
      <c r="N116" s="1">
        <f>International_Education_Costs[[#This Row],[Total_Cost]]/International_Education_Costs[[#This Row],[Duration_Years]]</f>
        <v>23533.75</v>
      </c>
      <c r="O116" s="1">
        <f>International_Education_Costs[[#This Row],[Rent_USD]] * 12 * International_Education_Costs[[#This Row],[Duration_Years]]</f>
        <v>62400</v>
      </c>
      <c r="P116" s="1">
        <f>International_Education_Costs[[#This Row],[Total_Cost]]-International_Education_Costs[[#This Row],[Tuition_USD]]</f>
        <v>66235</v>
      </c>
      <c r="Q116" s="2">
        <f>International_Education_Costs[[#This Row],[Tuition_USD]]/International_Education_Costs[[#This Row],[Total_Cost]]</f>
        <v>0.29638285441121792</v>
      </c>
    </row>
    <row r="117" spans="1:17" x14ac:dyDescent="0.25">
      <c r="A117" t="s">
        <v>21</v>
      </c>
      <c r="B117" t="s">
        <v>318</v>
      </c>
      <c r="C117" t="s">
        <v>319</v>
      </c>
      <c r="D117" t="s">
        <v>40</v>
      </c>
      <c r="E117" t="s">
        <v>16</v>
      </c>
      <c r="F117">
        <v>2</v>
      </c>
      <c r="G117" s="1">
        <v>21500</v>
      </c>
      <c r="H117">
        <v>63.8</v>
      </c>
      <c r="I117" s="1">
        <v>900</v>
      </c>
      <c r="J117" s="1">
        <v>235</v>
      </c>
      <c r="K117" s="1">
        <v>900</v>
      </c>
      <c r="L117">
        <v>1.35</v>
      </c>
      <c r="M1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45135</v>
      </c>
      <c r="N117" s="1">
        <f>International_Education_Costs[[#This Row],[Total_Cost]]/International_Education_Costs[[#This Row],[Duration_Years]]</f>
        <v>22567.5</v>
      </c>
      <c r="O117" s="1">
        <f>International_Education_Costs[[#This Row],[Rent_USD]] * 12 * International_Education_Costs[[#This Row],[Duration_Years]]</f>
        <v>21600</v>
      </c>
      <c r="P117" s="1">
        <f>International_Education_Costs[[#This Row],[Total_Cost]]-International_Education_Costs[[#This Row],[Tuition_USD]]</f>
        <v>23635</v>
      </c>
      <c r="Q117" s="2">
        <f>International_Education_Costs[[#This Row],[Tuition_USD]]/International_Education_Costs[[#This Row],[Total_Cost]]</f>
        <v>0.47634873158302871</v>
      </c>
    </row>
    <row r="118" spans="1:17" x14ac:dyDescent="0.25">
      <c r="A118" t="s">
        <v>21</v>
      </c>
      <c r="B118" t="s">
        <v>320</v>
      </c>
      <c r="C118" t="s">
        <v>321</v>
      </c>
      <c r="D118" t="s">
        <v>15</v>
      </c>
      <c r="E118" t="s">
        <v>75</v>
      </c>
      <c r="F118">
        <v>4</v>
      </c>
      <c r="G118" s="1">
        <v>26800</v>
      </c>
      <c r="H118">
        <v>62.5</v>
      </c>
      <c r="I118" s="1">
        <v>950</v>
      </c>
      <c r="J118" s="1">
        <v>235</v>
      </c>
      <c r="K118" s="1">
        <v>900</v>
      </c>
      <c r="L118">
        <v>1.35</v>
      </c>
      <c r="M1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76235</v>
      </c>
      <c r="N118" s="1">
        <f>International_Education_Costs[[#This Row],[Total_Cost]]/International_Education_Costs[[#This Row],[Duration_Years]]</f>
        <v>19058.75</v>
      </c>
      <c r="O118" s="1">
        <f>International_Education_Costs[[#This Row],[Rent_USD]] * 12 * International_Education_Costs[[#This Row],[Duration_Years]]</f>
        <v>45600</v>
      </c>
      <c r="P118" s="1">
        <f>International_Education_Costs[[#This Row],[Total_Cost]]-International_Education_Costs[[#This Row],[Tuition_USD]]</f>
        <v>49435</v>
      </c>
      <c r="Q118" s="2">
        <f>International_Education_Costs[[#This Row],[Tuition_USD]]/International_Education_Costs[[#This Row],[Total_Cost]]</f>
        <v>0.35154456614415952</v>
      </c>
    </row>
    <row r="119" spans="1:17" x14ac:dyDescent="0.25">
      <c r="A119" t="s">
        <v>21</v>
      </c>
      <c r="B119" t="s">
        <v>322</v>
      </c>
      <c r="C119" t="s">
        <v>323</v>
      </c>
      <c r="D119" t="s">
        <v>261</v>
      </c>
      <c r="E119" t="s">
        <v>75</v>
      </c>
      <c r="F119">
        <v>4</v>
      </c>
      <c r="G119" s="1">
        <v>25500</v>
      </c>
      <c r="H119">
        <v>61.8</v>
      </c>
      <c r="I119" s="1">
        <v>900</v>
      </c>
      <c r="J119" s="1">
        <v>235</v>
      </c>
      <c r="K119" s="1">
        <v>900</v>
      </c>
      <c r="L119">
        <v>1.35</v>
      </c>
      <c r="M1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72535</v>
      </c>
      <c r="N119" s="1">
        <f>International_Education_Costs[[#This Row],[Total_Cost]]/International_Education_Costs[[#This Row],[Duration_Years]]</f>
        <v>18133.75</v>
      </c>
      <c r="O119" s="1">
        <f>International_Education_Costs[[#This Row],[Rent_USD]] * 12 * International_Education_Costs[[#This Row],[Duration_Years]]</f>
        <v>43200</v>
      </c>
      <c r="P119" s="1">
        <f>International_Education_Costs[[#This Row],[Total_Cost]]-International_Education_Costs[[#This Row],[Tuition_USD]]</f>
        <v>47035</v>
      </c>
      <c r="Q119" s="2">
        <f>International_Education_Costs[[#This Row],[Tuition_USD]]/International_Education_Costs[[#This Row],[Total_Cost]]</f>
        <v>0.35155442200317089</v>
      </c>
    </row>
    <row r="120" spans="1:17" x14ac:dyDescent="0.25">
      <c r="A120" t="s">
        <v>21</v>
      </c>
      <c r="B120" t="s">
        <v>324</v>
      </c>
      <c r="C120" t="s">
        <v>325</v>
      </c>
      <c r="D120" t="s">
        <v>15</v>
      </c>
      <c r="E120" t="s">
        <v>16</v>
      </c>
      <c r="F120">
        <v>2</v>
      </c>
      <c r="G120" s="1">
        <v>19800</v>
      </c>
      <c r="H120">
        <v>63.2</v>
      </c>
      <c r="I120" s="1">
        <v>950</v>
      </c>
      <c r="J120" s="1">
        <v>235</v>
      </c>
      <c r="K120" s="1">
        <v>900</v>
      </c>
      <c r="L120">
        <v>1.35</v>
      </c>
      <c r="M1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44635</v>
      </c>
      <c r="N120" s="1">
        <f>International_Education_Costs[[#This Row],[Total_Cost]]/International_Education_Costs[[#This Row],[Duration_Years]]</f>
        <v>22317.5</v>
      </c>
      <c r="O120" s="1">
        <f>International_Education_Costs[[#This Row],[Rent_USD]] * 12 * International_Education_Costs[[#This Row],[Duration_Years]]</f>
        <v>22800</v>
      </c>
      <c r="P120" s="1">
        <f>International_Education_Costs[[#This Row],[Total_Cost]]-International_Education_Costs[[#This Row],[Tuition_USD]]</f>
        <v>24835</v>
      </c>
      <c r="Q120" s="2">
        <f>International_Education_Costs[[#This Row],[Tuition_USD]]/International_Education_Costs[[#This Row],[Total_Cost]]</f>
        <v>0.4435980732608939</v>
      </c>
    </row>
    <row r="121" spans="1:17" x14ac:dyDescent="0.25">
      <c r="A121" t="s">
        <v>21</v>
      </c>
      <c r="B121" t="s">
        <v>326</v>
      </c>
      <c r="C121" t="s">
        <v>327</v>
      </c>
      <c r="D121" t="s">
        <v>71</v>
      </c>
      <c r="E121" t="s">
        <v>16</v>
      </c>
      <c r="F121">
        <v>2</v>
      </c>
      <c r="G121" s="1">
        <v>24500</v>
      </c>
      <c r="H121">
        <v>62.8</v>
      </c>
      <c r="I121" s="1">
        <v>1000</v>
      </c>
      <c r="J121" s="1">
        <v>235</v>
      </c>
      <c r="K121" s="1">
        <v>900</v>
      </c>
      <c r="L121">
        <v>1.35</v>
      </c>
      <c r="M1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50535</v>
      </c>
      <c r="N121" s="1">
        <f>International_Education_Costs[[#This Row],[Total_Cost]]/International_Education_Costs[[#This Row],[Duration_Years]]</f>
        <v>25267.5</v>
      </c>
      <c r="O121" s="1">
        <f>International_Education_Costs[[#This Row],[Rent_USD]] * 12 * International_Education_Costs[[#This Row],[Duration_Years]]</f>
        <v>24000</v>
      </c>
      <c r="P121" s="1">
        <f>International_Education_Costs[[#This Row],[Total_Cost]]-International_Education_Costs[[#This Row],[Tuition_USD]]</f>
        <v>26035</v>
      </c>
      <c r="Q121" s="2">
        <f>International_Education_Costs[[#This Row],[Tuition_USD]]/International_Education_Costs[[#This Row],[Total_Cost]]</f>
        <v>0.48481250618383298</v>
      </c>
    </row>
    <row r="122" spans="1:17" x14ac:dyDescent="0.25">
      <c r="A122" t="s">
        <v>21</v>
      </c>
      <c r="B122" t="s">
        <v>328</v>
      </c>
      <c r="C122" t="s">
        <v>1341</v>
      </c>
      <c r="D122" t="s">
        <v>63</v>
      </c>
      <c r="E122" t="s">
        <v>122</v>
      </c>
      <c r="F122">
        <v>4</v>
      </c>
      <c r="G122" s="1">
        <v>20500</v>
      </c>
      <c r="H122">
        <v>61.5</v>
      </c>
      <c r="I122" s="1">
        <v>850</v>
      </c>
      <c r="J122" s="1">
        <v>235</v>
      </c>
      <c r="K122" s="1">
        <v>900</v>
      </c>
      <c r="L122">
        <v>1.35</v>
      </c>
      <c r="M1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65135</v>
      </c>
      <c r="N122" s="1">
        <f>International_Education_Costs[[#This Row],[Total_Cost]]/International_Education_Costs[[#This Row],[Duration_Years]]</f>
        <v>16283.75</v>
      </c>
      <c r="O122" s="1">
        <f>International_Education_Costs[[#This Row],[Rent_USD]] * 12 * International_Education_Costs[[#This Row],[Duration_Years]]</f>
        <v>40800</v>
      </c>
      <c r="P122" s="1">
        <f>International_Education_Costs[[#This Row],[Total_Cost]]-International_Education_Costs[[#This Row],[Tuition_USD]]</f>
        <v>44635</v>
      </c>
      <c r="Q122" s="2">
        <f>International_Education_Costs[[#This Row],[Tuition_USD]]/International_Education_Costs[[#This Row],[Total_Cost]]</f>
        <v>0.31473094342519381</v>
      </c>
    </row>
    <row r="123" spans="1:17" x14ac:dyDescent="0.25">
      <c r="A123" t="s">
        <v>12</v>
      </c>
      <c r="B123" t="s">
        <v>329</v>
      </c>
      <c r="C123" t="s">
        <v>330</v>
      </c>
      <c r="D123" t="s">
        <v>15</v>
      </c>
      <c r="E123" t="s">
        <v>16</v>
      </c>
      <c r="F123">
        <v>2</v>
      </c>
      <c r="G123" s="1">
        <v>51200</v>
      </c>
      <c r="H123">
        <v>72.400000000000006</v>
      </c>
      <c r="I123" s="1">
        <v>1800</v>
      </c>
      <c r="J123" s="1">
        <v>160</v>
      </c>
      <c r="K123" s="1">
        <v>1500</v>
      </c>
      <c r="L123">
        <v>1</v>
      </c>
      <c r="M1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97560</v>
      </c>
      <c r="N123" s="1">
        <f>International_Education_Costs[[#This Row],[Total_Cost]]/International_Education_Costs[[#This Row],[Duration_Years]]</f>
        <v>48780</v>
      </c>
      <c r="O123" s="1">
        <f>International_Education_Costs[[#This Row],[Rent_USD]] * 12 * International_Education_Costs[[#This Row],[Duration_Years]]</f>
        <v>43200</v>
      </c>
      <c r="P123" s="1">
        <f>International_Education_Costs[[#This Row],[Total_Cost]]-International_Education_Costs[[#This Row],[Tuition_USD]]</f>
        <v>46360</v>
      </c>
      <c r="Q123" s="2">
        <f>International_Education_Costs[[#This Row],[Tuition_USD]]/International_Education_Costs[[#This Row],[Total_Cost]]</f>
        <v>0.52480524805248052</v>
      </c>
    </row>
    <row r="124" spans="1:17" x14ac:dyDescent="0.25">
      <c r="A124" t="s">
        <v>12</v>
      </c>
      <c r="B124" t="s">
        <v>331</v>
      </c>
      <c r="C124" t="s">
        <v>332</v>
      </c>
      <c r="D124" t="s">
        <v>15</v>
      </c>
      <c r="E124" t="s">
        <v>122</v>
      </c>
      <c r="F124">
        <v>5</v>
      </c>
      <c r="G124" s="1">
        <v>45800</v>
      </c>
      <c r="H124">
        <v>68.5</v>
      </c>
      <c r="I124" s="1">
        <v>1400</v>
      </c>
      <c r="J124" s="1">
        <v>160</v>
      </c>
      <c r="K124" s="1">
        <v>1500</v>
      </c>
      <c r="L124">
        <v>1</v>
      </c>
      <c r="M1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137460</v>
      </c>
      <c r="N124" s="1">
        <f>International_Education_Costs[[#This Row],[Total_Cost]]/International_Education_Costs[[#This Row],[Duration_Years]]</f>
        <v>27492</v>
      </c>
      <c r="O124" s="1">
        <f>International_Education_Costs[[#This Row],[Rent_USD]] * 12 * International_Education_Costs[[#This Row],[Duration_Years]]</f>
        <v>84000</v>
      </c>
      <c r="P124" s="1">
        <f>International_Education_Costs[[#This Row],[Total_Cost]]-International_Education_Costs[[#This Row],[Tuition_USD]]</f>
        <v>91660</v>
      </c>
      <c r="Q124" s="2">
        <f>International_Education_Costs[[#This Row],[Tuition_USD]]/International_Education_Costs[[#This Row],[Total_Cost]]</f>
        <v>0.33318783646151606</v>
      </c>
    </row>
    <row r="125" spans="1:17" x14ac:dyDescent="0.25">
      <c r="A125" t="s">
        <v>21</v>
      </c>
      <c r="B125" t="s">
        <v>333</v>
      </c>
      <c r="C125" t="s">
        <v>334</v>
      </c>
      <c r="D125" t="s">
        <v>208</v>
      </c>
      <c r="E125" t="s">
        <v>75</v>
      </c>
      <c r="F125">
        <v>4</v>
      </c>
      <c r="G125" s="1">
        <v>26500</v>
      </c>
      <c r="H125">
        <v>69.2</v>
      </c>
      <c r="I125" s="1">
        <v>1300</v>
      </c>
      <c r="J125" s="1">
        <v>235</v>
      </c>
      <c r="K125" s="1">
        <v>900</v>
      </c>
      <c r="L125">
        <v>1.35</v>
      </c>
      <c r="M1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92735</v>
      </c>
      <c r="N125" s="1">
        <f>International_Education_Costs[[#This Row],[Total_Cost]]/International_Education_Costs[[#This Row],[Duration_Years]]</f>
        <v>23183.75</v>
      </c>
      <c r="O125" s="1">
        <f>International_Education_Costs[[#This Row],[Rent_USD]] * 12 * International_Education_Costs[[#This Row],[Duration_Years]]</f>
        <v>62400</v>
      </c>
      <c r="P125" s="1">
        <f>International_Education_Costs[[#This Row],[Total_Cost]]-International_Education_Costs[[#This Row],[Tuition_USD]]</f>
        <v>66235</v>
      </c>
      <c r="Q125" s="2">
        <f>International_Education_Costs[[#This Row],[Tuition_USD]]/International_Education_Costs[[#This Row],[Total_Cost]]</f>
        <v>0.28576050035046097</v>
      </c>
    </row>
    <row r="126" spans="1:17" x14ac:dyDescent="0.25">
      <c r="A126" t="s">
        <v>335</v>
      </c>
      <c r="B126" t="s">
        <v>336</v>
      </c>
      <c r="C126" t="s">
        <v>337</v>
      </c>
      <c r="D126" t="s">
        <v>15</v>
      </c>
      <c r="E126" t="s">
        <v>16</v>
      </c>
      <c r="F126">
        <v>2</v>
      </c>
      <c r="G126" s="1">
        <v>0</v>
      </c>
      <c r="H126">
        <v>48.5</v>
      </c>
      <c r="I126" s="1">
        <v>600</v>
      </c>
      <c r="J126" s="1">
        <v>160</v>
      </c>
      <c r="K126" s="1">
        <v>400</v>
      </c>
      <c r="L126">
        <v>4.95</v>
      </c>
      <c r="M1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15360</v>
      </c>
      <c r="N126" s="1">
        <f>International_Education_Costs[[#This Row],[Total_Cost]]/International_Education_Costs[[#This Row],[Duration_Years]]</f>
        <v>7680</v>
      </c>
      <c r="O126" s="1">
        <f>International_Education_Costs[[#This Row],[Rent_USD]] * 12 * International_Education_Costs[[#This Row],[Duration_Years]]</f>
        <v>14400</v>
      </c>
      <c r="P126" s="1">
        <f>International_Education_Costs[[#This Row],[Total_Cost]]-International_Education_Costs[[#This Row],[Tuition_USD]]</f>
        <v>15360</v>
      </c>
      <c r="Q126" s="2">
        <f>International_Education_Costs[[#This Row],[Tuition_USD]]/International_Education_Costs[[#This Row],[Total_Cost]]</f>
        <v>0</v>
      </c>
    </row>
    <row r="127" spans="1:17" x14ac:dyDescent="0.25">
      <c r="A127" t="s">
        <v>338</v>
      </c>
      <c r="B127" t="s">
        <v>339</v>
      </c>
      <c r="C127" t="s">
        <v>340</v>
      </c>
      <c r="D127" t="s">
        <v>63</v>
      </c>
      <c r="E127" t="s">
        <v>75</v>
      </c>
      <c r="F127">
        <v>4</v>
      </c>
      <c r="G127" s="1">
        <v>1800</v>
      </c>
      <c r="H127">
        <v>42.8</v>
      </c>
      <c r="I127" s="1">
        <v>450</v>
      </c>
      <c r="J127" s="1">
        <v>100</v>
      </c>
      <c r="K127" s="1">
        <v>300</v>
      </c>
      <c r="L127">
        <v>30.5</v>
      </c>
      <c r="M1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24700</v>
      </c>
      <c r="N127" s="1">
        <f>International_Education_Costs[[#This Row],[Total_Cost]]/International_Education_Costs[[#This Row],[Duration_Years]]</f>
        <v>6175</v>
      </c>
      <c r="O127" s="1">
        <f>International_Education_Costs[[#This Row],[Rent_USD]] * 12 * International_Education_Costs[[#This Row],[Duration_Years]]</f>
        <v>21600</v>
      </c>
      <c r="P127" s="1">
        <f>International_Education_Costs[[#This Row],[Total_Cost]]-International_Education_Costs[[#This Row],[Tuition_USD]]</f>
        <v>22900</v>
      </c>
      <c r="Q127" s="2">
        <f>International_Education_Costs[[#This Row],[Tuition_USD]]/International_Education_Costs[[#This Row],[Total_Cost]]</f>
        <v>7.28744939271255E-2</v>
      </c>
    </row>
    <row r="128" spans="1:17" x14ac:dyDescent="0.25">
      <c r="A128" t="s">
        <v>341</v>
      </c>
      <c r="B128" t="s">
        <v>342</v>
      </c>
      <c r="C128" t="s">
        <v>343</v>
      </c>
      <c r="D128" t="s">
        <v>344</v>
      </c>
      <c r="E128" t="s">
        <v>16</v>
      </c>
      <c r="F128">
        <v>2</v>
      </c>
      <c r="G128" s="1">
        <v>3900</v>
      </c>
      <c r="H128">
        <v>51.2</v>
      </c>
      <c r="I128" s="1">
        <v>700</v>
      </c>
      <c r="J128" s="1">
        <v>120</v>
      </c>
      <c r="K128" s="1">
        <v>350</v>
      </c>
      <c r="L128">
        <v>92.8</v>
      </c>
      <c r="M1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21520</v>
      </c>
      <c r="N128" s="1">
        <f>International_Education_Costs[[#This Row],[Total_Cost]]/International_Education_Costs[[#This Row],[Duration_Years]]</f>
        <v>10760</v>
      </c>
      <c r="O128" s="1">
        <f>International_Education_Costs[[#This Row],[Rent_USD]] * 12 * International_Education_Costs[[#This Row],[Duration_Years]]</f>
        <v>16800</v>
      </c>
      <c r="P128" s="1">
        <f>International_Education_Costs[[#This Row],[Total_Cost]]-International_Education_Costs[[#This Row],[Tuition_USD]]</f>
        <v>17620</v>
      </c>
      <c r="Q128" s="2">
        <f>International_Education_Costs[[#This Row],[Tuition_USD]]/International_Education_Costs[[#This Row],[Total_Cost]]</f>
        <v>0.18122676579925651</v>
      </c>
    </row>
    <row r="129" spans="1:17" x14ac:dyDescent="0.25">
      <c r="A129" t="s">
        <v>345</v>
      </c>
      <c r="B129" t="s">
        <v>346</v>
      </c>
      <c r="C129" t="s">
        <v>347</v>
      </c>
      <c r="D129" t="s">
        <v>63</v>
      </c>
      <c r="E129" t="s">
        <v>75</v>
      </c>
      <c r="F129">
        <v>4</v>
      </c>
      <c r="G129" s="1">
        <v>800</v>
      </c>
      <c r="H129">
        <v>44.6</v>
      </c>
      <c r="I129" s="1">
        <v>500</v>
      </c>
      <c r="J129" s="1">
        <v>160</v>
      </c>
      <c r="K129" s="1">
        <v>400</v>
      </c>
      <c r="L129">
        <v>17.2</v>
      </c>
      <c r="M1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26560</v>
      </c>
      <c r="N129" s="1">
        <f>International_Education_Costs[[#This Row],[Total_Cost]]/International_Education_Costs[[#This Row],[Duration_Years]]</f>
        <v>6640</v>
      </c>
      <c r="O129" s="1">
        <f>International_Education_Costs[[#This Row],[Rent_USD]] * 12 * International_Education_Costs[[#This Row],[Duration_Years]]</f>
        <v>24000</v>
      </c>
      <c r="P129" s="1">
        <f>International_Education_Costs[[#This Row],[Total_Cost]]-International_Education_Costs[[#This Row],[Tuition_USD]]</f>
        <v>25760</v>
      </c>
      <c r="Q129" s="2">
        <f>International_Education_Costs[[#This Row],[Tuition_USD]]/International_Education_Costs[[#This Row],[Total_Cost]]</f>
        <v>3.0120481927710843E-2</v>
      </c>
    </row>
    <row r="130" spans="1:17" x14ac:dyDescent="0.25">
      <c r="A130" t="s">
        <v>348</v>
      </c>
      <c r="B130" t="s">
        <v>349</v>
      </c>
      <c r="C130" t="s">
        <v>350</v>
      </c>
      <c r="D130" t="s">
        <v>208</v>
      </c>
      <c r="E130" t="s">
        <v>16</v>
      </c>
      <c r="F130">
        <v>2</v>
      </c>
      <c r="G130" s="1">
        <v>2500</v>
      </c>
      <c r="H130">
        <v>54.8</v>
      </c>
      <c r="I130" s="1">
        <v>550</v>
      </c>
      <c r="J130" s="1">
        <v>120</v>
      </c>
      <c r="K130" s="1">
        <v>400</v>
      </c>
      <c r="L130">
        <v>0.92</v>
      </c>
      <c r="M1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16620</v>
      </c>
      <c r="N130" s="1">
        <f>International_Education_Costs[[#This Row],[Total_Cost]]/International_Education_Costs[[#This Row],[Duration_Years]]</f>
        <v>8310</v>
      </c>
      <c r="O130" s="1">
        <f>International_Education_Costs[[#This Row],[Rent_USD]] * 12 * International_Education_Costs[[#This Row],[Duration_Years]]</f>
        <v>13200</v>
      </c>
      <c r="P130" s="1">
        <f>International_Education_Costs[[#This Row],[Total_Cost]]-International_Education_Costs[[#This Row],[Tuition_USD]]</f>
        <v>14120</v>
      </c>
      <c r="Q130" s="2">
        <f>International_Education_Costs[[#This Row],[Tuition_USD]]/International_Education_Costs[[#This Row],[Total_Cost]]</f>
        <v>0.15042117930204574</v>
      </c>
    </row>
    <row r="131" spans="1:17" x14ac:dyDescent="0.25">
      <c r="A131" t="s">
        <v>351</v>
      </c>
      <c r="B131" t="s">
        <v>352</v>
      </c>
      <c r="C131" t="s">
        <v>353</v>
      </c>
      <c r="D131" t="s">
        <v>15</v>
      </c>
      <c r="E131" t="s">
        <v>75</v>
      </c>
      <c r="F131">
        <v>4</v>
      </c>
      <c r="G131" s="1">
        <v>3800</v>
      </c>
      <c r="H131">
        <v>46.5</v>
      </c>
      <c r="I131" s="1">
        <v>450</v>
      </c>
      <c r="J131" s="1">
        <v>140</v>
      </c>
      <c r="K131" s="1">
        <v>300</v>
      </c>
      <c r="L131">
        <v>35.200000000000003</v>
      </c>
      <c r="M1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26740</v>
      </c>
      <c r="N131" s="1">
        <f>International_Education_Costs[[#This Row],[Total_Cost]]/International_Education_Costs[[#This Row],[Duration_Years]]</f>
        <v>6685</v>
      </c>
      <c r="O131" s="1">
        <f>International_Education_Costs[[#This Row],[Rent_USD]] * 12 * International_Education_Costs[[#This Row],[Duration_Years]]</f>
        <v>21600</v>
      </c>
      <c r="P131" s="1">
        <f>International_Education_Costs[[#This Row],[Total_Cost]]-International_Education_Costs[[#This Row],[Tuition_USD]]</f>
        <v>22940</v>
      </c>
      <c r="Q131" s="2">
        <f>International_Education_Costs[[#This Row],[Tuition_USD]]/International_Education_Costs[[#This Row],[Total_Cost]]</f>
        <v>0.14210919970082272</v>
      </c>
    </row>
    <row r="132" spans="1:17" x14ac:dyDescent="0.25">
      <c r="A132" t="s">
        <v>354</v>
      </c>
      <c r="B132" t="s">
        <v>355</v>
      </c>
      <c r="C132" t="s">
        <v>356</v>
      </c>
      <c r="D132" t="s">
        <v>15</v>
      </c>
      <c r="E132" t="s">
        <v>75</v>
      </c>
      <c r="F132">
        <v>4</v>
      </c>
      <c r="G132" s="1">
        <v>29500</v>
      </c>
      <c r="H132">
        <v>72.400000000000006</v>
      </c>
      <c r="I132" s="1">
        <v>1200</v>
      </c>
      <c r="J132" s="1">
        <v>270</v>
      </c>
      <c r="K132" s="1">
        <v>800</v>
      </c>
      <c r="L132">
        <v>3.67</v>
      </c>
      <c r="M1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90570</v>
      </c>
      <c r="N132" s="1">
        <f>International_Education_Costs[[#This Row],[Total_Cost]]/International_Education_Costs[[#This Row],[Duration_Years]]</f>
        <v>22642.5</v>
      </c>
      <c r="O132" s="1">
        <f>International_Education_Costs[[#This Row],[Rent_USD]] * 12 * International_Education_Costs[[#This Row],[Duration_Years]]</f>
        <v>57600</v>
      </c>
      <c r="P132" s="1">
        <f>International_Education_Costs[[#This Row],[Total_Cost]]-International_Education_Costs[[#This Row],[Tuition_USD]]</f>
        <v>61070</v>
      </c>
      <c r="Q132" s="2">
        <f>International_Education_Costs[[#This Row],[Tuition_USD]]/International_Education_Costs[[#This Row],[Total_Cost]]</f>
        <v>0.32571491663906371</v>
      </c>
    </row>
    <row r="133" spans="1:17" x14ac:dyDescent="0.25">
      <c r="A133" t="s">
        <v>12</v>
      </c>
      <c r="B133" t="s">
        <v>357</v>
      </c>
      <c r="C133" t="s">
        <v>358</v>
      </c>
      <c r="D133" t="s">
        <v>20</v>
      </c>
      <c r="E133" t="s">
        <v>16</v>
      </c>
      <c r="F133">
        <v>2</v>
      </c>
      <c r="G133" s="1">
        <v>52800</v>
      </c>
      <c r="H133">
        <v>100</v>
      </c>
      <c r="I133" s="1">
        <v>2500</v>
      </c>
      <c r="J133" s="1">
        <v>160</v>
      </c>
      <c r="K133" s="1">
        <v>1500</v>
      </c>
      <c r="L133">
        <v>1</v>
      </c>
      <c r="M1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115960</v>
      </c>
      <c r="N133" s="1">
        <f>International_Education_Costs[[#This Row],[Total_Cost]]/International_Education_Costs[[#This Row],[Duration_Years]]</f>
        <v>57980</v>
      </c>
      <c r="O133" s="1">
        <f>International_Education_Costs[[#This Row],[Rent_USD]] * 12 * International_Education_Costs[[#This Row],[Duration_Years]]</f>
        <v>60000</v>
      </c>
      <c r="P133" s="1">
        <f>International_Education_Costs[[#This Row],[Total_Cost]]-International_Education_Costs[[#This Row],[Tuition_USD]]</f>
        <v>63160</v>
      </c>
      <c r="Q133" s="2">
        <f>International_Education_Costs[[#This Row],[Tuition_USD]]/International_Education_Costs[[#This Row],[Total_Cost]]</f>
        <v>0.45532942393928943</v>
      </c>
    </row>
    <row r="134" spans="1:17" x14ac:dyDescent="0.25">
      <c r="A134" t="s">
        <v>12</v>
      </c>
      <c r="B134" t="s">
        <v>359</v>
      </c>
      <c r="C134" t="s">
        <v>360</v>
      </c>
      <c r="D134" t="s">
        <v>15</v>
      </c>
      <c r="E134" t="s">
        <v>122</v>
      </c>
      <c r="F134">
        <v>5</v>
      </c>
      <c r="G134" s="1">
        <v>49800</v>
      </c>
      <c r="H134">
        <v>70.5</v>
      </c>
      <c r="I134" s="1">
        <v>1600</v>
      </c>
      <c r="J134" s="1">
        <v>160</v>
      </c>
      <c r="K134" s="1">
        <v>1500</v>
      </c>
      <c r="L134">
        <v>1</v>
      </c>
      <c r="M1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153460</v>
      </c>
      <c r="N134" s="1">
        <f>International_Education_Costs[[#This Row],[Total_Cost]]/International_Education_Costs[[#This Row],[Duration_Years]]</f>
        <v>30692</v>
      </c>
      <c r="O134" s="1">
        <f>International_Education_Costs[[#This Row],[Rent_USD]] * 12 * International_Education_Costs[[#This Row],[Duration_Years]]</f>
        <v>96000</v>
      </c>
      <c r="P134" s="1">
        <f>International_Education_Costs[[#This Row],[Total_Cost]]-International_Education_Costs[[#This Row],[Tuition_USD]]</f>
        <v>103660</v>
      </c>
      <c r="Q134" s="2">
        <f>International_Education_Costs[[#This Row],[Tuition_USD]]/International_Education_Costs[[#This Row],[Total_Cost]]</f>
        <v>0.32451453147399972</v>
      </c>
    </row>
    <row r="135" spans="1:17" x14ac:dyDescent="0.25">
      <c r="A135" t="s">
        <v>60</v>
      </c>
      <c r="B135" t="s">
        <v>361</v>
      </c>
      <c r="C135" t="s">
        <v>362</v>
      </c>
      <c r="D135" t="s">
        <v>40</v>
      </c>
      <c r="E135" t="s">
        <v>16</v>
      </c>
      <c r="F135">
        <v>2</v>
      </c>
      <c r="G135" s="1">
        <v>8200</v>
      </c>
      <c r="H135">
        <v>58.4</v>
      </c>
      <c r="I135" s="1">
        <v>800</v>
      </c>
      <c r="J135" s="1">
        <v>140</v>
      </c>
      <c r="K135" s="1">
        <v>400</v>
      </c>
      <c r="L135">
        <v>7.18</v>
      </c>
      <c r="M1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28340</v>
      </c>
      <c r="N135" s="1">
        <f>International_Education_Costs[[#This Row],[Total_Cost]]/International_Education_Costs[[#This Row],[Duration_Years]]</f>
        <v>14170</v>
      </c>
      <c r="O135" s="1">
        <f>International_Education_Costs[[#This Row],[Rent_USD]] * 12 * International_Education_Costs[[#This Row],[Duration_Years]]</f>
        <v>19200</v>
      </c>
      <c r="P135" s="1">
        <f>International_Education_Costs[[#This Row],[Total_Cost]]-International_Education_Costs[[#This Row],[Tuition_USD]]</f>
        <v>20140</v>
      </c>
      <c r="Q135" s="2">
        <f>International_Education_Costs[[#This Row],[Tuition_USD]]/International_Education_Costs[[#This Row],[Total_Cost]]</f>
        <v>0.2893436838390967</v>
      </c>
    </row>
    <row r="136" spans="1:17" x14ac:dyDescent="0.25">
      <c r="A136" t="s">
        <v>363</v>
      </c>
      <c r="B136" t="s">
        <v>364</v>
      </c>
      <c r="C136" t="s">
        <v>365</v>
      </c>
      <c r="D136" t="s">
        <v>15</v>
      </c>
      <c r="E136" t="s">
        <v>75</v>
      </c>
      <c r="F136">
        <v>3</v>
      </c>
      <c r="G136" s="1">
        <v>5900</v>
      </c>
      <c r="H136">
        <v>49.2</v>
      </c>
      <c r="I136" s="1">
        <v>600</v>
      </c>
      <c r="J136" s="1">
        <v>140</v>
      </c>
      <c r="K136" s="1">
        <v>400</v>
      </c>
      <c r="L136">
        <v>18.72</v>
      </c>
      <c r="M1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28840</v>
      </c>
      <c r="N136" s="1">
        <f>International_Education_Costs[[#This Row],[Total_Cost]]/International_Education_Costs[[#This Row],[Duration_Years]]</f>
        <v>9613.3333333333339</v>
      </c>
      <c r="O136" s="1">
        <f>International_Education_Costs[[#This Row],[Rent_USD]] * 12 * International_Education_Costs[[#This Row],[Duration_Years]]</f>
        <v>21600</v>
      </c>
      <c r="P136" s="1">
        <f>International_Education_Costs[[#This Row],[Total_Cost]]-International_Education_Costs[[#This Row],[Tuition_USD]]</f>
        <v>22940</v>
      </c>
      <c r="Q136" s="2">
        <f>International_Education_Costs[[#This Row],[Tuition_USD]]/International_Education_Costs[[#This Row],[Total_Cost]]</f>
        <v>0.20457697642163661</v>
      </c>
    </row>
    <row r="137" spans="1:17" x14ac:dyDescent="0.25">
      <c r="A137" t="s">
        <v>366</v>
      </c>
      <c r="B137" t="s">
        <v>367</v>
      </c>
      <c r="C137" t="s">
        <v>368</v>
      </c>
      <c r="D137" t="s">
        <v>63</v>
      </c>
      <c r="E137" t="s">
        <v>75</v>
      </c>
      <c r="F137">
        <v>4</v>
      </c>
      <c r="G137" s="1">
        <v>19800</v>
      </c>
      <c r="H137">
        <v>38.4</v>
      </c>
      <c r="I137" s="1">
        <v>450</v>
      </c>
      <c r="J137" s="1">
        <v>130</v>
      </c>
      <c r="K137" s="1">
        <v>350</v>
      </c>
      <c r="L137">
        <v>30.9</v>
      </c>
      <c r="M1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42930</v>
      </c>
      <c r="N137" s="1">
        <f>International_Education_Costs[[#This Row],[Total_Cost]]/International_Education_Costs[[#This Row],[Duration_Years]]</f>
        <v>10732.5</v>
      </c>
      <c r="O137" s="1">
        <f>International_Education_Costs[[#This Row],[Rent_USD]] * 12 * International_Education_Costs[[#This Row],[Duration_Years]]</f>
        <v>21600</v>
      </c>
      <c r="P137" s="1">
        <f>International_Education_Costs[[#This Row],[Total_Cost]]-International_Education_Costs[[#This Row],[Tuition_USD]]</f>
        <v>23130</v>
      </c>
      <c r="Q137" s="2">
        <f>International_Education_Costs[[#This Row],[Tuition_USD]]/International_Education_Costs[[#This Row],[Total_Cost]]</f>
        <v>0.46121593291404611</v>
      </c>
    </row>
    <row r="138" spans="1:17" x14ac:dyDescent="0.25">
      <c r="A138" t="s">
        <v>369</v>
      </c>
      <c r="B138" t="s">
        <v>370</v>
      </c>
      <c r="C138" t="s">
        <v>371</v>
      </c>
      <c r="D138" t="s">
        <v>208</v>
      </c>
      <c r="E138" t="s">
        <v>75</v>
      </c>
      <c r="F138">
        <v>5</v>
      </c>
      <c r="G138" s="1">
        <v>0</v>
      </c>
      <c r="H138">
        <v>42.6</v>
      </c>
      <c r="I138" s="1">
        <v>400</v>
      </c>
      <c r="J138" s="1">
        <v>150</v>
      </c>
      <c r="K138" s="1">
        <v>300</v>
      </c>
      <c r="L138">
        <v>821.5</v>
      </c>
      <c r="M1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25650</v>
      </c>
      <c r="N138" s="1">
        <f>International_Education_Costs[[#This Row],[Total_Cost]]/International_Education_Costs[[#This Row],[Duration_Years]]</f>
        <v>5130</v>
      </c>
      <c r="O138" s="1">
        <f>International_Education_Costs[[#This Row],[Rent_USD]] * 12 * International_Education_Costs[[#This Row],[Duration_Years]]</f>
        <v>24000</v>
      </c>
      <c r="P138" s="1">
        <f>International_Education_Costs[[#This Row],[Total_Cost]]-International_Education_Costs[[#This Row],[Tuition_USD]]</f>
        <v>25650</v>
      </c>
      <c r="Q138" s="2">
        <f>International_Education_Costs[[#This Row],[Tuition_USD]]/International_Education_Costs[[#This Row],[Total_Cost]]</f>
        <v>0</v>
      </c>
    </row>
    <row r="139" spans="1:17" x14ac:dyDescent="0.25">
      <c r="A139" t="s">
        <v>372</v>
      </c>
      <c r="B139" t="s">
        <v>373</v>
      </c>
      <c r="C139" t="s">
        <v>374</v>
      </c>
      <c r="D139" t="s">
        <v>216</v>
      </c>
      <c r="E139" t="s">
        <v>75</v>
      </c>
      <c r="F139">
        <v>4</v>
      </c>
      <c r="G139" s="1">
        <v>4200</v>
      </c>
      <c r="H139">
        <v>45.8</v>
      </c>
      <c r="I139" s="1">
        <v>500</v>
      </c>
      <c r="J139" s="1">
        <v>130</v>
      </c>
      <c r="K139" s="1">
        <v>300</v>
      </c>
      <c r="L139">
        <v>15640</v>
      </c>
      <c r="M1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29530</v>
      </c>
      <c r="N139" s="1">
        <f>International_Education_Costs[[#This Row],[Total_Cost]]/International_Education_Costs[[#This Row],[Duration_Years]]</f>
        <v>7382.5</v>
      </c>
      <c r="O139" s="1">
        <f>International_Education_Costs[[#This Row],[Rent_USD]] * 12 * International_Education_Costs[[#This Row],[Duration_Years]]</f>
        <v>24000</v>
      </c>
      <c r="P139" s="1">
        <f>International_Education_Costs[[#This Row],[Total_Cost]]-International_Education_Costs[[#This Row],[Tuition_USD]]</f>
        <v>25330</v>
      </c>
      <c r="Q139" s="2">
        <f>International_Education_Costs[[#This Row],[Tuition_USD]]/International_Education_Costs[[#This Row],[Total_Cost]]</f>
        <v>0.14222824246528953</v>
      </c>
    </row>
    <row r="140" spans="1:17" x14ac:dyDescent="0.25">
      <c r="A140" t="s">
        <v>375</v>
      </c>
      <c r="B140" t="s">
        <v>376</v>
      </c>
      <c r="C140" t="s">
        <v>377</v>
      </c>
      <c r="D140" t="s">
        <v>15</v>
      </c>
      <c r="E140" t="s">
        <v>16</v>
      </c>
      <c r="F140">
        <v>2</v>
      </c>
      <c r="G140" s="1">
        <v>7800</v>
      </c>
      <c r="H140">
        <v>52.4</v>
      </c>
      <c r="I140" s="1">
        <v>800</v>
      </c>
      <c r="J140" s="1">
        <v>250</v>
      </c>
      <c r="K140" s="1">
        <v>600</v>
      </c>
      <c r="L140">
        <v>3.75</v>
      </c>
      <c r="M1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28450</v>
      </c>
      <c r="N140" s="1">
        <f>International_Education_Costs[[#This Row],[Total_Cost]]/International_Education_Costs[[#This Row],[Duration_Years]]</f>
        <v>14225</v>
      </c>
      <c r="O140" s="1">
        <f>International_Education_Costs[[#This Row],[Rent_USD]] * 12 * International_Education_Costs[[#This Row],[Duration_Years]]</f>
        <v>19200</v>
      </c>
      <c r="P140" s="1">
        <f>International_Education_Costs[[#This Row],[Total_Cost]]-International_Education_Costs[[#This Row],[Tuition_USD]]</f>
        <v>20650</v>
      </c>
      <c r="Q140" s="2">
        <f>International_Education_Costs[[#This Row],[Tuition_USD]]/International_Education_Costs[[#This Row],[Total_Cost]]</f>
        <v>0.27416520210896311</v>
      </c>
    </row>
    <row r="141" spans="1:17" x14ac:dyDescent="0.25">
      <c r="A141" t="s">
        <v>378</v>
      </c>
      <c r="B141" t="s">
        <v>379</v>
      </c>
      <c r="C141" t="s">
        <v>380</v>
      </c>
      <c r="D141" t="s">
        <v>63</v>
      </c>
      <c r="E141" t="s">
        <v>75</v>
      </c>
      <c r="F141">
        <v>4</v>
      </c>
      <c r="G141" s="1">
        <v>2500</v>
      </c>
      <c r="H141">
        <v>40.200000000000003</v>
      </c>
      <c r="I141" s="1">
        <v>400</v>
      </c>
      <c r="J141" s="1">
        <v>180</v>
      </c>
      <c r="K141" s="1">
        <v>300</v>
      </c>
      <c r="L141">
        <v>860.2</v>
      </c>
      <c r="M1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23080</v>
      </c>
      <c r="N141" s="1">
        <f>International_Education_Costs[[#This Row],[Total_Cost]]/International_Education_Costs[[#This Row],[Duration_Years]]</f>
        <v>5770</v>
      </c>
      <c r="O141" s="1">
        <f>International_Education_Costs[[#This Row],[Rent_USD]] * 12 * International_Education_Costs[[#This Row],[Duration_Years]]</f>
        <v>19200</v>
      </c>
      <c r="P141" s="1">
        <f>International_Education_Costs[[#This Row],[Total_Cost]]-International_Education_Costs[[#This Row],[Tuition_USD]]</f>
        <v>20580</v>
      </c>
      <c r="Q141" s="2">
        <f>International_Education_Costs[[#This Row],[Tuition_USD]]/International_Education_Costs[[#This Row],[Total_Cost]]</f>
        <v>0.10831889081455806</v>
      </c>
    </row>
    <row r="142" spans="1:17" x14ac:dyDescent="0.25">
      <c r="A142" t="s">
        <v>381</v>
      </c>
      <c r="B142" t="s">
        <v>382</v>
      </c>
      <c r="C142" t="s">
        <v>383</v>
      </c>
      <c r="D142" t="s">
        <v>208</v>
      </c>
      <c r="E142" t="s">
        <v>75</v>
      </c>
      <c r="F142">
        <v>4</v>
      </c>
      <c r="G142" s="1">
        <v>3200</v>
      </c>
      <c r="H142">
        <v>43.6</v>
      </c>
      <c r="I142" s="1">
        <v>450</v>
      </c>
      <c r="J142" s="1">
        <v>120</v>
      </c>
      <c r="K142" s="1">
        <v>250</v>
      </c>
      <c r="L142">
        <v>24450</v>
      </c>
      <c r="M1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25920</v>
      </c>
      <c r="N142" s="1">
        <f>International_Education_Costs[[#This Row],[Total_Cost]]/International_Education_Costs[[#This Row],[Duration_Years]]</f>
        <v>6480</v>
      </c>
      <c r="O142" s="1">
        <f>International_Education_Costs[[#This Row],[Rent_USD]] * 12 * International_Education_Costs[[#This Row],[Duration_Years]]</f>
        <v>21600</v>
      </c>
      <c r="P142" s="1">
        <f>International_Education_Costs[[#This Row],[Total_Cost]]-International_Education_Costs[[#This Row],[Tuition_USD]]</f>
        <v>22720</v>
      </c>
      <c r="Q142" s="2">
        <f>International_Education_Costs[[#This Row],[Tuition_USD]]/International_Education_Costs[[#This Row],[Total_Cost]]</f>
        <v>0.12345679012345678</v>
      </c>
    </row>
    <row r="143" spans="1:17" x14ac:dyDescent="0.25">
      <c r="A143" t="s">
        <v>37</v>
      </c>
      <c r="B143" t="s">
        <v>384</v>
      </c>
      <c r="C143" t="s">
        <v>385</v>
      </c>
      <c r="D143" t="s">
        <v>15</v>
      </c>
      <c r="E143" t="s">
        <v>16</v>
      </c>
      <c r="F143">
        <v>2</v>
      </c>
      <c r="G143" s="1">
        <v>15600</v>
      </c>
      <c r="H143">
        <v>69.8</v>
      </c>
      <c r="I143" s="1">
        <v>950</v>
      </c>
      <c r="J143" s="1">
        <v>180</v>
      </c>
      <c r="K143" s="1">
        <v>720</v>
      </c>
      <c r="L143">
        <v>0.92</v>
      </c>
      <c r="M1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40020</v>
      </c>
      <c r="N143" s="1">
        <f>International_Education_Costs[[#This Row],[Total_Cost]]/International_Education_Costs[[#This Row],[Duration_Years]]</f>
        <v>20010</v>
      </c>
      <c r="O143" s="1">
        <f>International_Education_Costs[[#This Row],[Rent_USD]] * 12 * International_Education_Costs[[#This Row],[Duration_Years]]</f>
        <v>22800</v>
      </c>
      <c r="P143" s="1">
        <f>International_Education_Costs[[#This Row],[Total_Cost]]-International_Education_Costs[[#This Row],[Tuition_USD]]</f>
        <v>24420</v>
      </c>
      <c r="Q143" s="2">
        <f>International_Education_Costs[[#This Row],[Tuition_USD]]/International_Education_Costs[[#This Row],[Total_Cost]]</f>
        <v>0.38980509745127434</v>
      </c>
    </row>
    <row r="144" spans="1:17" x14ac:dyDescent="0.25">
      <c r="A144" t="s">
        <v>37</v>
      </c>
      <c r="B144" t="s">
        <v>386</v>
      </c>
      <c r="C144" t="s">
        <v>387</v>
      </c>
      <c r="D144" t="s">
        <v>40</v>
      </c>
      <c r="E144" t="s">
        <v>75</v>
      </c>
      <c r="F144">
        <v>3</v>
      </c>
      <c r="G144" s="1">
        <v>11200</v>
      </c>
      <c r="H144">
        <v>65.400000000000006</v>
      </c>
      <c r="I144" s="1">
        <v>750</v>
      </c>
      <c r="J144" s="1">
        <v>180</v>
      </c>
      <c r="K144" s="1">
        <v>720</v>
      </c>
      <c r="L144">
        <v>0.92</v>
      </c>
      <c r="M1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40540</v>
      </c>
      <c r="N144" s="1">
        <f>International_Education_Costs[[#This Row],[Total_Cost]]/International_Education_Costs[[#This Row],[Duration_Years]]</f>
        <v>13513.333333333334</v>
      </c>
      <c r="O144" s="1">
        <f>International_Education_Costs[[#This Row],[Rent_USD]] * 12 * International_Education_Costs[[#This Row],[Duration_Years]]</f>
        <v>27000</v>
      </c>
      <c r="P144" s="1">
        <f>International_Education_Costs[[#This Row],[Total_Cost]]-International_Education_Costs[[#This Row],[Tuition_USD]]</f>
        <v>29340</v>
      </c>
      <c r="Q144" s="2">
        <f>International_Education_Costs[[#This Row],[Tuition_USD]]/International_Education_Costs[[#This Row],[Total_Cost]]</f>
        <v>0.27627035027133695</v>
      </c>
    </row>
    <row r="145" spans="1:17" x14ac:dyDescent="0.25">
      <c r="A145" t="s">
        <v>37</v>
      </c>
      <c r="B145" t="s">
        <v>388</v>
      </c>
      <c r="C145" t="s">
        <v>389</v>
      </c>
      <c r="D145" t="s">
        <v>245</v>
      </c>
      <c r="E145" t="s">
        <v>16</v>
      </c>
      <c r="F145">
        <v>2</v>
      </c>
      <c r="G145" s="1">
        <v>14800</v>
      </c>
      <c r="H145">
        <v>66.8</v>
      </c>
      <c r="I145" s="1">
        <v>800</v>
      </c>
      <c r="J145" s="1">
        <v>180</v>
      </c>
      <c r="K145" s="1">
        <v>720</v>
      </c>
      <c r="L145">
        <v>0.92</v>
      </c>
      <c r="M1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35620</v>
      </c>
      <c r="N145" s="1">
        <f>International_Education_Costs[[#This Row],[Total_Cost]]/International_Education_Costs[[#This Row],[Duration_Years]]</f>
        <v>17810</v>
      </c>
      <c r="O145" s="1">
        <f>International_Education_Costs[[#This Row],[Rent_USD]] * 12 * International_Education_Costs[[#This Row],[Duration_Years]]</f>
        <v>19200</v>
      </c>
      <c r="P145" s="1">
        <f>International_Education_Costs[[#This Row],[Total_Cost]]-International_Education_Costs[[#This Row],[Tuition_USD]]</f>
        <v>20820</v>
      </c>
      <c r="Q145" s="2">
        <f>International_Education_Costs[[#This Row],[Tuition_USD]]/International_Education_Costs[[#This Row],[Total_Cost]]</f>
        <v>0.41549691184727683</v>
      </c>
    </row>
    <row r="146" spans="1:17" x14ac:dyDescent="0.25">
      <c r="A146" t="s">
        <v>37</v>
      </c>
      <c r="B146" t="s">
        <v>390</v>
      </c>
      <c r="C146" t="s">
        <v>391</v>
      </c>
      <c r="D146" t="s">
        <v>20</v>
      </c>
      <c r="E146" t="s">
        <v>75</v>
      </c>
      <c r="F146">
        <v>3</v>
      </c>
      <c r="G146" s="1">
        <v>11500</v>
      </c>
      <c r="H146">
        <v>67.2</v>
      </c>
      <c r="I146" s="1">
        <v>850</v>
      </c>
      <c r="J146" s="1">
        <v>180</v>
      </c>
      <c r="K146" s="1">
        <v>720</v>
      </c>
      <c r="L146">
        <v>0.92</v>
      </c>
      <c r="M1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44440</v>
      </c>
      <c r="N146" s="1">
        <f>International_Education_Costs[[#This Row],[Total_Cost]]/International_Education_Costs[[#This Row],[Duration_Years]]</f>
        <v>14813.333333333334</v>
      </c>
      <c r="O146" s="1">
        <f>International_Education_Costs[[#This Row],[Rent_USD]] * 12 * International_Education_Costs[[#This Row],[Duration_Years]]</f>
        <v>30600</v>
      </c>
      <c r="P146" s="1">
        <f>International_Education_Costs[[#This Row],[Total_Cost]]-International_Education_Costs[[#This Row],[Tuition_USD]]</f>
        <v>32940</v>
      </c>
      <c r="Q146" s="2">
        <f>International_Education_Costs[[#This Row],[Tuition_USD]]/International_Education_Costs[[#This Row],[Total_Cost]]</f>
        <v>0.25877587758775877</v>
      </c>
    </row>
    <row r="147" spans="1:17" x14ac:dyDescent="0.25">
      <c r="A147" t="s">
        <v>37</v>
      </c>
      <c r="B147" t="s">
        <v>392</v>
      </c>
      <c r="C147" t="s">
        <v>393</v>
      </c>
      <c r="D147" t="s">
        <v>394</v>
      </c>
      <c r="E147" t="s">
        <v>16</v>
      </c>
      <c r="F147">
        <v>2</v>
      </c>
      <c r="G147" s="1">
        <v>14500</v>
      </c>
      <c r="H147">
        <v>66.5</v>
      </c>
      <c r="I147" s="1">
        <v>800</v>
      </c>
      <c r="J147" s="1">
        <v>180</v>
      </c>
      <c r="K147" s="1">
        <v>720</v>
      </c>
      <c r="L147">
        <v>0.92</v>
      </c>
      <c r="M1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35320</v>
      </c>
      <c r="N147" s="1">
        <f>International_Education_Costs[[#This Row],[Total_Cost]]/International_Education_Costs[[#This Row],[Duration_Years]]</f>
        <v>17660</v>
      </c>
      <c r="O147" s="1">
        <f>International_Education_Costs[[#This Row],[Rent_USD]] * 12 * International_Education_Costs[[#This Row],[Duration_Years]]</f>
        <v>19200</v>
      </c>
      <c r="P147" s="1">
        <f>International_Education_Costs[[#This Row],[Total_Cost]]-International_Education_Costs[[#This Row],[Tuition_USD]]</f>
        <v>20820</v>
      </c>
      <c r="Q147" s="2">
        <f>International_Education_Costs[[#This Row],[Tuition_USD]]/International_Education_Costs[[#This Row],[Total_Cost]]</f>
        <v>0.41053227633069084</v>
      </c>
    </row>
    <row r="148" spans="1:17" x14ac:dyDescent="0.25">
      <c r="A148" t="s">
        <v>37</v>
      </c>
      <c r="B148" t="s">
        <v>395</v>
      </c>
      <c r="C148" t="s">
        <v>396</v>
      </c>
      <c r="D148" t="s">
        <v>216</v>
      </c>
      <c r="E148" t="s">
        <v>75</v>
      </c>
      <c r="F148">
        <v>3</v>
      </c>
      <c r="G148" s="1">
        <v>11300</v>
      </c>
      <c r="H148">
        <v>65.8</v>
      </c>
      <c r="I148" s="1">
        <v>750</v>
      </c>
      <c r="J148" s="1">
        <v>180</v>
      </c>
      <c r="K148" s="1">
        <v>720</v>
      </c>
      <c r="L148">
        <v>0.92</v>
      </c>
      <c r="M1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40640</v>
      </c>
      <c r="N148" s="1">
        <f>International_Education_Costs[[#This Row],[Total_Cost]]/International_Education_Costs[[#This Row],[Duration_Years]]</f>
        <v>13546.666666666666</v>
      </c>
      <c r="O148" s="1">
        <f>International_Education_Costs[[#This Row],[Rent_USD]] * 12 * International_Education_Costs[[#This Row],[Duration_Years]]</f>
        <v>27000</v>
      </c>
      <c r="P148" s="1">
        <f>International_Education_Costs[[#This Row],[Total_Cost]]-International_Education_Costs[[#This Row],[Tuition_USD]]</f>
        <v>29340</v>
      </c>
      <c r="Q148" s="2">
        <f>International_Education_Costs[[#This Row],[Tuition_USD]]/International_Education_Costs[[#This Row],[Total_Cost]]</f>
        <v>0.27805118110236221</v>
      </c>
    </row>
    <row r="149" spans="1:17" x14ac:dyDescent="0.25">
      <c r="A149" t="s">
        <v>37</v>
      </c>
      <c r="B149" t="s">
        <v>397</v>
      </c>
      <c r="C149" t="s">
        <v>398</v>
      </c>
      <c r="D149" t="s">
        <v>399</v>
      </c>
      <c r="E149" t="s">
        <v>16</v>
      </c>
      <c r="F149">
        <v>2</v>
      </c>
      <c r="G149" s="1">
        <v>15200</v>
      </c>
      <c r="H149">
        <v>70.2</v>
      </c>
      <c r="I149" s="1">
        <v>1000</v>
      </c>
      <c r="J149" s="1">
        <v>180</v>
      </c>
      <c r="K149" s="1">
        <v>720</v>
      </c>
      <c r="L149">
        <v>0.92</v>
      </c>
      <c r="M1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40820</v>
      </c>
      <c r="N149" s="1">
        <f>International_Education_Costs[[#This Row],[Total_Cost]]/International_Education_Costs[[#This Row],[Duration_Years]]</f>
        <v>20410</v>
      </c>
      <c r="O149" s="1">
        <f>International_Education_Costs[[#This Row],[Rent_USD]] * 12 * International_Education_Costs[[#This Row],[Duration_Years]]</f>
        <v>24000</v>
      </c>
      <c r="P149" s="1">
        <f>International_Education_Costs[[#This Row],[Total_Cost]]-International_Education_Costs[[#This Row],[Tuition_USD]]</f>
        <v>25620</v>
      </c>
      <c r="Q149" s="2">
        <f>International_Education_Costs[[#This Row],[Tuition_USD]]/International_Education_Costs[[#This Row],[Total_Cost]]</f>
        <v>0.37236648701616853</v>
      </c>
    </row>
    <row r="150" spans="1:17" x14ac:dyDescent="0.25">
      <c r="A150" t="s">
        <v>37</v>
      </c>
      <c r="B150" t="s">
        <v>400</v>
      </c>
      <c r="C150" t="s">
        <v>401</v>
      </c>
      <c r="D150" t="s">
        <v>63</v>
      </c>
      <c r="E150" t="s">
        <v>75</v>
      </c>
      <c r="F150">
        <v>3</v>
      </c>
      <c r="G150" s="1">
        <v>11400</v>
      </c>
      <c r="H150">
        <v>69.5</v>
      </c>
      <c r="I150" s="1">
        <v>950</v>
      </c>
      <c r="J150" s="1">
        <v>180</v>
      </c>
      <c r="K150" s="1">
        <v>720</v>
      </c>
      <c r="L150">
        <v>0.92</v>
      </c>
      <c r="M1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47940</v>
      </c>
      <c r="N150" s="1">
        <f>International_Education_Costs[[#This Row],[Total_Cost]]/International_Education_Costs[[#This Row],[Duration_Years]]</f>
        <v>15980</v>
      </c>
      <c r="O150" s="1">
        <f>International_Education_Costs[[#This Row],[Rent_USD]] * 12 * International_Education_Costs[[#This Row],[Duration_Years]]</f>
        <v>34200</v>
      </c>
      <c r="P150" s="1">
        <f>International_Education_Costs[[#This Row],[Total_Cost]]-International_Education_Costs[[#This Row],[Tuition_USD]]</f>
        <v>36540</v>
      </c>
      <c r="Q150" s="2">
        <f>International_Education_Costs[[#This Row],[Tuition_USD]]/International_Education_Costs[[#This Row],[Total_Cost]]</f>
        <v>0.23779724655819776</v>
      </c>
    </row>
    <row r="151" spans="1:17" x14ac:dyDescent="0.25">
      <c r="A151" t="s">
        <v>37</v>
      </c>
      <c r="B151" t="s">
        <v>402</v>
      </c>
      <c r="C151" t="s">
        <v>403</v>
      </c>
      <c r="D151" t="s">
        <v>59</v>
      </c>
      <c r="E151" t="s">
        <v>16</v>
      </c>
      <c r="F151">
        <v>2</v>
      </c>
      <c r="G151" s="1">
        <v>14900</v>
      </c>
      <c r="H151">
        <v>65.2</v>
      </c>
      <c r="I151" s="1">
        <v>750</v>
      </c>
      <c r="J151" s="1">
        <v>180</v>
      </c>
      <c r="K151" s="1">
        <v>720</v>
      </c>
      <c r="L151">
        <v>0.92</v>
      </c>
      <c r="M1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34520</v>
      </c>
      <c r="N151" s="1">
        <f>International_Education_Costs[[#This Row],[Total_Cost]]/International_Education_Costs[[#This Row],[Duration_Years]]</f>
        <v>17260</v>
      </c>
      <c r="O151" s="1">
        <f>International_Education_Costs[[#This Row],[Rent_USD]] * 12 * International_Education_Costs[[#This Row],[Duration_Years]]</f>
        <v>18000</v>
      </c>
      <c r="P151" s="1">
        <f>International_Education_Costs[[#This Row],[Total_Cost]]-International_Education_Costs[[#This Row],[Tuition_USD]]</f>
        <v>19620</v>
      </c>
      <c r="Q151" s="2">
        <f>International_Education_Costs[[#This Row],[Tuition_USD]]/International_Education_Costs[[#This Row],[Total_Cost]]</f>
        <v>0.43163383545770567</v>
      </c>
    </row>
    <row r="152" spans="1:17" x14ac:dyDescent="0.25">
      <c r="A152" t="s">
        <v>37</v>
      </c>
      <c r="B152" t="s">
        <v>38</v>
      </c>
      <c r="C152" t="s">
        <v>404</v>
      </c>
      <c r="D152" t="s">
        <v>24</v>
      </c>
      <c r="E152" t="s">
        <v>16</v>
      </c>
      <c r="F152">
        <v>2</v>
      </c>
      <c r="G152" s="1">
        <v>15400</v>
      </c>
      <c r="H152">
        <v>73.5</v>
      </c>
      <c r="I152" s="1">
        <v>1100</v>
      </c>
      <c r="J152" s="1">
        <v>180</v>
      </c>
      <c r="K152" s="1">
        <v>720</v>
      </c>
      <c r="L152">
        <v>0.92</v>
      </c>
      <c r="M1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43420</v>
      </c>
      <c r="N152" s="1">
        <f>International_Education_Costs[[#This Row],[Total_Cost]]/International_Education_Costs[[#This Row],[Duration_Years]]</f>
        <v>21710</v>
      </c>
      <c r="O152" s="1">
        <f>International_Education_Costs[[#This Row],[Rent_USD]] * 12 * International_Education_Costs[[#This Row],[Duration_Years]]</f>
        <v>26400</v>
      </c>
      <c r="P152" s="1">
        <f>International_Education_Costs[[#This Row],[Total_Cost]]-International_Education_Costs[[#This Row],[Tuition_USD]]</f>
        <v>28020</v>
      </c>
      <c r="Q152" s="2">
        <f>International_Education_Costs[[#This Row],[Tuition_USD]]/International_Education_Costs[[#This Row],[Total_Cost]]</f>
        <v>0.35467526485490558</v>
      </c>
    </row>
    <row r="153" spans="1:17" x14ac:dyDescent="0.25">
      <c r="A153" t="s">
        <v>41</v>
      </c>
      <c r="B153" t="s">
        <v>41</v>
      </c>
      <c r="C153" t="s">
        <v>405</v>
      </c>
      <c r="D153" t="s">
        <v>15</v>
      </c>
      <c r="E153" t="s">
        <v>75</v>
      </c>
      <c r="F153">
        <v>4</v>
      </c>
      <c r="G153" s="1">
        <v>32500</v>
      </c>
      <c r="H153">
        <v>81.099999999999994</v>
      </c>
      <c r="I153" s="1">
        <v>1500</v>
      </c>
      <c r="J153" s="1">
        <v>90</v>
      </c>
      <c r="K153" s="1">
        <v>800</v>
      </c>
      <c r="L153">
        <v>1.34</v>
      </c>
      <c r="M1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107790</v>
      </c>
      <c r="N153" s="1">
        <f>International_Education_Costs[[#This Row],[Total_Cost]]/International_Education_Costs[[#This Row],[Duration_Years]]</f>
        <v>26947.5</v>
      </c>
      <c r="O153" s="1">
        <f>International_Education_Costs[[#This Row],[Rent_USD]] * 12 * International_Education_Costs[[#This Row],[Duration_Years]]</f>
        <v>72000</v>
      </c>
      <c r="P153" s="1">
        <f>International_Education_Costs[[#This Row],[Total_Cost]]-International_Education_Costs[[#This Row],[Tuition_USD]]</f>
        <v>75290</v>
      </c>
      <c r="Q153" s="2">
        <f>International_Education_Costs[[#This Row],[Tuition_USD]]/International_Education_Costs[[#This Row],[Total_Cost]]</f>
        <v>0.30151219964746268</v>
      </c>
    </row>
    <row r="154" spans="1:17" x14ac:dyDescent="0.25">
      <c r="A154" t="s">
        <v>41</v>
      </c>
      <c r="B154" t="s">
        <v>41</v>
      </c>
      <c r="C154" t="s">
        <v>406</v>
      </c>
      <c r="D154" t="s">
        <v>216</v>
      </c>
      <c r="E154" t="s">
        <v>75</v>
      </c>
      <c r="F154">
        <v>4</v>
      </c>
      <c r="G154" s="1">
        <v>31800</v>
      </c>
      <c r="H154">
        <v>81.099999999999994</v>
      </c>
      <c r="I154" s="1">
        <v>1500</v>
      </c>
      <c r="J154" s="1">
        <v>90</v>
      </c>
      <c r="K154" s="1">
        <v>800</v>
      </c>
      <c r="L154">
        <v>1.34</v>
      </c>
      <c r="M1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107090</v>
      </c>
      <c r="N154" s="1">
        <f>International_Education_Costs[[#This Row],[Total_Cost]]/International_Education_Costs[[#This Row],[Duration_Years]]</f>
        <v>26772.5</v>
      </c>
      <c r="O154" s="1">
        <f>International_Education_Costs[[#This Row],[Rent_USD]] * 12 * International_Education_Costs[[#This Row],[Duration_Years]]</f>
        <v>72000</v>
      </c>
      <c r="P154" s="1">
        <f>International_Education_Costs[[#This Row],[Total_Cost]]-International_Education_Costs[[#This Row],[Tuition_USD]]</f>
        <v>75290</v>
      </c>
      <c r="Q154" s="2">
        <f>International_Education_Costs[[#This Row],[Tuition_USD]]/International_Education_Costs[[#This Row],[Total_Cost]]</f>
        <v>0.29694649360351105</v>
      </c>
    </row>
    <row r="155" spans="1:17" x14ac:dyDescent="0.25">
      <c r="A155" t="s">
        <v>41</v>
      </c>
      <c r="B155" t="s">
        <v>41</v>
      </c>
      <c r="C155" t="s">
        <v>407</v>
      </c>
      <c r="D155" t="s">
        <v>408</v>
      </c>
      <c r="E155" t="s">
        <v>75</v>
      </c>
      <c r="F155">
        <v>4</v>
      </c>
      <c r="G155" s="1">
        <v>31200</v>
      </c>
      <c r="H155">
        <v>81.099999999999994</v>
      </c>
      <c r="I155" s="1">
        <v>1500</v>
      </c>
      <c r="J155" s="1">
        <v>90</v>
      </c>
      <c r="K155" s="1">
        <v>800</v>
      </c>
      <c r="L155">
        <v>1.34</v>
      </c>
      <c r="M1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106490</v>
      </c>
      <c r="N155" s="1">
        <f>International_Education_Costs[[#This Row],[Total_Cost]]/International_Education_Costs[[#This Row],[Duration_Years]]</f>
        <v>26622.5</v>
      </c>
      <c r="O155" s="1">
        <f>International_Education_Costs[[#This Row],[Rent_USD]] * 12 * International_Education_Costs[[#This Row],[Duration_Years]]</f>
        <v>72000</v>
      </c>
      <c r="P155" s="1">
        <f>International_Education_Costs[[#This Row],[Total_Cost]]-International_Education_Costs[[#This Row],[Tuition_USD]]</f>
        <v>75290</v>
      </c>
      <c r="Q155" s="2">
        <f>International_Education_Costs[[#This Row],[Tuition_USD]]/International_Education_Costs[[#This Row],[Total_Cost]]</f>
        <v>0.29298525683162741</v>
      </c>
    </row>
    <row r="156" spans="1:17" x14ac:dyDescent="0.25">
      <c r="A156" t="s">
        <v>41</v>
      </c>
      <c r="B156" t="s">
        <v>41</v>
      </c>
      <c r="C156" t="s">
        <v>409</v>
      </c>
      <c r="D156" t="s">
        <v>208</v>
      </c>
      <c r="E156" t="s">
        <v>75</v>
      </c>
      <c r="F156">
        <v>4</v>
      </c>
      <c r="G156" s="1">
        <v>29800</v>
      </c>
      <c r="H156">
        <v>81.099999999999994</v>
      </c>
      <c r="I156" s="1">
        <v>1500</v>
      </c>
      <c r="J156" s="1">
        <v>90</v>
      </c>
      <c r="K156" s="1">
        <v>800</v>
      </c>
      <c r="L156">
        <v>1.34</v>
      </c>
      <c r="M1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105090</v>
      </c>
      <c r="N156" s="1">
        <f>International_Education_Costs[[#This Row],[Total_Cost]]/International_Education_Costs[[#This Row],[Duration_Years]]</f>
        <v>26272.5</v>
      </c>
      <c r="O156" s="1">
        <f>International_Education_Costs[[#This Row],[Rent_USD]] * 12 * International_Education_Costs[[#This Row],[Duration_Years]]</f>
        <v>72000</v>
      </c>
      <c r="P156" s="1">
        <f>International_Education_Costs[[#This Row],[Total_Cost]]-International_Education_Costs[[#This Row],[Tuition_USD]]</f>
        <v>75290</v>
      </c>
      <c r="Q156" s="2">
        <f>International_Education_Costs[[#This Row],[Tuition_USD]]/International_Education_Costs[[#This Row],[Total_Cost]]</f>
        <v>0.28356646683794845</v>
      </c>
    </row>
    <row r="157" spans="1:17" x14ac:dyDescent="0.25">
      <c r="A157" t="s">
        <v>41</v>
      </c>
      <c r="B157" t="s">
        <v>41</v>
      </c>
      <c r="C157" t="s">
        <v>410</v>
      </c>
      <c r="D157" t="s">
        <v>40</v>
      </c>
      <c r="E157" t="s">
        <v>16</v>
      </c>
      <c r="F157">
        <v>2</v>
      </c>
      <c r="G157" s="1">
        <v>35600</v>
      </c>
      <c r="H157">
        <v>81.099999999999994</v>
      </c>
      <c r="I157" s="1">
        <v>1500</v>
      </c>
      <c r="J157" s="1">
        <v>90</v>
      </c>
      <c r="K157" s="1">
        <v>800</v>
      </c>
      <c r="L157">
        <v>1.34</v>
      </c>
      <c r="M1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73290</v>
      </c>
      <c r="N157" s="1">
        <f>International_Education_Costs[[#This Row],[Total_Cost]]/International_Education_Costs[[#This Row],[Duration_Years]]</f>
        <v>36645</v>
      </c>
      <c r="O157" s="1">
        <f>International_Education_Costs[[#This Row],[Rent_USD]] * 12 * International_Education_Costs[[#This Row],[Duration_Years]]</f>
        <v>36000</v>
      </c>
      <c r="P157" s="1">
        <f>International_Education_Costs[[#This Row],[Total_Cost]]-International_Education_Costs[[#This Row],[Tuition_USD]]</f>
        <v>37690</v>
      </c>
      <c r="Q157" s="2">
        <f>International_Education_Costs[[#This Row],[Tuition_USD]]/International_Education_Costs[[#This Row],[Total_Cost]]</f>
        <v>0.48574157456678946</v>
      </c>
    </row>
    <row r="158" spans="1:17" x14ac:dyDescent="0.25">
      <c r="A158" t="s">
        <v>41</v>
      </c>
      <c r="B158" t="s">
        <v>41</v>
      </c>
      <c r="C158" t="s">
        <v>411</v>
      </c>
      <c r="D158" t="s">
        <v>412</v>
      </c>
      <c r="E158" t="s">
        <v>16</v>
      </c>
      <c r="F158">
        <v>2</v>
      </c>
      <c r="G158" s="1">
        <v>34900</v>
      </c>
      <c r="H158">
        <v>81.099999999999994</v>
      </c>
      <c r="I158" s="1">
        <v>1500</v>
      </c>
      <c r="J158" s="1">
        <v>90</v>
      </c>
      <c r="K158" s="1">
        <v>800</v>
      </c>
      <c r="L158">
        <v>1.34</v>
      </c>
      <c r="M1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72590</v>
      </c>
      <c r="N158" s="1">
        <f>International_Education_Costs[[#This Row],[Total_Cost]]/International_Education_Costs[[#This Row],[Duration_Years]]</f>
        <v>36295</v>
      </c>
      <c r="O158" s="1">
        <f>International_Education_Costs[[#This Row],[Rent_USD]] * 12 * International_Education_Costs[[#This Row],[Duration_Years]]</f>
        <v>36000</v>
      </c>
      <c r="P158" s="1">
        <f>International_Education_Costs[[#This Row],[Total_Cost]]-International_Education_Costs[[#This Row],[Tuition_USD]]</f>
        <v>37690</v>
      </c>
      <c r="Q158" s="2">
        <f>International_Education_Costs[[#This Row],[Tuition_USD]]/International_Education_Costs[[#This Row],[Total_Cost]]</f>
        <v>0.48078247692519632</v>
      </c>
    </row>
    <row r="159" spans="1:17" x14ac:dyDescent="0.25">
      <c r="A159" t="s">
        <v>41</v>
      </c>
      <c r="B159" t="s">
        <v>41</v>
      </c>
      <c r="C159" t="s">
        <v>407</v>
      </c>
      <c r="D159" t="s">
        <v>413</v>
      </c>
      <c r="E159" t="s">
        <v>16</v>
      </c>
      <c r="F159">
        <v>2</v>
      </c>
      <c r="G159" s="1">
        <v>33800</v>
      </c>
      <c r="H159">
        <v>81.099999999999994</v>
      </c>
      <c r="I159" s="1">
        <v>1500</v>
      </c>
      <c r="J159" s="1">
        <v>90</v>
      </c>
      <c r="K159" s="1">
        <v>800</v>
      </c>
      <c r="L159">
        <v>1.34</v>
      </c>
      <c r="M1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71490</v>
      </c>
      <c r="N159" s="1">
        <f>International_Education_Costs[[#This Row],[Total_Cost]]/International_Education_Costs[[#This Row],[Duration_Years]]</f>
        <v>35745</v>
      </c>
      <c r="O159" s="1">
        <f>International_Education_Costs[[#This Row],[Rent_USD]] * 12 * International_Education_Costs[[#This Row],[Duration_Years]]</f>
        <v>36000</v>
      </c>
      <c r="P159" s="1">
        <f>International_Education_Costs[[#This Row],[Total_Cost]]-International_Education_Costs[[#This Row],[Tuition_USD]]</f>
        <v>37690</v>
      </c>
      <c r="Q159" s="2">
        <f>International_Education_Costs[[#This Row],[Tuition_USD]]/International_Education_Costs[[#This Row],[Total_Cost]]</f>
        <v>0.47279339767799694</v>
      </c>
    </row>
    <row r="160" spans="1:17" x14ac:dyDescent="0.25">
      <c r="A160" t="s">
        <v>41</v>
      </c>
      <c r="B160" t="s">
        <v>41</v>
      </c>
      <c r="C160" t="s">
        <v>414</v>
      </c>
      <c r="D160" t="s">
        <v>415</v>
      </c>
      <c r="E160" t="s">
        <v>16</v>
      </c>
      <c r="F160">
        <v>2</v>
      </c>
      <c r="G160" s="1">
        <v>34200</v>
      </c>
      <c r="H160">
        <v>81.099999999999994</v>
      </c>
      <c r="I160" s="1">
        <v>1500</v>
      </c>
      <c r="J160" s="1">
        <v>90</v>
      </c>
      <c r="K160" s="1">
        <v>800</v>
      </c>
      <c r="L160">
        <v>1.34</v>
      </c>
      <c r="M1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71890</v>
      </c>
      <c r="N160" s="1">
        <f>International_Education_Costs[[#This Row],[Total_Cost]]/International_Education_Costs[[#This Row],[Duration_Years]]</f>
        <v>35945</v>
      </c>
      <c r="O160" s="1">
        <f>International_Education_Costs[[#This Row],[Rent_USD]] * 12 * International_Education_Costs[[#This Row],[Duration_Years]]</f>
        <v>36000</v>
      </c>
      <c r="P160" s="1">
        <f>International_Education_Costs[[#This Row],[Total_Cost]]-International_Education_Costs[[#This Row],[Tuition_USD]]</f>
        <v>37690</v>
      </c>
      <c r="Q160" s="2">
        <f>International_Education_Costs[[#This Row],[Tuition_USD]]/International_Education_Costs[[#This Row],[Total_Cost]]</f>
        <v>0.47572680484072888</v>
      </c>
    </row>
    <row r="161" spans="1:17" x14ac:dyDescent="0.25">
      <c r="A161" t="s">
        <v>41</v>
      </c>
      <c r="B161" t="s">
        <v>41</v>
      </c>
      <c r="C161" t="s">
        <v>410</v>
      </c>
      <c r="D161" t="s">
        <v>63</v>
      </c>
      <c r="E161" t="s">
        <v>122</v>
      </c>
      <c r="F161">
        <v>4</v>
      </c>
      <c r="G161" s="1">
        <v>38500</v>
      </c>
      <c r="H161">
        <v>81.099999999999994</v>
      </c>
      <c r="I161" s="1">
        <v>1500</v>
      </c>
      <c r="J161" s="1">
        <v>90</v>
      </c>
      <c r="K161" s="1">
        <v>800</v>
      </c>
      <c r="L161">
        <v>1.34</v>
      </c>
      <c r="M1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113790</v>
      </c>
      <c r="N161" s="1">
        <f>International_Education_Costs[[#This Row],[Total_Cost]]/International_Education_Costs[[#This Row],[Duration_Years]]</f>
        <v>28447.5</v>
      </c>
      <c r="O161" s="1">
        <f>International_Education_Costs[[#This Row],[Rent_USD]] * 12 * International_Education_Costs[[#This Row],[Duration_Years]]</f>
        <v>72000</v>
      </c>
      <c r="P161" s="1">
        <f>International_Education_Costs[[#This Row],[Total_Cost]]-International_Education_Costs[[#This Row],[Tuition_USD]]</f>
        <v>75290</v>
      </c>
      <c r="Q161" s="2">
        <f>International_Education_Costs[[#This Row],[Tuition_USD]]/International_Education_Costs[[#This Row],[Total_Cost]]</f>
        <v>0.33834256085772035</v>
      </c>
    </row>
    <row r="162" spans="1:17" x14ac:dyDescent="0.25">
      <c r="A162" t="s">
        <v>41</v>
      </c>
      <c r="B162" t="s">
        <v>41</v>
      </c>
      <c r="C162" t="s">
        <v>411</v>
      </c>
      <c r="D162" t="s">
        <v>416</v>
      </c>
      <c r="E162" t="s">
        <v>122</v>
      </c>
      <c r="F162">
        <v>4</v>
      </c>
      <c r="G162" s="1">
        <v>37900</v>
      </c>
      <c r="H162">
        <v>81.099999999999994</v>
      </c>
      <c r="I162" s="1">
        <v>1500</v>
      </c>
      <c r="J162" s="1">
        <v>90</v>
      </c>
      <c r="K162" s="1">
        <v>800</v>
      </c>
      <c r="L162">
        <v>1.34</v>
      </c>
      <c r="M1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113190</v>
      </c>
      <c r="N162" s="1">
        <f>International_Education_Costs[[#This Row],[Total_Cost]]/International_Education_Costs[[#This Row],[Duration_Years]]</f>
        <v>28297.5</v>
      </c>
      <c r="O162" s="1">
        <f>International_Education_Costs[[#This Row],[Rent_USD]] * 12 * International_Education_Costs[[#This Row],[Duration_Years]]</f>
        <v>72000</v>
      </c>
      <c r="P162" s="1">
        <f>International_Education_Costs[[#This Row],[Total_Cost]]-International_Education_Costs[[#This Row],[Tuition_USD]]</f>
        <v>75290</v>
      </c>
      <c r="Q162" s="2">
        <f>International_Education_Costs[[#This Row],[Tuition_USD]]/International_Education_Costs[[#This Row],[Total_Cost]]</f>
        <v>0.33483523279441646</v>
      </c>
    </row>
    <row r="163" spans="1:17" x14ac:dyDescent="0.25">
      <c r="A163" t="s">
        <v>44</v>
      </c>
      <c r="B163" t="s">
        <v>45</v>
      </c>
      <c r="C163" t="s">
        <v>1342</v>
      </c>
      <c r="D163" t="s">
        <v>15</v>
      </c>
      <c r="E163" t="s">
        <v>16</v>
      </c>
      <c r="F163">
        <v>2</v>
      </c>
      <c r="G163" s="1">
        <v>15600</v>
      </c>
      <c r="H163">
        <v>74.599999999999994</v>
      </c>
      <c r="I163" s="1">
        <v>1500</v>
      </c>
      <c r="J163" s="1">
        <v>99</v>
      </c>
      <c r="K163" s="1">
        <v>650</v>
      </c>
      <c r="L163">
        <v>0.92</v>
      </c>
      <c r="M1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52999</v>
      </c>
      <c r="N163" s="1">
        <f>International_Education_Costs[[#This Row],[Total_Cost]]/International_Education_Costs[[#This Row],[Duration_Years]]</f>
        <v>26499.5</v>
      </c>
      <c r="O163" s="1">
        <f>International_Education_Costs[[#This Row],[Rent_USD]] * 12 * International_Education_Costs[[#This Row],[Duration_Years]]</f>
        <v>36000</v>
      </c>
      <c r="P163" s="1">
        <f>International_Education_Costs[[#This Row],[Total_Cost]]-International_Education_Costs[[#This Row],[Tuition_USD]]</f>
        <v>37399</v>
      </c>
      <c r="Q163" s="2">
        <f>International_Education_Costs[[#This Row],[Tuition_USD]]/International_Education_Costs[[#This Row],[Total_Cost]]</f>
        <v>0.29434517632408158</v>
      </c>
    </row>
    <row r="164" spans="1:17" x14ac:dyDescent="0.25">
      <c r="A164" t="s">
        <v>44</v>
      </c>
      <c r="B164" t="s">
        <v>417</v>
      </c>
      <c r="C164" t="s">
        <v>418</v>
      </c>
      <c r="D164" t="s">
        <v>208</v>
      </c>
      <c r="E164" t="s">
        <v>75</v>
      </c>
      <c r="F164">
        <v>3</v>
      </c>
      <c r="G164" s="1">
        <v>4200</v>
      </c>
      <c r="H164">
        <v>65.8</v>
      </c>
      <c r="I164" s="1">
        <v>750</v>
      </c>
      <c r="J164" s="1">
        <v>99</v>
      </c>
      <c r="K164" s="1">
        <v>650</v>
      </c>
      <c r="L164">
        <v>0.92</v>
      </c>
      <c r="M1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33249</v>
      </c>
      <c r="N164" s="1">
        <f>International_Education_Costs[[#This Row],[Total_Cost]]/International_Education_Costs[[#This Row],[Duration_Years]]</f>
        <v>11083</v>
      </c>
      <c r="O164" s="1">
        <f>International_Education_Costs[[#This Row],[Rent_USD]] * 12 * International_Education_Costs[[#This Row],[Duration_Years]]</f>
        <v>27000</v>
      </c>
      <c r="P164" s="1">
        <f>International_Education_Costs[[#This Row],[Total_Cost]]-International_Education_Costs[[#This Row],[Tuition_USD]]</f>
        <v>29049</v>
      </c>
      <c r="Q164" s="2">
        <f>International_Education_Costs[[#This Row],[Tuition_USD]]/International_Education_Costs[[#This Row],[Total_Cost]]</f>
        <v>0.1263195885590544</v>
      </c>
    </row>
    <row r="165" spans="1:17" x14ac:dyDescent="0.25">
      <c r="A165" t="s">
        <v>44</v>
      </c>
      <c r="B165" t="s">
        <v>419</v>
      </c>
      <c r="C165" t="s">
        <v>1343</v>
      </c>
      <c r="D165" t="s">
        <v>20</v>
      </c>
      <c r="E165" t="s">
        <v>16</v>
      </c>
      <c r="F165">
        <v>2</v>
      </c>
      <c r="G165" s="1">
        <v>4800</v>
      </c>
      <c r="H165">
        <v>68.5</v>
      </c>
      <c r="I165" s="1">
        <v>850</v>
      </c>
      <c r="J165" s="1">
        <v>99</v>
      </c>
      <c r="K165" s="1">
        <v>650</v>
      </c>
      <c r="L165">
        <v>0.92</v>
      </c>
      <c r="M1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26599</v>
      </c>
      <c r="N165" s="1">
        <f>International_Education_Costs[[#This Row],[Total_Cost]]/International_Education_Costs[[#This Row],[Duration_Years]]</f>
        <v>13299.5</v>
      </c>
      <c r="O165" s="1">
        <f>International_Education_Costs[[#This Row],[Rent_USD]] * 12 * International_Education_Costs[[#This Row],[Duration_Years]]</f>
        <v>20400</v>
      </c>
      <c r="P165" s="1">
        <f>International_Education_Costs[[#This Row],[Total_Cost]]-International_Education_Costs[[#This Row],[Tuition_USD]]</f>
        <v>21799</v>
      </c>
      <c r="Q165" s="2">
        <f>International_Education_Costs[[#This Row],[Tuition_USD]]/International_Education_Costs[[#This Row],[Total_Cost]]</f>
        <v>0.18045791195157712</v>
      </c>
    </row>
    <row r="166" spans="1:17" x14ac:dyDescent="0.25">
      <c r="A166" t="s">
        <v>44</v>
      </c>
      <c r="B166" t="s">
        <v>420</v>
      </c>
      <c r="C166" t="s">
        <v>421</v>
      </c>
      <c r="D166" t="s">
        <v>40</v>
      </c>
      <c r="E166" t="s">
        <v>16</v>
      </c>
      <c r="F166">
        <v>2</v>
      </c>
      <c r="G166" s="1">
        <v>4500</v>
      </c>
      <c r="H166">
        <v>66.400000000000006</v>
      </c>
      <c r="I166" s="1">
        <v>800</v>
      </c>
      <c r="J166" s="1">
        <v>99</v>
      </c>
      <c r="K166" s="1">
        <v>650</v>
      </c>
      <c r="L166">
        <v>0.92</v>
      </c>
      <c r="M1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25099</v>
      </c>
      <c r="N166" s="1">
        <f>International_Education_Costs[[#This Row],[Total_Cost]]/International_Education_Costs[[#This Row],[Duration_Years]]</f>
        <v>12549.5</v>
      </c>
      <c r="O166" s="1">
        <f>International_Education_Costs[[#This Row],[Rent_USD]] * 12 * International_Education_Costs[[#This Row],[Duration_Years]]</f>
        <v>19200</v>
      </c>
      <c r="P166" s="1">
        <f>International_Education_Costs[[#This Row],[Total_Cost]]-International_Education_Costs[[#This Row],[Tuition_USD]]</f>
        <v>20599</v>
      </c>
      <c r="Q166" s="2">
        <f>International_Education_Costs[[#This Row],[Tuition_USD]]/International_Education_Costs[[#This Row],[Total_Cost]]</f>
        <v>0.17929001155424518</v>
      </c>
    </row>
    <row r="167" spans="1:17" x14ac:dyDescent="0.25">
      <c r="A167" t="s">
        <v>44</v>
      </c>
      <c r="B167" t="s">
        <v>422</v>
      </c>
      <c r="C167" t="s">
        <v>1344</v>
      </c>
      <c r="D167" t="s">
        <v>63</v>
      </c>
      <c r="E167" t="s">
        <v>75</v>
      </c>
      <c r="F167">
        <v>3</v>
      </c>
      <c r="G167" s="1">
        <v>3900</v>
      </c>
      <c r="H167">
        <v>69.2</v>
      </c>
      <c r="I167" s="1">
        <v>900</v>
      </c>
      <c r="J167" s="1">
        <v>99</v>
      </c>
      <c r="K167" s="1">
        <v>650</v>
      </c>
      <c r="L167">
        <v>0.92</v>
      </c>
      <c r="M1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38349</v>
      </c>
      <c r="N167" s="1">
        <f>International_Education_Costs[[#This Row],[Total_Cost]]/International_Education_Costs[[#This Row],[Duration_Years]]</f>
        <v>12783</v>
      </c>
      <c r="O167" s="1">
        <f>International_Education_Costs[[#This Row],[Rent_USD]] * 12 * International_Education_Costs[[#This Row],[Duration_Years]]</f>
        <v>32400</v>
      </c>
      <c r="P167" s="1">
        <f>International_Education_Costs[[#This Row],[Total_Cost]]-International_Education_Costs[[#This Row],[Tuition_USD]]</f>
        <v>34449</v>
      </c>
      <c r="Q167" s="2">
        <f>International_Education_Costs[[#This Row],[Tuition_USD]]/International_Education_Costs[[#This Row],[Total_Cost]]</f>
        <v>0.10169756708127982</v>
      </c>
    </row>
    <row r="168" spans="1:17" x14ac:dyDescent="0.25">
      <c r="A168" t="s">
        <v>44</v>
      </c>
      <c r="B168" t="s">
        <v>423</v>
      </c>
      <c r="C168" t="s">
        <v>424</v>
      </c>
      <c r="D168" t="s">
        <v>216</v>
      </c>
      <c r="E168" t="s">
        <v>16</v>
      </c>
      <c r="F168">
        <v>2</v>
      </c>
      <c r="G168" s="1">
        <v>4200</v>
      </c>
      <c r="H168">
        <v>67.8</v>
      </c>
      <c r="I168" s="1">
        <v>850</v>
      </c>
      <c r="J168" s="1">
        <v>99</v>
      </c>
      <c r="K168" s="1">
        <v>650</v>
      </c>
      <c r="L168">
        <v>0.92</v>
      </c>
      <c r="M1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25999</v>
      </c>
      <c r="N168" s="1">
        <f>International_Education_Costs[[#This Row],[Total_Cost]]/International_Education_Costs[[#This Row],[Duration_Years]]</f>
        <v>12999.5</v>
      </c>
      <c r="O168" s="1">
        <f>International_Education_Costs[[#This Row],[Rent_USD]] * 12 * International_Education_Costs[[#This Row],[Duration_Years]]</f>
        <v>20400</v>
      </c>
      <c r="P168" s="1">
        <f>International_Education_Costs[[#This Row],[Total_Cost]]-International_Education_Costs[[#This Row],[Tuition_USD]]</f>
        <v>21799</v>
      </c>
      <c r="Q168" s="2">
        <f>International_Education_Costs[[#This Row],[Tuition_USD]]/International_Education_Costs[[#This Row],[Total_Cost]]</f>
        <v>0.16154467479518442</v>
      </c>
    </row>
    <row r="169" spans="1:17" x14ac:dyDescent="0.25">
      <c r="A169" t="s">
        <v>44</v>
      </c>
      <c r="B169" t="s">
        <v>425</v>
      </c>
      <c r="C169" t="s">
        <v>1345</v>
      </c>
      <c r="D169" t="s">
        <v>242</v>
      </c>
      <c r="E169" t="s">
        <v>75</v>
      </c>
      <c r="F169">
        <v>3</v>
      </c>
      <c r="G169" s="1">
        <v>3800</v>
      </c>
      <c r="H169">
        <v>65.5</v>
      </c>
      <c r="I169" s="1">
        <v>750</v>
      </c>
      <c r="J169" s="1">
        <v>99</v>
      </c>
      <c r="K169" s="1">
        <v>650</v>
      </c>
      <c r="L169">
        <v>0.92</v>
      </c>
      <c r="M1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32849</v>
      </c>
      <c r="N169" s="1">
        <f>International_Education_Costs[[#This Row],[Total_Cost]]/International_Education_Costs[[#This Row],[Duration_Years]]</f>
        <v>10949.666666666666</v>
      </c>
      <c r="O169" s="1">
        <f>International_Education_Costs[[#This Row],[Rent_USD]] * 12 * International_Education_Costs[[#This Row],[Duration_Years]]</f>
        <v>27000</v>
      </c>
      <c r="P169" s="1">
        <f>International_Education_Costs[[#This Row],[Total_Cost]]-International_Education_Costs[[#This Row],[Tuition_USD]]</f>
        <v>29049</v>
      </c>
      <c r="Q169" s="2">
        <f>International_Education_Costs[[#This Row],[Tuition_USD]]/International_Education_Costs[[#This Row],[Total_Cost]]</f>
        <v>0.11568084264361168</v>
      </c>
    </row>
    <row r="170" spans="1:17" x14ac:dyDescent="0.25">
      <c r="A170" t="s">
        <v>44</v>
      </c>
      <c r="B170" t="s">
        <v>426</v>
      </c>
      <c r="C170" t="s">
        <v>427</v>
      </c>
      <c r="D170" t="s">
        <v>301</v>
      </c>
      <c r="E170" t="s">
        <v>16</v>
      </c>
      <c r="F170">
        <v>2</v>
      </c>
      <c r="G170" s="1">
        <v>4500</v>
      </c>
      <c r="H170">
        <v>64.8</v>
      </c>
      <c r="I170" s="1">
        <v>700</v>
      </c>
      <c r="J170" s="1">
        <v>99</v>
      </c>
      <c r="K170" s="1">
        <v>650</v>
      </c>
      <c r="L170">
        <v>0.92</v>
      </c>
      <c r="M1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22699</v>
      </c>
      <c r="N170" s="1">
        <f>International_Education_Costs[[#This Row],[Total_Cost]]/International_Education_Costs[[#This Row],[Duration_Years]]</f>
        <v>11349.5</v>
      </c>
      <c r="O170" s="1">
        <f>International_Education_Costs[[#This Row],[Rent_USD]] * 12 * International_Education_Costs[[#This Row],[Duration_Years]]</f>
        <v>16800</v>
      </c>
      <c r="P170" s="1">
        <f>International_Education_Costs[[#This Row],[Total_Cost]]-International_Education_Costs[[#This Row],[Tuition_USD]]</f>
        <v>18199</v>
      </c>
      <c r="Q170" s="2">
        <f>International_Education_Costs[[#This Row],[Tuition_USD]]/International_Education_Costs[[#This Row],[Total_Cost]]</f>
        <v>0.19824661879377947</v>
      </c>
    </row>
    <row r="171" spans="1:17" x14ac:dyDescent="0.25">
      <c r="A171" t="s">
        <v>44</v>
      </c>
      <c r="B171" t="s">
        <v>428</v>
      </c>
      <c r="C171" t="s">
        <v>429</v>
      </c>
      <c r="D171" t="s">
        <v>430</v>
      </c>
      <c r="E171" t="s">
        <v>75</v>
      </c>
      <c r="F171">
        <v>3</v>
      </c>
      <c r="G171" s="1">
        <v>3900</v>
      </c>
      <c r="H171">
        <v>66.2</v>
      </c>
      <c r="I171" s="1">
        <v>800</v>
      </c>
      <c r="J171" s="1">
        <v>99</v>
      </c>
      <c r="K171" s="1">
        <v>650</v>
      </c>
      <c r="L171">
        <v>0.92</v>
      </c>
      <c r="M1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34749</v>
      </c>
      <c r="N171" s="1">
        <f>International_Education_Costs[[#This Row],[Total_Cost]]/International_Education_Costs[[#This Row],[Duration_Years]]</f>
        <v>11583</v>
      </c>
      <c r="O171" s="1">
        <f>International_Education_Costs[[#This Row],[Rent_USD]] * 12 * International_Education_Costs[[#This Row],[Duration_Years]]</f>
        <v>28800</v>
      </c>
      <c r="P171" s="1">
        <f>International_Education_Costs[[#This Row],[Total_Cost]]-International_Education_Costs[[#This Row],[Tuition_USD]]</f>
        <v>30849</v>
      </c>
      <c r="Q171" s="2">
        <f>International_Education_Costs[[#This Row],[Tuition_USD]]/International_Education_Costs[[#This Row],[Total_Cost]]</f>
        <v>0.1122334455667789</v>
      </c>
    </row>
    <row r="172" spans="1:17" x14ac:dyDescent="0.25">
      <c r="A172" t="s">
        <v>44</v>
      </c>
      <c r="B172" t="s">
        <v>431</v>
      </c>
      <c r="C172" t="s">
        <v>432</v>
      </c>
      <c r="D172" t="s">
        <v>252</v>
      </c>
      <c r="E172" t="s">
        <v>16</v>
      </c>
      <c r="F172">
        <v>2</v>
      </c>
      <c r="G172" s="1">
        <v>4100</v>
      </c>
      <c r="H172">
        <v>65.900000000000006</v>
      </c>
      <c r="I172" s="1">
        <v>750</v>
      </c>
      <c r="J172" s="1">
        <v>99</v>
      </c>
      <c r="K172" s="1">
        <v>650</v>
      </c>
      <c r="L172">
        <v>0.92</v>
      </c>
      <c r="M1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23499</v>
      </c>
      <c r="N172" s="1">
        <f>International_Education_Costs[[#This Row],[Total_Cost]]/International_Education_Costs[[#This Row],[Duration_Years]]</f>
        <v>11749.5</v>
      </c>
      <c r="O172" s="1">
        <f>International_Education_Costs[[#This Row],[Rent_USD]] * 12 * International_Education_Costs[[#This Row],[Duration_Years]]</f>
        <v>18000</v>
      </c>
      <c r="P172" s="1">
        <f>International_Education_Costs[[#This Row],[Total_Cost]]-International_Education_Costs[[#This Row],[Tuition_USD]]</f>
        <v>19399</v>
      </c>
      <c r="Q172" s="2">
        <f>International_Education_Costs[[#This Row],[Tuition_USD]]/International_Education_Costs[[#This Row],[Total_Cost]]</f>
        <v>0.17447550959615302</v>
      </c>
    </row>
    <row r="173" spans="1:17" x14ac:dyDescent="0.25">
      <c r="A173" t="s">
        <v>48</v>
      </c>
      <c r="B173" t="s">
        <v>433</v>
      </c>
      <c r="C173" t="s">
        <v>434</v>
      </c>
      <c r="D173" t="s">
        <v>15</v>
      </c>
      <c r="E173" t="s">
        <v>16</v>
      </c>
      <c r="F173">
        <v>2</v>
      </c>
      <c r="G173" s="1">
        <v>1460</v>
      </c>
      <c r="H173">
        <v>89.8</v>
      </c>
      <c r="I173" s="1">
        <v>1900</v>
      </c>
      <c r="J173" s="1">
        <v>88</v>
      </c>
      <c r="K173" s="1">
        <v>1200</v>
      </c>
      <c r="L173">
        <v>0.89</v>
      </c>
      <c r="M1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49548</v>
      </c>
      <c r="N173" s="1">
        <f>International_Education_Costs[[#This Row],[Total_Cost]]/International_Education_Costs[[#This Row],[Duration_Years]]</f>
        <v>24774</v>
      </c>
      <c r="O173" s="1">
        <f>International_Education_Costs[[#This Row],[Rent_USD]] * 12 * International_Education_Costs[[#This Row],[Duration_Years]]</f>
        <v>45600</v>
      </c>
      <c r="P173" s="1">
        <f>International_Education_Costs[[#This Row],[Total_Cost]]-International_Education_Costs[[#This Row],[Tuition_USD]]</f>
        <v>48088</v>
      </c>
      <c r="Q173" s="2">
        <f>International_Education_Costs[[#This Row],[Tuition_USD]]/International_Education_Costs[[#This Row],[Total_Cost]]</f>
        <v>2.9466376039396142E-2</v>
      </c>
    </row>
    <row r="174" spans="1:17" x14ac:dyDescent="0.25">
      <c r="A174" t="s">
        <v>48</v>
      </c>
      <c r="B174" t="s">
        <v>435</v>
      </c>
      <c r="C174" t="s">
        <v>436</v>
      </c>
      <c r="D174" t="s">
        <v>20</v>
      </c>
      <c r="E174" t="s">
        <v>75</v>
      </c>
      <c r="F174">
        <v>3</v>
      </c>
      <c r="G174" s="1">
        <v>1380</v>
      </c>
      <c r="H174">
        <v>90.5</v>
      </c>
      <c r="I174" s="1">
        <v>2000</v>
      </c>
      <c r="J174" s="1">
        <v>88</v>
      </c>
      <c r="K174" s="1">
        <v>1200</v>
      </c>
      <c r="L174">
        <v>0.89</v>
      </c>
      <c r="M1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77068</v>
      </c>
      <c r="N174" s="1">
        <f>International_Education_Costs[[#This Row],[Total_Cost]]/International_Education_Costs[[#This Row],[Duration_Years]]</f>
        <v>25689.333333333332</v>
      </c>
      <c r="O174" s="1">
        <f>International_Education_Costs[[#This Row],[Rent_USD]] * 12 * International_Education_Costs[[#This Row],[Duration_Years]]</f>
        <v>72000</v>
      </c>
      <c r="P174" s="1">
        <f>International_Education_Costs[[#This Row],[Total_Cost]]-International_Education_Costs[[#This Row],[Tuition_USD]]</f>
        <v>75688</v>
      </c>
      <c r="Q174" s="2">
        <f>International_Education_Costs[[#This Row],[Tuition_USD]]/International_Education_Costs[[#This Row],[Total_Cost]]</f>
        <v>1.7906264597498313E-2</v>
      </c>
    </row>
    <row r="175" spans="1:17" x14ac:dyDescent="0.25">
      <c r="A175" t="s">
        <v>48</v>
      </c>
      <c r="B175" t="s">
        <v>437</v>
      </c>
      <c r="C175" t="s">
        <v>438</v>
      </c>
      <c r="D175" t="s">
        <v>208</v>
      </c>
      <c r="E175" t="s">
        <v>16</v>
      </c>
      <c r="F175">
        <v>2</v>
      </c>
      <c r="G175" s="1">
        <v>1420</v>
      </c>
      <c r="H175">
        <v>85.4</v>
      </c>
      <c r="I175" s="1">
        <v>1700</v>
      </c>
      <c r="J175" s="1">
        <v>88</v>
      </c>
      <c r="K175" s="1">
        <v>1200</v>
      </c>
      <c r="L175">
        <v>0.89</v>
      </c>
      <c r="M1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44708</v>
      </c>
      <c r="N175" s="1">
        <f>International_Education_Costs[[#This Row],[Total_Cost]]/International_Education_Costs[[#This Row],[Duration_Years]]</f>
        <v>22354</v>
      </c>
      <c r="O175" s="1">
        <f>International_Education_Costs[[#This Row],[Rent_USD]] * 12 * International_Education_Costs[[#This Row],[Duration_Years]]</f>
        <v>40800</v>
      </c>
      <c r="P175" s="1">
        <f>International_Education_Costs[[#This Row],[Total_Cost]]-International_Education_Costs[[#This Row],[Tuition_USD]]</f>
        <v>43288</v>
      </c>
      <c r="Q175" s="2">
        <f>International_Education_Costs[[#This Row],[Tuition_USD]]/International_Education_Costs[[#This Row],[Total_Cost]]</f>
        <v>3.1761653395365484E-2</v>
      </c>
    </row>
    <row r="176" spans="1:17" x14ac:dyDescent="0.25">
      <c r="A176" t="s">
        <v>48</v>
      </c>
      <c r="B176" t="s">
        <v>439</v>
      </c>
      <c r="C176" t="s">
        <v>440</v>
      </c>
      <c r="D176" t="s">
        <v>441</v>
      </c>
      <c r="E176" t="s">
        <v>75</v>
      </c>
      <c r="F176">
        <v>3</v>
      </c>
      <c r="G176" s="1">
        <v>1440</v>
      </c>
      <c r="H176">
        <v>86.2</v>
      </c>
      <c r="I176" s="1">
        <v>1600</v>
      </c>
      <c r="J176" s="1">
        <v>88</v>
      </c>
      <c r="K176" s="1">
        <v>1200</v>
      </c>
      <c r="L176">
        <v>0.89</v>
      </c>
      <c r="M1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62728</v>
      </c>
      <c r="N176" s="1">
        <f>International_Education_Costs[[#This Row],[Total_Cost]]/International_Education_Costs[[#This Row],[Duration_Years]]</f>
        <v>20909.333333333332</v>
      </c>
      <c r="O176" s="1">
        <f>International_Education_Costs[[#This Row],[Rent_USD]] * 12 * International_Education_Costs[[#This Row],[Duration_Years]]</f>
        <v>57600</v>
      </c>
      <c r="P176" s="1">
        <f>International_Education_Costs[[#This Row],[Total_Cost]]-International_Education_Costs[[#This Row],[Tuition_USD]]</f>
        <v>61288</v>
      </c>
      <c r="Q176" s="2">
        <f>International_Education_Costs[[#This Row],[Tuition_USD]]/International_Education_Costs[[#This Row],[Total_Cost]]</f>
        <v>2.2956255579645455E-2</v>
      </c>
    </row>
    <row r="177" spans="1:17" x14ac:dyDescent="0.25">
      <c r="A177" t="s">
        <v>48</v>
      </c>
      <c r="B177" t="s">
        <v>442</v>
      </c>
      <c r="C177" t="s">
        <v>443</v>
      </c>
      <c r="D177" t="s">
        <v>40</v>
      </c>
      <c r="E177" t="s">
        <v>16</v>
      </c>
      <c r="F177">
        <v>2</v>
      </c>
      <c r="G177" s="1">
        <v>1460</v>
      </c>
      <c r="H177">
        <v>84.5</v>
      </c>
      <c r="I177" s="1">
        <v>1500</v>
      </c>
      <c r="J177" s="1">
        <v>88</v>
      </c>
      <c r="K177" s="1">
        <v>1200</v>
      </c>
      <c r="L177">
        <v>0.89</v>
      </c>
      <c r="M1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39948</v>
      </c>
      <c r="N177" s="1">
        <f>International_Education_Costs[[#This Row],[Total_Cost]]/International_Education_Costs[[#This Row],[Duration_Years]]</f>
        <v>19974</v>
      </c>
      <c r="O177" s="1">
        <f>International_Education_Costs[[#This Row],[Rent_USD]] * 12 * International_Education_Costs[[#This Row],[Duration_Years]]</f>
        <v>36000</v>
      </c>
      <c r="P177" s="1">
        <f>International_Education_Costs[[#This Row],[Total_Cost]]-International_Education_Costs[[#This Row],[Tuition_USD]]</f>
        <v>38488</v>
      </c>
      <c r="Q177" s="2">
        <f>International_Education_Costs[[#This Row],[Tuition_USD]]/International_Education_Costs[[#This Row],[Total_Cost]]</f>
        <v>3.6547511765294881E-2</v>
      </c>
    </row>
    <row r="178" spans="1:17" x14ac:dyDescent="0.25">
      <c r="A178" t="s">
        <v>48</v>
      </c>
      <c r="B178" t="s">
        <v>444</v>
      </c>
      <c r="C178" t="s">
        <v>445</v>
      </c>
      <c r="D178" t="s">
        <v>63</v>
      </c>
      <c r="E178" t="s">
        <v>75</v>
      </c>
      <c r="F178">
        <v>3</v>
      </c>
      <c r="G178" s="1">
        <v>1380</v>
      </c>
      <c r="H178">
        <v>83.8</v>
      </c>
      <c r="I178" s="1">
        <v>1400</v>
      </c>
      <c r="J178" s="1">
        <v>88</v>
      </c>
      <c r="K178" s="1">
        <v>1200</v>
      </c>
      <c r="L178">
        <v>0.89</v>
      </c>
      <c r="M1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55468</v>
      </c>
      <c r="N178" s="1">
        <f>International_Education_Costs[[#This Row],[Total_Cost]]/International_Education_Costs[[#This Row],[Duration_Years]]</f>
        <v>18489.333333333332</v>
      </c>
      <c r="O178" s="1">
        <f>International_Education_Costs[[#This Row],[Rent_USD]] * 12 * International_Education_Costs[[#This Row],[Duration_Years]]</f>
        <v>50400</v>
      </c>
      <c r="P178" s="1">
        <f>International_Education_Costs[[#This Row],[Total_Cost]]-International_Education_Costs[[#This Row],[Tuition_USD]]</f>
        <v>54088</v>
      </c>
      <c r="Q178" s="2">
        <f>International_Education_Costs[[#This Row],[Tuition_USD]]/International_Education_Costs[[#This Row],[Total_Cost]]</f>
        <v>2.4879209634383788E-2</v>
      </c>
    </row>
    <row r="179" spans="1:17" x14ac:dyDescent="0.25">
      <c r="A179" t="s">
        <v>48</v>
      </c>
      <c r="B179" t="s">
        <v>446</v>
      </c>
      <c r="C179" t="s">
        <v>447</v>
      </c>
      <c r="D179" t="s">
        <v>216</v>
      </c>
      <c r="E179" t="s">
        <v>16</v>
      </c>
      <c r="F179">
        <v>2</v>
      </c>
      <c r="G179" s="1">
        <v>1420</v>
      </c>
      <c r="H179">
        <v>84.2</v>
      </c>
      <c r="I179" s="1">
        <v>1500</v>
      </c>
      <c r="J179" s="1">
        <v>88</v>
      </c>
      <c r="K179" s="1">
        <v>1200</v>
      </c>
      <c r="L179">
        <v>0.89</v>
      </c>
      <c r="M1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39908</v>
      </c>
      <c r="N179" s="1">
        <f>International_Education_Costs[[#This Row],[Total_Cost]]/International_Education_Costs[[#This Row],[Duration_Years]]</f>
        <v>19954</v>
      </c>
      <c r="O179" s="1">
        <f>International_Education_Costs[[#This Row],[Rent_USD]] * 12 * International_Education_Costs[[#This Row],[Duration_Years]]</f>
        <v>36000</v>
      </c>
      <c r="P179" s="1">
        <f>International_Education_Costs[[#This Row],[Total_Cost]]-International_Education_Costs[[#This Row],[Tuition_USD]]</f>
        <v>38488</v>
      </c>
      <c r="Q179" s="2">
        <f>International_Education_Costs[[#This Row],[Tuition_USD]]/International_Education_Costs[[#This Row],[Total_Cost]]</f>
        <v>3.5581838227924226E-2</v>
      </c>
    </row>
    <row r="180" spans="1:17" x14ac:dyDescent="0.25">
      <c r="A180" t="s">
        <v>48</v>
      </c>
      <c r="B180" t="s">
        <v>132</v>
      </c>
      <c r="C180" t="s">
        <v>448</v>
      </c>
      <c r="D180" t="s">
        <v>449</v>
      </c>
      <c r="E180" t="s">
        <v>16</v>
      </c>
      <c r="F180">
        <v>2</v>
      </c>
      <c r="G180" s="1">
        <v>1440</v>
      </c>
      <c r="H180">
        <v>87.5</v>
      </c>
      <c r="I180" s="1">
        <v>1800</v>
      </c>
      <c r="J180" s="1">
        <v>88</v>
      </c>
      <c r="K180" s="1">
        <v>1200</v>
      </c>
      <c r="L180">
        <v>0.89</v>
      </c>
      <c r="M1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47128</v>
      </c>
      <c r="N180" s="1">
        <f>International_Education_Costs[[#This Row],[Total_Cost]]/International_Education_Costs[[#This Row],[Duration_Years]]</f>
        <v>23564</v>
      </c>
      <c r="O180" s="1">
        <f>International_Education_Costs[[#This Row],[Rent_USD]] * 12 * International_Education_Costs[[#This Row],[Duration_Years]]</f>
        <v>43200</v>
      </c>
      <c r="P180" s="1">
        <f>International_Education_Costs[[#This Row],[Total_Cost]]-International_Education_Costs[[#This Row],[Tuition_USD]]</f>
        <v>45688</v>
      </c>
      <c r="Q180" s="2">
        <f>International_Education_Costs[[#This Row],[Tuition_USD]]/International_Education_Costs[[#This Row],[Total_Cost]]</f>
        <v>3.0555084026481074E-2</v>
      </c>
    </row>
    <row r="181" spans="1:17" x14ac:dyDescent="0.25">
      <c r="A181" t="s">
        <v>48</v>
      </c>
      <c r="B181" t="s">
        <v>450</v>
      </c>
      <c r="C181" t="s">
        <v>451</v>
      </c>
      <c r="D181" t="s">
        <v>452</v>
      </c>
      <c r="E181" t="s">
        <v>75</v>
      </c>
      <c r="F181">
        <v>3</v>
      </c>
      <c r="G181" s="1">
        <v>1380</v>
      </c>
      <c r="H181">
        <v>85.8</v>
      </c>
      <c r="I181" s="1">
        <v>1600</v>
      </c>
      <c r="J181" s="1">
        <v>88</v>
      </c>
      <c r="K181" s="1">
        <v>1200</v>
      </c>
      <c r="L181">
        <v>0.89</v>
      </c>
      <c r="M1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62668</v>
      </c>
      <c r="N181" s="1">
        <f>International_Education_Costs[[#This Row],[Total_Cost]]/International_Education_Costs[[#This Row],[Duration_Years]]</f>
        <v>20889.333333333332</v>
      </c>
      <c r="O181" s="1">
        <f>International_Education_Costs[[#This Row],[Rent_USD]] * 12 * International_Education_Costs[[#This Row],[Duration_Years]]</f>
        <v>57600</v>
      </c>
      <c r="P181" s="1">
        <f>International_Education_Costs[[#This Row],[Total_Cost]]-International_Education_Costs[[#This Row],[Tuition_USD]]</f>
        <v>61288</v>
      </c>
      <c r="Q181" s="2">
        <f>International_Education_Costs[[#This Row],[Tuition_USD]]/International_Education_Costs[[#This Row],[Total_Cost]]</f>
        <v>2.2020808067913449E-2</v>
      </c>
    </row>
    <row r="182" spans="1:17" x14ac:dyDescent="0.25">
      <c r="A182" t="s">
        <v>48</v>
      </c>
      <c r="B182" t="s">
        <v>453</v>
      </c>
      <c r="C182" t="s">
        <v>454</v>
      </c>
      <c r="D182" t="s">
        <v>252</v>
      </c>
      <c r="E182" t="s">
        <v>16</v>
      </c>
      <c r="F182">
        <v>2</v>
      </c>
      <c r="G182" s="1">
        <v>1460</v>
      </c>
      <c r="H182">
        <v>86.4</v>
      </c>
      <c r="I182" s="1">
        <v>1700</v>
      </c>
      <c r="J182" s="1">
        <v>88</v>
      </c>
      <c r="K182" s="1">
        <v>1200</v>
      </c>
      <c r="L182">
        <v>0.89</v>
      </c>
      <c r="M1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44748</v>
      </c>
      <c r="N182" s="1">
        <f>International_Education_Costs[[#This Row],[Total_Cost]]/International_Education_Costs[[#This Row],[Duration_Years]]</f>
        <v>22374</v>
      </c>
      <c r="O182" s="1">
        <f>International_Education_Costs[[#This Row],[Rent_USD]] * 12 * International_Education_Costs[[#This Row],[Duration_Years]]</f>
        <v>40800</v>
      </c>
      <c r="P182" s="1">
        <f>International_Education_Costs[[#This Row],[Total_Cost]]-International_Education_Costs[[#This Row],[Tuition_USD]]</f>
        <v>43288</v>
      </c>
      <c r="Q182" s="2">
        <f>International_Education_Costs[[#This Row],[Tuition_USD]]/International_Education_Costs[[#This Row],[Total_Cost]]</f>
        <v>3.2627156520961834E-2</v>
      </c>
    </row>
    <row r="183" spans="1:17" x14ac:dyDescent="0.25">
      <c r="A183" t="s">
        <v>56</v>
      </c>
      <c r="B183" t="s">
        <v>57</v>
      </c>
      <c r="C183" t="s">
        <v>58</v>
      </c>
      <c r="D183" t="s">
        <v>15</v>
      </c>
      <c r="E183" t="s">
        <v>16</v>
      </c>
      <c r="F183">
        <v>2</v>
      </c>
      <c r="G183" s="1">
        <v>8800</v>
      </c>
      <c r="H183">
        <v>83.2</v>
      </c>
      <c r="I183" s="1">
        <v>1500</v>
      </c>
      <c r="J183" s="1">
        <v>110</v>
      </c>
      <c r="K183" s="1">
        <v>600</v>
      </c>
      <c r="L183">
        <v>0.15</v>
      </c>
      <c r="M1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46110</v>
      </c>
      <c r="N183" s="1">
        <f>International_Education_Costs[[#This Row],[Total_Cost]]/International_Education_Costs[[#This Row],[Duration_Years]]</f>
        <v>23055</v>
      </c>
      <c r="O183" s="1">
        <f>International_Education_Costs[[#This Row],[Rent_USD]] * 12 * International_Education_Costs[[#This Row],[Duration_Years]]</f>
        <v>36000</v>
      </c>
      <c r="P183" s="1">
        <f>International_Education_Costs[[#This Row],[Total_Cost]]-International_Education_Costs[[#This Row],[Tuition_USD]]</f>
        <v>37310</v>
      </c>
      <c r="Q183" s="2">
        <f>International_Education_Costs[[#This Row],[Tuition_USD]]/International_Education_Costs[[#This Row],[Total_Cost]]</f>
        <v>0.19084797224029496</v>
      </c>
    </row>
    <row r="184" spans="1:17" x14ac:dyDescent="0.25">
      <c r="A184" t="s">
        <v>56</v>
      </c>
      <c r="B184" t="s">
        <v>455</v>
      </c>
      <c r="C184" t="s">
        <v>456</v>
      </c>
      <c r="D184" t="s">
        <v>20</v>
      </c>
      <c r="E184" t="s">
        <v>16</v>
      </c>
      <c r="F184">
        <v>2</v>
      </c>
      <c r="G184" s="1">
        <v>8600</v>
      </c>
      <c r="H184">
        <v>77.400000000000006</v>
      </c>
      <c r="I184" s="1">
        <v>1200</v>
      </c>
      <c r="J184" s="1">
        <v>110</v>
      </c>
      <c r="K184" s="1">
        <v>600</v>
      </c>
      <c r="L184">
        <v>0.15</v>
      </c>
      <c r="M1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38710</v>
      </c>
      <c r="N184" s="1">
        <f>International_Education_Costs[[#This Row],[Total_Cost]]/International_Education_Costs[[#This Row],[Duration_Years]]</f>
        <v>19355</v>
      </c>
      <c r="O184" s="1">
        <f>International_Education_Costs[[#This Row],[Rent_USD]] * 12 * International_Education_Costs[[#This Row],[Duration_Years]]</f>
        <v>28800</v>
      </c>
      <c r="P184" s="1">
        <f>International_Education_Costs[[#This Row],[Total_Cost]]-International_Education_Costs[[#This Row],[Tuition_USD]]</f>
        <v>30110</v>
      </c>
      <c r="Q184" s="2">
        <f>International_Education_Costs[[#This Row],[Tuition_USD]]/International_Education_Costs[[#This Row],[Total_Cost]]</f>
        <v>0.22216481529320589</v>
      </c>
    </row>
    <row r="185" spans="1:17" x14ac:dyDescent="0.25">
      <c r="A185" t="s">
        <v>56</v>
      </c>
      <c r="B185" t="s">
        <v>159</v>
      </c>
      <c r="C185" t="s">
        <v>160</v>
      </c>
      <c r="D185" t="s">
        <v>208</v>
      </c>
      <c r="E185" t="s">
        <v>16</v>
      </c>
      <c r="F185">
        <v>2</v>
      </c>
      <c r="G185" s="1">
        <v>8400</v>
      </c>
      <c r="H185">
        <v>75.099999999999994</v>
      </c>
      <c r="I185" s="1">
        <v>1000</v>
      </c>
      <c r="J185" s="1">
        <v>110</v>
      </c>
      <c r="K185" s="1">
        <v>600</v>
      </c>
      <c r="L185">
        <v>0.15</v>
      </c>
      <c r="M1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33710</v>
      </c>
      <c r="N185" s="1">
        <f>International_Education_Costs[[#This Row],[Total_Cost]]/International_Education_Costs[[#This Row],[Duration_Years]]</f>
        <v>16855</v>
      </c>
      <c r="O185" s="1">
        <f>International_Education_Costs[[#This Row],[Rent_USD]] * 12 * International_Education_Costs[[#This Row],[Duration_Years]]</f>
        <v>24000</v>
      </c>
      <c r="P185" s="1">
        <f>International_Education_Costs[[#This Row],[Total_Cost]]-International_Education_Costs[[#This Row],[Tuition_USD]]</f>
        <v>25310</v>
      </c>
      <c r="Q185" s="2">
        <f>International_Education_Costs[[#This Row],[Tuition_USD]]/International_Education_Costs[[#This Row],[Total_Cost]]</f>
        <v>0.24918421833283891</v>
      </c>
    </row>
    <row r="186" spans="1:17" x14ac:dyDescent="0.25">
      <c r="A186" t="s">
        <v>60</v>
      </c>
      <c r="B186" t="s">
        <v>61</v>
      </c>
      <c r="C186" t="s">
        <v>62</v>
      </c>
      <c r="D186" t="s">
        <v>15</v>
      </c>
      <c r="E186" t="s">
        <v>16</v>
      </c>
      <c r="F186">
        <v>3</v>
      </c>
      <c r="G186" s="1">
        <v>8900</v>
      </c>
      <c r="H186">
        <v>51.2</v>
      </c>
      <c r="I186" s="1">
        <v>800</v>
      </c>
      <c r="J186" s="1">
        <v>140</v>
      </c>
      <c r="K186" s="1">
        <v>400</v>
      </c>
      <c r="L186">
        <v>7.15</v>
      </c>
      <c r="M1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39040</v>
      </c>
      <c r="N186" s="1">
        <f>International_Education_Costs[[#This Row],[Total_Cost]]/International_Education_Costs[[#This Row],[Duration_Years]]</f>
        <v>13013.333333333334</v>
      </c>
      <c r="O186" s="1">
        <f>International_Education_Costs[[#This Row],[Rent_USD]] * 12 * International_Education_Costs[[#This Row],[Duration_Years]]</f>
        <v>28800</v>
      </c>
      <c r="P186" s="1">
        <f>International_Education_Costs[[#This Row],[Total_Cost]]-International_Education_Costs[[#This Row],[Tuition_USD]]</f>
        <v>30140</v>
      </c>
      <c r="Q186" s="2">
        <f>International_Education_Costs[[#This Row],[Tuition_USD]]/International_Education_Costs[[#This Row],[Total_Cost]]</f>
        <v>0.22797131147540983</v>
      </c>
    </row>
    <row r="187" spans="1:17" x14ac:dyDescent="0.25">
      <c r="A187" t="s">
        <v>60</v>
      </c>
      <c r="B187" t="s">
        <v>61</v>
      </c>
      <c r="C187" t="s">
        <v>457</v>
      </c>
      <c r="D187" t="s">
        <v>20</v>
      </c>
      <c r="E187" t="s">
        <v>16</v>
      </c>
      <c r="F187">
        <v>3</v>
      </c>
      <c r="G187" s="1">
        <v>8500</v>
      </c>
      <c r="H187">
        <v>51.2</v>
      </c>
      <c r="I187" s="1">
        <v>750</v>
      </c>
      <c r="J187" s="1">
        <v>140</v>
      </c>
      <c r="K187" s="1">
        <v>400</v>
      </c>
      <c r="L187">
        <v>7.15</v>
      </c>
      <c r="M1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36840</v>
      </c>
      <c r="N187" s="1">
        <f>International_Education_Costs[[#This Row],[Total_Cost]]/International_Education_Costs[[#This Row],[Duration_Years]]</f>
        <v>12280</v>
      </c>
      <c r="O187" s="1">
        <f>International_Education_Costs[[#This Row],[Rent_USD]] * 12 * International_Education_Costs[[#This Row],[Duration_Years]]</f>
        <v>27000</v>
      </c>
      <c r="P187" s="1">
        <f>International_Education_Costs[[#This Row],[Total_Cost]]-International_Education_Costs[[#This Row],[Tuition_USD]]</f>
        <v>28340</v>
      </c>
      <c r="Q187" s="2">
        <f>International_Education_Costs[[#This Row],[Tuition_USD]]/International_Education_Costs[[#This Row],[Total_Cost]]</f>
        <v>0.23072747014115091</v>
      </c>
    </row>
    <row r="188" spans="1:17" x14ac:dyDescent="0.25">
      <c r="A188" t="s">
        <v>60</v>
      </c>
      <c r="B188" t="s">
        <v>458</v>
      </c>
      <c r="C188" t="s">
        <v>459</v>
      </c>
      <c r="D188" t="s">
        <v>208</v>
      </c>
      <c r="E188" t="s">
        <v>16</v>
      </c>
      <c r="F188">
        <v>2.5</v>
      </c>
      <c r="G188" s="1">
        <v>7800</v>
      </c>
      <c r="H188">
        <v>48.9</v>
      </c>
      <c r="I188" s="1">
        <v>700</v>
      </c>
      <c r="J188" s="1">
        <v>140</v>
      </c>
      <c r="K188" s="1">
        <v>400</v>
      </c>
      <c r="L188">
        <v>7.15</v>
      </c>
      <c r="M1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29940</v>
      </c>
      <c r="N188" s="1">
        <f>International_Education_Costs[[#This Row],[Total_Cost]]/International_Education_Costs[[#This Row],[Duration_Years]]</f>
        <v>11976</v>
      </c>
      <c r="O188" s="1">
        <f>International_Education_Costs[[#This Row],[Rent_USD]] * 12 * International_Education_Costs[[#This Row],[Duration_Years]]</f>
        <v>21000</v>
      </c>
      <c r="P188" s="1">
        <f>International_Education_Costs[[#This Row],[Total_Cost]]-International_Education_Costs[[#This Row],[Tuition_USD]]</f>
        <v>22140</v>
      </c>
      <c r="Q188" s="2">
        <f>International_Education_Costs[[#This Row],[Tuition_USD]]/International_Education_Costs[[#This Row],[Total_Cost]]</f>
        <v>0.26052104208416832</v>
      </c>
    </row>
    <row r="189" spans="1:17" x14ac:dyDescent="0.25">
      <c r="A189" t="s">
        <v>60</v>
      </c>
      <c r="B189" t="s">
        <v>458</v>
      </c>
      <c r="C189" t="s">
        <v>460</v>
      </c>
      <c r="D189" t="s">
        <v>40</v>
      </c>
      <c r="E189" t="s">
        <v>16</v>
      </c>
      <c r="F189">
        <v>2.5</v>
      </c>
      <c r="G189" s="1">
        <v>8200</v>
      </c>
      <c r="H189">
        <v>48.9</v>
      </c>
      <c r="I189" s="1">
        <v>720</v>
      </c>
      <c r="J189" s="1">
        <v>140</v>
      </c>
      <c r="K189" s="1">
        <v>400</v>
      </c>
      <c r="L189">
        <v>7.15</v>
      </c>
      <c r="M1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30940</v>
      </c>
      <c r="N189" s="1">
        <f>International_Education_Costs[[#This Row],[Total_Cost]]/International_Education_Costs[[#This Row],[Duration_Years]]</f>
        <v>12376</v>
      </c>
      <c r="O189" s="1">
        <f>International_Education_Costs[[#This Row],[Rent_USD]] * 12 * International_Education_Costs[[#This Row],[Duration_Years]]</f>
        <v>21600</v>
      </c>
      <c r="P189" s="1">
        <f>International_Education_Costs[[#This Row],[Total_Cost]]-International_Education_Costs[[#This Row],[Tuition_USD]]</f>
        <v>22740</v>
      </c>
      <c r="Q189" s="2">
        <f>International_Education_Costs[[#This Row],[Tuition_USD]]/International_Education_Costs[[#This Row],[Total_Cost]]</f>
        <v>0.26502908855850033</v>
      </c>
    </row>
    <row r="190" spans="1:17" x14ac:dyDescent="0.25">
      <c r="A190" t="s">
        <v>60</v>
      </c>
      <c r="B190" t="s">
        <v>461</v>
      </c>
      <c r="C190" t="s">
        <v>462</v>
      </c>
      <c r="D190" t="s">
        <v>63</v>
      </c>
      <c r="E190" t="s">
        <v>16</v>
      </c>
      <c r="F190">
        <v>3</v>
      </c>
      <c r="G190" s="1">
        <v>7500</v>
      </c>
      <c r="H190">
        <v>45.3</v>
      </c>
      <c r="I190" s="1">
        <v>550</v>
      </c>
      <c r="J190" s="1">
        <v>140</v>
      </c>
      <c r="K190" s="1">
        <v>400</v>
      </c>
      <c r="L190">
        <v>7.15</v>
      </c>
      <c r="M1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28640</v>
      </c>
      <c r="N190" s="1">
        <f>International_Education_Costs[[#This Row],[Total_Cost]]/International_Education_Costs[[#This Row],[Duration_Years]]</f>
        <v>9546.6666666666661</v>
      </c>
      <c r="O190" s="1">
        <f>International_Education_Costs[[#This Row],[Rent_USD]] * 12 * International_Education_Costs[[#This Row],[Duration_Years]]</f>
        <v>19800</v>
      </c>
      <c r="P190" s="1">
        <f>International_Education_Costs[[#This Row],[Total_Cost]]-International_Education_Costs[[#This Row],[Tuition_USD]]</f>
        <v>21140</v>
      </c>
      <c r="Q190" s="2">
        <f>International_Education_Costs[[#This Row],[Tuition_USD]]/International_Education_Costs[[#This Row],[Total_Cost]]</f>
        <v>0.26187150837988826</v>
      </c>
    </row>
    <row r="191" spans="1:17" x14ac:dyDescent="0.25">
      <c r="A191" t="s">
        <v>60</v>
      </c>
      <c r="B191" t="s">
        <v>463</v>
      </c>
      <c r="C191" t="s">
        <v>464</v>
      </c>
      <c r="D191" t="s">
        <v>223</v>
      </c>
      <c r="E191" t="s">
        <v>16</v>
      </c>
      <c r="F191">
        <v>3</v>
      </c>
      <c r="G191" s="1">
        <v>7200</v>
      </c>
      <c r="H191">
        <v>44.1</v>
      </c>
      <c r="I191" s="1">
        <v>500</v>
      </c>
      <c r="J191" s="1">
        <v>140</v>
      </c>
      <c r="K191" s="1">
        <v>400</v>
      </c>
      <c r="L191">
        <v>7.15</v>
      </c>
      <c r="M1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26540</v>
      </c>
      <c r="N191" s="1">
        <f>International_Education_Costs[[#This Row],[Total_Cost]]/International_Education_Costs[[#This Row],[Duration_Years]]</f>
        <v>8846.6666666666661</v>
      </c>
      <c r="O191" s="1">
        <f>International_Education_Costs[[#This Row],[Rent_USD]] * 12 * International_Education_Costs[[#This Row],[Duration_Years]]</f>
        <v>18000</v>
      </c>
      <c r="P191" s="1">
        <f>International_Education_Costs[[#This Row],[Total_Cost]]-International_Education_Costs[[#This Row],[Tuition_USD]]</f>
        <v>19340</v>
      </c>
      <c r="Q191" s="2">
        <f>International_Education_Costs[[#This Row],[Tuition_USD]]/International_Education_Costs[[#This Row],[Total_Cost]]</f>
        <v>0.27128862094951017</v>
      </c>
    </row>
    <row r="192" spans="1:17" x14ac:dyDescent="0.25">
      <c r="A192" t="s">
        <v>60</v>
      </c>
      <c r="B192" t="s">
        <v>465</v>
      </c>
      <c r="C192" t="s">
        <v>466</v>
      </c>
      <c r="D192" t="s">
        <v>15</v>
      </c>
      <c r="E192" t="s">
        <v>16</v>
      </c>
      <c r="F192">
        <v>3</v>
      </c>
      <c r="G192" s="1">
        <v>6900</v>
      </c>
      <c r="H192">
        <v>43.8</v>
      </c>
      <c r="I192" s="1">
        <v>480</v>
      </c>
      <c r="J192" s="1">
        <v>140</v>
      </c>
      <c r="K192" s="1">
        <v>400</v>
      </c>
      <c r="L192">
        <v>7.15</v>
      </c>
      <c r="M1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25520</v>
      </c>
      <c r="N192" s="1">
        <f>International_Education_Costs[[#This Row],[Total_Cost]]/International_Education_Costs[[#This Row],[Duration_Years]]</f>
        <v>8506.6666666666661</v>
      </c>
      <c r="O192" s="1">
        <f>International_Education_Costs[[#This Row],[Rent_USD]] * 12 * International_Education_Costs[[#This Row],[Duration_Years]]</f>
        <v>17280</v>
      </c>
      <c r="P192" s="1">
        <f>International_Education_Costs[[#This Row],[Total_Cost]]-International_Education_Costs[[#This Row],[Tuition_USD]]</f>
        <v>18620</v>
      </c>
      <c r="Q192" s="2">
        <f>International_Education_Costs[[#This Row],[Tuition_USD]]/International_Education_Costs[[#This Row],[Total_Cost]]</f>
        <v>0.27037617554858934</v>
      </c>
    </row>
    <row r="193" spans="1:17" x14ac:dyDescent="0.25">
      <c r="A193" t="s">
        <v>60</v>
      </c>
      <c r="B193" t="s">
        <v>467</v>
      </c>
      <c r="C193" t="s">
        <v>468</v>
      </c>
      <c r="D193" t="s">
        <v>208</v>
      </c>
      <c r="E193" t="s">
        <v>16</v>
      </c>
      <c r="F193">
        <v>3</v>
      </c>
      <c r="G193" s="1">
        <v>6500</v>
      </c>
      <c r="H193">
        <v>41.2</v>
      </c>
      <c r="I193" s="1">
        <v>450</v>
      </c>
      <c r="J193" s="1">
        <v>140</v>
      </c>
      <c r="K193" s="1">
        <v>400</v>
      </c>
      <c r="L193">
        <v>7.15</v>
      </c>
      <c r="M1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24040</v>
      </c>
      <c r="N193" s="1">
        <f>International_Education_Costs[[#This Row],[Total_Cost]]/International_Education_Costs[[#This Row],[Duration_Years]]</f>
        <v>8013.333333333333</v>
      </c>
      <c r="O193" s="1">
        <f>International_Education_Costs[[#This Row],[Rent_USD]] * 12 * International_Education_Costs[[#This Row],[Duration_Years]]</f>
        <v>16200</v>
      </c>
      <c r="P193" s="1">
        <f>International_Education_Costs[[#This Row],[Total_Cost]]-International_Education_Costs[[#This Row],[Tuition_USD]]</f>
        <v>17540</v>
      </c>
      <c r="Q193" s="2">
        <f>International_Education_Costs[[#This Row],[Tuition_USD]]/International_Education_Costs[[#This Row],[Total_Cost]]</f>
        <v>0.2703826955074875</v>
      </c>
    </row>
    <row r="194" spans="1:17" x14ac:dyDescent="0.25">
      <c r="A194" t="s">
        <v>60</v>
      </c>
      <c r="B194" t="s">
        <v>469</v>
      </c>
      <c r="C194" t="s">
        <v>470</v>
      </c>
      <c r="D194" t="s">
        <v>20</v>
      </c>
      <c r="E194" t="s">
        <v>16</v>
      </c>
      <c r="F194">
        <v>3</v>
      </c>
      <c r="G194" s="1">
        <v>6300</v>
      </c>
      <c r="H194">
        <v>40.5</v>
      </c>
      <c r="I194" s="1">
        <v>420</v>
      </c>
      <c r="J194" s="1">
        <v>140</v>
      </c>
      <c r="K194" s="1">
        <v>400</v>
      </c>
      <c r="L194">
        <v>7.15</v>
      </c>
      <c r="M1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22760</v>
      </c>
      <c r="N194" s="1">
        <f>International_Education_Costs[[#This Row],[Total_Cost]]/International_Education_Costs[[#This Row],[Duration_Years]]</f>
        <v>7586.666666666667</v>
      </c>
      <c r="O194" s="1">
        <f>International_Education_Costs[[#This Row],[Rent_USD]] * 12 * International_Education_Costs[[#This Row],[Duration_Years]]</f>
        <v>15120</v>
      </c>
      <c r="P194" s="1">
        <f>International_Education_Costs[[#This Row],[Total_Cost]]-International_Education_Costs[[#This Row],[Tuition_USD]]</f>
        <v>16460</v>
      </c>
      <c r="Q194" s="2">
        <f>International_Education_Costs[[#This Row],[Tuition_USD]]/International_Education_Costs[[#This Row],[Total_Cost]]</f>
        <v>0.27680140597539543</v>
      </c>
    </row>
    <row r="195" spans="1:17" x14ac:dyDescent="0.25">
      <c r="A195" t="s">
        <v>60</v>
      </c>
      <c r="B195" t="s">
        <v>471</v>
      </c>
      <c r="C195" t="s">
        <v>472</v>
      </c>
      <c r="D195" t="s">
        <v>63</v>
      </c>
      <c r="E195" t="s">
        <v>16</v>
      </c>
      <c r="F195">
        <v>3</v>
      </c>
      <c r="G195" s="1">
        <v>6100</v>
      </c>
      <c r="H195">
        <v>39.799999999999997</v>
      </c>
      <c r="I195" s="1">
        <v>400</v>
      </c>
      <c r="J195" s="1">
        <v>140</v>
      </c>
      <c r="K195" s="1">
        <v>400</v>
      </c>
      <c r="L195">
        <v>7.15</v>
      </c>
      <c r="M1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21840</v>
      </c>
      <c r="N195" s="1">
        <f>International_Education_Costs[[#This Row],[Total_Cost]]/International_Education_Costs[[#This Row],[Duration_Years]]</f>
        <v>7280</v>
      </c>
      <c r="O195" s="1">
        <f>International_Education_Costs[[#This Row],[Rent_USD]] * 12 * International_Education_Costs[[#This Row],[Duration_Years]]</f>
        <v>14400</v>
      </c>
      <c r="P195" s="1">
        <f>International_Education_Costs[[#This Row],[Total_Cost]]-International_Education_Costs[[#This Row],[Tuition_USD]]</f>
        <v>15740</v>
      </c>
      <c r="Q195" s="2">
        <f>International_Education_Costs[[#This Row],[Tuition_USD]]/International_Education_Costs[[#This Row],[Total_Cost]]</f>
        <v>0.27930402930402931</v>
      </c>
    </row>
    <row r="196" spans="1:17" x14ac:dyDescent="0.25">
      <c r="A196" t="s">
        <v>64</v>
      </c>
      <c r="B196" t="s">
        <v>65</v>
      </c>
      <c r="C196" t="s">
        <v>66</v>
      </c>
      <c r="D196" t="s">
        <v>15</v>
      </c>
      <c r="E196" t="s">
        <v>16</v>
      </c>
      <c r="F196">
        <v>2</v>
      </c>
      <c r="G196" s="1">
        <v>7200</v>
      </c>
      <c r="H196">
        <v>85.1</v>
      </c>
      <c r="I196" s="1">
        <v>950</v>
      </c>
      <c r="J196" s="1">
        <v>90</v>
      </c>
      <c r="K196" s="1">
        <v>800</v>
      </c>
      <c r="L196">
        <v>1300</v>
      </c>
      <c r="M1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31690</v>
      </c>
      <c r="N196" s="1">
        <f>International_Education_Costs[[#This Row],[Total_Cost]]/International_Education_Costs[[#This Row],[Duration_Years]]</f>
        <v>15845</v>
      </c>
      <c r="O196" s="1">
        <f>International_Education_Costs[[#This Row],[Rent_USD]] * 12 * International_Education_Costs[[#This Row],[Duration_Years]]</f>
        <v>22800</v>
      </c>
      <c r="P196" s="1">
        <f>International_Education_Costs[[#This Row],[Total_Cost]]-International_Education_Costs[[#This Row],[Tuition_USD]]</f>
        <v>24490</v>
      </c>
      <c r="Q196" s="2">
        <f>International_Education_Costs[[#This Row],[Tuition_USD]]/International_Education_Costs[[#This Row],[Total_Cost]]</f>
        <v>0.22720100978226571</v>
      </c>
    </row>
    <row r="197" spans="1:17" x14ac:dyDescent="0.25">
      <c r="A197" t="s">
        <v>64</v>
      </c>
      <c r="B197" t="s">
        <v>65</v>
      </c>
      <c r="C197" t="s">
        <v>473</v>
      </c>
      <c r="D197" t="s">
        <v>40</v>
      </c>
      <c r="E197" t="s">
        <v>16</v>
      </c>
      <c r="F197">
        <v>2</v>
      </c>
      <c r="G197" s="1">
        <v>7000</v>
      </c>
      <c r="H197">
        <v>85.1</v>
      </c>
      <c r="I197" s="1">
        <v>920</v>
      </c>
      <c r="J197" s="1">
        <v>90</v>
      </c>
      <c r="K197" s="1">
        <v>800</v>
      </c>
      <c r="L197">
        <v>1300</v>
      </c>
      <c r="M1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30770</v>
      </c>
      <c r="N197" s="1">
        <f>International_Education_Costs[[#This Row],[Total_Cost]]/International_Education_Costs[[#This Row],[Duration_Years]]</f>
        <v>15385</v>
      </c>
      <c r="O197" s="1">
        <f>International_Education_Costs[[#This Row],[Rent_USD]] * 12 * International_Education_Costs[[#This Row],[Duration_Years]]</f>
        <v>22080</v>
      </c>
      <c r="P197" s="1">
        <f>International_Education_Costs[[#This Row],[Total_Cost]]-International_Education_Costs[[#This Row],[Tuition_USD]]</f>
        <v>23770</v>
      </c>
      <c r="Q197" s="2">
        <f>International_Education_Costs[[#This Row],[Tuition_USD]]/International_Education_Costs[[#This Row],[Total_Cost]]</f>
        <v>0.22749431264218395</v>
      </c>
    </row>
    <row r="198" spans="1:17" x14ac:dyDescent="0.25">
      <c r="A198" t="s">
        <v>64</v>
      </c>
      <c r="B198" t="s">
        <v>65</v>
      </c>
      <c r="C198" t="s">
        <v>474</v>
      </c>
      <c r="D198" t="s">
        <v>20</v>
      </c>
      <c r="E198" t="s">
        <v>16</v>
      </c>
      <c r="F198">
        <v>2</v>
      </c>
      <c r="G198" s="1">
        <v>6900</v>
      </c>
      <c r="H198">
        <v>85.1</v>
      </c>
      <c r="I198" s="1">
        <v>900</v>
      </c>
      <c r="J198" s="1">
        <v>90</v>
      </c>
      <c r="K198" s="1">
        <v>800</v>
      </c>
      <c r="L198">
        <v>1300</v>
      </c>
      <c r="M1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30190</v>
      </c>
      <c r="N198" s="1">
        <f>International_Education_Costs[[#This Row],[Total_Cost]]/International_Education_Costs[[#This Row],[Duration_Years]]</f>
        <v>15095</v>
      </c>
      <c r="O198" s="1">
        <f>International_Education_Costs[[#This Row],[Rent_USD]] * 12 * International_Education_Costs[[#This Row],[Duration_Years]]</f>
        <v>21600</v>
      </c>
      <c r="P198" s="1">
        <f>International_Education_Costs[[#This Row],[Total_Cost]]-International_Education_Costs[[#This Row],[Tuition_USD]]</f>
        <v>23290</v>
      </c>
      <c r="Q198" s="2">
        <f>International_Education_Costs[[#This Row],[Tuition_USD]]/International_Education_Costs[[#This Row],[Total_Cost]]</f>
        <v>0.22855250082808878</v>
      </c>
    </row>
    <row r="199" spans="1:17" x14ac:dyDescent="0.25">
      <c r="A199" t="s">
        <v>64</v>
      </c>
      <c r="B199" t="s">
        <v>65</v>
      </c>
      <c r="C199" t="s">
        <v>475</v>
      </c>
      <c r="D199" t="s">
        <v>208</v>
      </c>
      <c r="E199" t="s">
        <v>16</v>
      </c>
      <c r="F199">
        <v>2</v>
      </c>
      <c r="G199" s="1">
        <v>6500</v>
      </c>
      <c r="H199">
        <v>85.1</v>
      </c>
      <c r="I199" s="1">
        <v>850</v>
      </c>
      <c r="J199" s="1">
        <v>90</v>
      </c>
      <c r="K199" s="1">
        <v>800</v>
      </c>
      <c r="L199">
        <v>1300</v>
      </c>
      <c r="M1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28590</v>
      </c>
      <c r="N199" s="1">
        <f>International_Education_Costs[[#This Row],[Total_Cost]]/International_Education_Costs[[#This Row],[Duration_Years]]</f>
        <v>14295</v>
      </c>
      <c r="O199" s="1">
        <f>International_Education_Costs[[#This Row],[Rent_USD]] * 12 * International_Education_Costs[[#This Row],[Duration_Years]]</f>
        <v>20400</v>
      </c>
      <c r="P199" s="1">
        <f>International_Education_Costs[[#This Row],[Total_Cost]]-International_Education_Costs[[#This Row],[Tuition_USD]]</f>
        <v>22090</v>
      </c>
      <c r="Q199" s="2">
        <f>International_Education_Costs[[#This Row],[Tuition_USD]]/International_Education_Costs[[#This Row],[Total_Cost]]</f>
        <v>0.22735222105631339</v>
      </c>
    </row>
    <row r="200" spans="1:17" x14ac:dyDescent="0.25">
      <c r="A200" t="s">
        <v>64</v>
      </c>
      <c r="B200" t="s">
        <v>65</v>
      </c>
      <c r="C200" t="s">
        <v>476</v>
      </c>
      <c r="D200" t="s">
        <v>63</v>
      </c>
      <c r="E200" t="s">
        <v>16</v>
      </c>
      <c r="F200">
        <v>2</v>
      </c>
      <c r="G200" s="1">
        <v>6400</v>
      </c>
      <c r="H200">
        <v>85.1</v>
      </c>
      <c r="I200" s="1">
        <v>840</v>
      </c>
      <c r="J200" s="1">
        <v>90</v>
      </c>
      <c r="K200" s="1">
        <v>800</v>
      </c>
      <c r="L200">
        <v>1300</v>
      </c>
      <c r="M2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28250</v>
      </c>
      <c r="N200" s="1">
        <f>International_Education_Costs[[#This Row],[Total_Cost]]/International_Education_Costs[[#This Row],[Duration_Years]]</f>
        <v>14125</v>
      </c>
      <c r="O200" s="1">
        <f>International_Education_Costs[[#This Row],[Rent_USD]] * 12 * International_Education_Costs[[#This Row],[Duration_Years]]</f>
        <v>20160</v>
      </c>
      <c r="P200" s="1">
        <f>International_Education_Costs[[#This Row],[Total_Cost]]-International_Education_Costs[[#This Row],[Tuition_USD]]</f>
        <v>21850</v>
      </c>
      <c r="Q200" s="2">
        <f>International_Education_Costs[[#This Row],[Tuition_USD]]/International_Education_Costs[[#This Row],[Total_Cost]]</f>
        <v>0.22654867256637168</v>
      </c>
    </row>
    <row r="201" spans="1:17" x14ac:dyDescent="0.25">
      <c r="A201" t="s">
        <v>64</v>
      </c>
      <c r="B201" t="s">
        <v>166</v>
      </c>
      <c r="C201" t="s">
        <v>167</v>
      </c>
      <c r="D201" t="s">
        <v>477</v>
      </c>
      <c r="E201" t="s">
        <v>16</v>
      </c>
      <c r="F201">
        <v>2</v>
      </c>
      <c r="G201" s="1">
        <v>6800</v>
      </c>
      <c r="H201">
        <v>75.400000000000006</v>
      </c>
      <c r="I201" s="1">
        <v>700</v>
      </c>
      <c r="J201" s="1">
        <v>90</v>
      </c>
      <c r="K201" s="1">
        <v>800</v>
      </c>
      <c r="L201">
        <v>1300</v>
      </c>
      <c r="M2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25290</v>
      </c>
      <c r="N201" s="1">
        <f>International_Education_Costs[[#This Row],[Total_Cost]]/International_Education_Costs[[#This Row],[Duration_Years]]</f>
        <v>12645</v>
      </c>
      <c r="O201" s="1">
        <f>International_Education_Costs[[#This Row],[Rent_USD]] * 12 * International_Education_Costs[[#This Row],[Duration_Years]]</f>
        <v>16800</v>
      </c>
      <c r="P201" s="1">
        <f>International_Education_Costs[[#This Row],[Total_Cost]]-International_Education_Costs[[#This Row],[Tuition_USD]]</f>
        <v>18490</v>
      </c>
      <c r="Q201" s="2">
        <f>International_Education_Costs[[#This Row],[Tuition_USD]]/International_Education_Costs[[#This Row],[Total_Cost]]</f>
        <v>0.26888098062475285</v>
      </c>
    </row>
    <row r="202" spans="1:17" x14ac:dyDescent="0.25">
      <c r="A202" t="s">
        <v>64</v>
      </c>
      <c r="B202" t="s">
        <v>166</v>
      </c>
      <c r="C202" t="s">
        <v>478</v>
      </c>
      <c r="D202" t="s">
        <v>216</v>
      </c>
      <c r="E202" t="s">
        <v>16</v>
      </c>
      <c r="F202">
        <v>2</v>
      </c>
      <c r="G202" s="1">
        <v>5900</v>
      </c>
      <c r="H202">
        <v>75.400000000000006</v>
      </c>
      <c r="I202" s="1">
        <v>650</v>
      </c>
      <c r="J202" s="1">
        <v>90</v>
      </c>
      <c r="K202" s="1">
        <v>800</v>
      </c>
      <c r="L202">
        <v>1300</v>
      </c>
      <c r="M2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23190</v>
      </c>
      <c r="N202" s="1">
        <f>International_Education_Costs[[#This Row],[Total_Cost]]/International_Education_Costs[[#This Row],[Duration_Years]]</f>
        <v>11595</v>
      </c>
      <c r="O202" s="1">
        <f>International_Education_Costs[[#This Row],[Rent_USD]] * 12 * International_Education_Costs[[#This Row],[Duration_Years]]</f>
        <v>15600</v>
      </c>
      <c r="P202" s="1">
        <f>International_Education_Costs[[#This Row],[Total_Cost]]-International_Education_Costs[[#This Row],[Tuition_USD]]</f>
        <v>17290</v>
      </c>
      <c r="Q202" s="2">
        <f>International_Education_Costs[[#This Row],[Tuition_USD]]/International_Education_Costs[[#This Row],[Total_Cost]]</f>
        <v>0.25442000862440706</v>
      </c>
    </row>
    <row r="203" spans="1:17" x14ac:dyDescent="0.25">
      <c r="A203" t="s">
        <v>64</v>
      </c>
      <c r="B203" t="s">
        <v>72</v>
      </c>
      <c r="C203" t="s">
        <v>73</v>
      </c>
      <c r="D203" t="s">
        <v>15</v>
      </c>
      <c r="E203" t="s">
        <v>16</v>
      </c>
      <c r="F203">
        <v>2</v>
      </c>
      <c r="G203" s="1">
        <v>5800</v>
      </c>
      <c r="H203">
        <v>73.2</v>
      </c>
      <c r="I203" s="1">
        <v>600</v>
      </c>
      <c r="J203" s="1">
        <v>90</v>
      </c>
      <c r="K203" s="1">
        <v>800</v>
      </c>
      <c r="L203">
        <v>1300</v>
      </c>
      <c r="M2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21890</v>
      </c>
      <c r="N203" s="1">
        <f>International_Education_Costs[[#This Row],[Total_Cost]]/International_Education_Costs[[#This Row],[Duration_Years]]</f>
        <v>10945</v>
      </c>
      <c r="O203" s="1">
        <f>International_Education_Costs[[#This Row],[Rent_USD]] * 12 * International_Education_Costs[[#This Row],[Duration_Years]]</f>
        <v>14400</v>
      </c>
      <c r="P203" s="1">
        <f>International_Education_Costs[[#This Row],[Total_Cost]]-International_Education_Costs[[#This Row],[Tuition_USD]]</f>
        <v>16090</v>
      </c>
      <c r="Q203" s="2">
        <f>International_Education_Costs[[#This Row],[Tuition_USD]]/International_Education_Costs[[#This Row],[Total_Cost]]</f>
        <v>0.26496116948378257</v>
      </c>
    </row>
    <row r="204" spans="1:17" x14ac:dyDescent="0.25">
      <c r="A204" t="s">
        <v>64</v>
      </c>
      <c r="B204" t="s">
        <v>72</v>
      </c>
      <c r="C204" t="s">
        <v>479</v>
      </c>
      <c r="D204" t="s">
        <v>208</v>
      </c>
      <c r="E204" t="s">
        <v>16</v>
      </c>
      <c r="F204">
        <v>2</v>
      </c>
      <c r="G204" s="1">
        <v>5600</v>
      </c>
      <c r="H204">
        <v>73.2</v>
      </c>
      <c r="I204" s="1">
        <v>580</v>
      </c>
      <c r="J204" s="1">
        <v>90</v>
      </c>
      <c r="K204" s="1">
        <v>800</v>
      </c>
      <c r="L204">
        <v>1300</v>
      </c>
      <c r="M2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21210</v>
      </c>
      <c r="N204" s="1">
        <f>International_Education_Costs[[#This Row],[Total_Cost]]/International_Education_Costs[[#This Row],[Duration_Years]]</f>
        <v>10605</v>
      </c>
      <c r="O204" s="1">
        <f>International_Education_Costs[[#This Row],[Rent_USD]] * 12 * International_Education_Costs[[#This Row],[Duration_Years]]</f>
        <v>13920</v>
      </c>
      <c r="P204" s="1">
        <f>International_Education_Costs[[#This Row],[Total_Cost]]-International_Education_Costs[[#This Row],[Tuition_USD]]</f>
        <v>15610</v>
      </c>
      <c r="Q204" s="2">
        <f>International_Education_Costs[[#This Row],[Tuition_USD]]/International_Education_Costs[[#This Row],[Total_Cost]]</f>
        <v>0.264026402640264</v>
      </c>
    </row>
    <row r="205" spans="1:17" x14ac:dyDescent="0.25">
      <c r="A205" t="s">
        <v>64</v>
      </c>
      <c r="B205" t="s">
        <v>480</v>
      </c>
      <c r="C205" t="s">
        <v>481</v>
      </c>
      <c r="D205" t="s">
        <v>71</v>
      </c>
      <c r="E205" t="s">
        <v>16</v>
      </c>
      <c r="F205">
        <v>2</v>
      </c>
      <c r="G205" s="1">
        <v>5500</v>
      </c>
      <c r="H205">
        <v>71.8</v>
      </c>
      <c r="I205" s="1">
        <v>550</v>
      </c>
      <c r="J205" s="1">
        <v>90</v>
      </c>
      <c r="K205" s="1">
        <v>800</v>
      </c>
      <c r="L205">
        <v>1300</v>
      </c>
      <c r="M2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20390</v>
      </c>
      <c r="N205" s="1">
        <f>International_Education_Costs[[#This Row],[Total_Cost]]/International_Education_Costs[[#This Row],[Duration_Years]]</f>
        <v>10195</v>
      </c>
      <c r="O205" s="1">
        <f>International_Education_Costs[[#This Row],[Rent_USD]] * 12 * International_Education_Costs[[#This Row],[Duration_Years]]</f>
        <v>13200</v>
      </c>
      <c r="P205" s="1">
        <f>International_Education_Costs[[#This Row],[Total_Cost]]-International_Education_Costs[[#This Row],[Tuition_USD]]</f>
        <v>14890</v>
      </c>
      <c r="Q205" s="2">
        <f>International_Education_Costs[[#This Row],[Tuition_USD]]/International_Education_Costs[[#This Row],[Total_Cost]]</f>
        <v>0.26974006866110839</v>
      </c>
    </row>
    <row r="206" spans="1:17" x14ac:dyDescent="0.25">
      <c r="A206" t="s">
        <v>64</v>
      </c>
      <c r="B206" t="s">
        <v>480</v>
      </c>
      <c r="C206" t="s">
        <v>482</v>
      </c>
      <c r="D206" t="s">
        <v>63</v>
      </c>
      <c r="E206" t="s">
        <v>16</v>
      </c>
      <c r="F206">
        <v>2</v>
      </c>
      <c r="G206" s="1">
        <v>5400</v>
      </c>
      <c r="H206">
        <v>71.8</v>
      </c>
      <c r="I206" s="1">
        <v>530</v>
      </c>
      <c r="J206" s="1">
        <v>90</v>
      </c>
      <c r="K206" s="1">
        <v>800</v>
      </c>
      <c r="L206">
        <v>1300</v>
      </c>
      <c r="M2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19810</v>
      </c>
      <c r="N206" s="1">
        <f>International_Education_Costs[[#This Row],[Total_Cost]]/International_Education_Costs[[#This Row],[Duration_Years]]</f>
        <v>9905</v>
      </c>
      <c r="O206" s="1">
        <f>International_Education_Costs[[#This Row],[Rent_USD]] * 12 * International_Education_Costs[[#This Row],[Duration_Years]]</f>
        <v>12720</v>
      </c>
      <c r="P206" s="1">
        <f>International_Education_Costs[[#This Row],[Total_Cost]]-International_Education_Costs[[#This Row],[Tuition_USD]]</f>
        <v>14410</v>
      </c>
      <c r="Q206" s="2">
        <f>International_Education_Costs[[#This Row],[Tuition_USD]]/International_Education_Costs[[#This Row],[Total_Cost]]</f>
        <v>0.27258960121150932</v>
      </c>
    </row>
    <row r="207" spans="1:17" x14ac:dyDescent="0.25">
      <c r="A207" t="s">
        <v>64</v>
      </c>
      <c r="B207" t="s">
        <v>483</v>
      </c>
      <c r="C207" t="s">
        <v>484</v>
      </c>
      <c r="D207" t="s">
        <v>223</v>
      </c>
      <c r="E207" t="s">
        <v>16</v>
      </c>
      <c r="F207">
        <v>2</v>
      </c>
      <c r="G207" s="1">
        <v>5300</v>
      </c>
      <c r="H207">
        <v>70.5</v>
      </c>
      <c r="I207" s="1">
        <v>520</v>
      </c>
      <c r="J207" s="1">
        <v>90</v>
      </c>
      <c r="K207" s="1">
        <v>800</v>
      </c>
      <c r="L207">
        <v>1300</v>
      </c>
      <c r="M2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19470</v>
      </c>
      <c r="N207" s="1">
        <f>International_Education_Costs[[#This Row],[Total_Cost]]/International_Education_Costs[[#This Row],[Duration_Years]]</f>
        <v>9735</v>
      </c>
      <c r="O207" s="1">
        <f>International_Education_Costs[[#This Row],[Rent_USD]] * 12 * International_Education_Costs[[#This Row],[Duration_Years]]</f>
        <v>12480</v>
      </c>
      <c r="P207" s="1">
        <f>International_Education_Costs[[#This Row],[Total_Cost]]-International_Education_Costs[[#This Row],[Tuition_USD]]</f>
        <v>14170</v>
      </c>
      <c r="Q207" s="2">
        <f>International_Education_Costs[[#This Row],[Tuition_USD]]/International_Education_Costs[[#This Row],[Total_Cost]]</f>
        <v>0.27221366204417052</v>
      </c>
    </row>
    <row r="208" spans="1:17" x14ac:dyDescent="0.25">
      <c r="A208" t="s">
        <v>64</v>
      </c>
      <c r="B208" t="s">
        <v>483</v>
      </c>
      <c r="C208" t="s">
        <v>485</v>
      </c>
      <c r="D208" t="s">
        <v>15</v>
      </c>
      <c r="E208" t="s">
        <v>16</v>
      </c>
      <c r="F208">
        <v>2</v>
      </c>
      <c r="G208" s="1">
        <v>5200</v>
      </c>
      <c r="H208">
        <v>70.5</v>
      </c>
      <c r="I208" s="1">
        <v>500</v>
      </c>
      <c r="J208" s="1">
        <v>90</v>
      </c>
      <c r="K208" s="1">
        <v>800</v>
      </c>
      <c r="L208">
        <v>1300</v>
      </c>
      <c r="M2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18890</v>
      </c>
      <c r="N208" s="1">
        <f>International_Education_Costs[[#This Row],[Total_Cost]]/International_Education_Costs[[#This Row],[Duration_Years]]</f>
        <v>9445</v>
      </c>
      <c r="O208" s="1">
        <f>International_Education_Costs[[#This Row],[Rent_USD]] * 12 * International_Education_Costs[[#This Row],[Duration_Years]]</f>
        <v>12000</v>
      </c>
      <c r="P208" s="1">
        <f>International_Education_Costs[[#This Row],[Total_Cost]]-International_Education_Costs[[#This Row],[Tuition_USD]]</f>
        <v>13690</v>
      </c>
      <c r="Q208" s="2">
        <f>International_Education_Costs[[#This Row],[Tuition_USD]]/International_Education_Costs[[#This Row],[Total_Cost]]</f>
        <v>0.27527792482795127</v>
      </c>
    </row>
    <row r="209" spans="1:17" x14ac:dyDescent="0.25">
      <c r="A209" t="s">
        <v>64</v>
      </c>
      <c r="B209" t="s">
        <v>486</v>
      </c>
      <c r="C209" t="s">
        <v>487</v>
      </c>
      <c r="D209" t="s">
        <v>488</v>
      </c>
      <c r="E209" t="s">
        <v>16</v>
      </c>
      <c r="F209">
        <v>2</v>
      </c>
      <c r="G209" s="1">
        <v>6100</v>
      </c>
      <c r="H209">
        <v>72.3</v>
      </c>
      <c r="I209" s="1">
        <v>580</v>
      </c>
      <c r="J209" s="1">
        <v>90</v>
      </c>
      <c r="K209" s="1">
        <v>800</v>
      </c>
      <c r="L209">
        <v>1300</v>
      </c>
      <c r="M2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21710</v>
      </c>
      <c r="N209" s="1">
        <f>International_Education_Costs[[#This Row],[Total_Cost]]/International_Education_Costs[[#This Row],[Duration_Years]]</f>
        <v>10855</v>
      </c>
      <c r="O209" s="1">
        <f>International_Education_Costs[[#This Row],[Rent_USD]] * 12 * International_Education_Costs[[#This Row],[Duration_Years]]</f>
        <v>13920</v>
      </c>
      <c r="P209" s="1">
        <f>International_Education_Costs[[#This Row],[Total_Cost]]-International_Education_Costs[[#This Row],[Tuition_USD]]</f>
        <v>15610</v>
      </c>
      <c r="Q209" s="2">
        <f>International_Education_Costs[[#This Row],[Tuition_USD]]/International_Education_Costs[[#This Row],[Total_Cost]]</f>
        <v>0.2809765085214187</v>
      </c>
    </row>
    <row r="210" spans="1:17" x14ac:dyDescent="0.25">
      <c r="A210" t="s">
        <v>64</v>
      </c>
      <c r="B210" t="s">
        <v>486</v>
      </c>
      <c r="C210" t="s">
        <v>489</v>
      </c>
      <c r="D210" t="s">
        <v>261</v>
      </c>
      <c r="E210" t="s">
        <v>16</v>
      </c>
      <c r="F210">
        <v>2</v>
      </c>
      <c r="G210" s="1">
        <v>5100</v>
      </c>
      <c r="H210">
        <v>72.3</v>
      </c>
      <c r="I210" s="1">
        <v>550</v>
      </c>
      <c r="J210" s="1">
        <v>90</v>
      </c>
      <c r="K210" s="1">
        <v>800</v>
      </c>
      <c r="L210">
        <v>1300</v>
      </c>
      <c r="M2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19990</v>
      </c>
      <c r="N210" s="1">
        <f>International_Education_Costs[[#This Row],[Total_Cost]]/International_Education_Costs[[#This Row],[Duration_Years]]</f>
        <v>9995</v>
      </c>
      <c r="O210" s="1">
        <f>International_Education_Costs[[#This Row],[Rent_USD]] * 12 * International_Education_Costs[[#This Row],[Duration_Years]]</f>
        <v>13200</v>
      </c>
      <c r="P210" s="1">
        <f>International_Education_Costs[[#This Row],[Total_Cost]]-International_Education_Costs[[#This Row],[Tuition_USD]]</f>
        <v>14890</v>
      </c>
      <c r="Q210" s="2">
        <f>International_Education_Costs[[#This Row],[Tuition_USD]]/International_Education_Costs[[#This Row],[Total_Cost]]</f>
        <v>0.25512756378189094</v>
      </c>
    </row>
    <row r="211" spans="1:17" x14ac:dyDescent="0.25">
      <c r="A211" t="s">
        <v>64</v>
      </c>
      <c r="B211" t="s">
        <v>490</v>
      </c>
      <c r="C211" t="s">
        <v>491</v>
      </c>
      <c r="D211" t="s">
        <v>63</v>
      </c>
      <c r="E211" t="s">
        <v>16</v>
      </c>
      <c r="F211">
        <v>2</v>
      </c>
      <c r="G211" s="1">
        <v>6300</v>
      </c>
      <c r="H211">
        <v>71.2</v>
      </c>
      <c r="I211" s="1">
        <v>570</v>
      </c>
      <c r="J211" s="1">
        <v>90</v>
      </c>
      <c r="K211" s="1">
        <v>800</v>
      </c>
      <c r="L211">
        <v>1300</v>
      </c>
      <c r="M2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21670</v>
      </c>
      <c r="N211" s="1">
        <f>International_Education_Costs[[#This Row],[Total_Cost]]/International_Education_Costs[[#This Row],[Duration_Years]]</f>
        <v>10835</v>
      </c>
      <c r="O211" s="1">
        <f>International_Education_Costs[[#This Row],[Rent_USD]] * 12 * International_Education_Costs[[#This Row],[Duration_Years]]</f>
        <v>13680</v>
      </c>
      <c r="P211" s="1">
        <f>International_Education_Costs[[#This Row],[Total_Cost]]-International_Education_Costs[[#This Row],[Tuition_USD]]</f>
        <v>15370</v>
      </c>
      <c r="Q211" s="2">
        <f>International_Education_Costs[[#This Row],[Tuition_USD]]/International_Education_Costs[[#This Row],[Total_Cost]]</f>
        <v>0.29072450392247345</v>
      </c>
    </row>
    <row r="212" spans="1:17" x14ac:dyDescent="0.25">
      <c r="A212" t="s">
        <v>64</v>
      </c>
      <c r="B212" t="s">
        <v>492</v>
      </c>
      <c r="C212" t="s">
        <v>493</v>
      </c>
      <c r="D212" t="s">
        <v>20</v>
      </c>
      <c r="E212" t="s">
        <v>16</v>
      </c>
      <c r="F212">
        <v>2</v>
      </c>
      <c r="G212" s="1">
        <v>5000</v>
      </c>
      <c r="H212">
        <v>76.400000000000006</v>
      </c>
      <c r="I212" s="1">
        <v>600</v>
      </c>
      <c r="J212" s="1">
        <v>90</v>
      </c>
      <c r="K212" s="1">
        <v>800</v>
      </c>
      <c r="L212">
        <v>1300</v>
      </c>
      <c r="M2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21090</v>
      </c>
      <c r="N212" s="1">
        <f>International_Education_Costs[[#This Row],[Total_Cost]]/International_Education_Costs[[#This Row],[Duration_Years]]</f>
        <v>10545</v>
      </c>
      <c r="O212" s="1">
        <f>International_Education_Costs[[#This Row],[Rent_USD]] * 12 * International_Education_Costs[[#This Row],[Duration_Years]]</f>
        <v>14400</v>
      </c>
      <c r="P212" s="1">
        <f>International_Education_Costs[[#This Row],[Total_Cost]]-International_Education_Costs[[#This Row],[Tuition_USD]]</f>
        <v>16090</v>
      </c>
      <c r="Q212" s="2">
        <f>International_Education_Costs[[#This Row],[Tuition_USD]]/International_Education_Costs[[#This Row],[Total_Cost]]</f>
        <v>0.23707918444760551</v>
      </c>
    </row>
    <row r="213" spans="1:17" x14ac:dyDescent="0.25">
      <c r="A213" t="s">
        <v>64</v>
      </c>
      <c r="B213" t="s">
        <v>494</v>
      </c>
      <c r="C213" t="s">
        <v>495</v>
      </c>
      <c r="D213" t="s">
        <v>496</v>
      </c>
      <c r="E213" t="s">
        <v>16</v>
      </c>
      <c r="F213">
        <v>2</v>
      </c>
      <c r="G213" s="1">
        <v>5900</v>
      </c>
      <c r="H213">
        <v>77.8</v>
      </c>
      <c r="I213" s="1">
        <v>650</v>
      </c>
      <c r="J213" s="1">
        <v>90</v>
      </c>
      <c r="K213" s="1">
        <v>800</v>
      </c>
      <c r="L213">
        <v>1300</v>
      </c>
      <c r="M2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23190</v>
      </c>
      <c r="N213" s="1">
        <f>International_Education_Costs[[#This Row],[Total_Cost]]/International_Education_Costs[[#This Row],[Duration_Years]]</f>
        <v>11595</v>
      </c>
      <c r="O213" s="1">
        <f>International_Education_Costs[[#This Row],[Rent_USD]] * 12 * International_Education_Costs[[#This Row],[Duration_Years]]</f>
        <v>15600</v>
      </c>
      <c r="P213" s="1">
        <f>International_Education_Costs[[#This Row],[Total_Cost]]-International_Education_Costs[[#This Row],[Tuition_USD]]</f>
        <v>17290</v>
      </c>
      <c r="Q213" s="2">
        <f>International_Education_Costs[[#This Row],[Tuition_USD]]/International_Education_Costs[[#This Row],[Total_Cost]]</f>
        <v>0.25442000862440706</v>
      </c>
    </row>
    <row r="214" spans="1:17" x14ac:dyDescent="0.25">
      <c r="A214" t="s">
        <v>64</v>
      </c>
      <c r="B214" t="s">
        <v>166</v>
      </c>
      <c r="C214" t="s">
        <v>497</v>
      </c>
      <c r="D214" t="s">
        <v>498</v>
      </c>
      <c r="E214" t="s">
        <v>16</v>
      </c>
      <c r="F214">
        <v>2</v>
      </c>
      <c r="G214" s="1">
        <v>4900</v>
      </c>
      <c r="H214">
        <v>75.400000000000006</v>
      </c>
      <c r="I214" s="1">
        <v>540</v>
      </c>
      <c r="J214" s="1">
        <v>90</v>
      </c>
      <c r="K214" s="1">
        <v>800</v>
      </c>
      <c r="L214">
        <v>1300</v>
      </c>
      <c r="M2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19550</v>
      </c>
      <c r="N214" s="1">
        <f>International_Education_Costs[[#This Row],[Total_Cost]]/International_Education_Costs[[#This Row],[Duration_Years]]</f>
        <v>9775</v>
      </c>
      <c r="O214" s="1">
        <f>International_Education_Costs[[#This Row],[Rent_USD]] * 12 * International_Education_Costs[[#This Row],[Duration_Years]]</f>
        <v>12960</v>
      </c>
      <c r="P214" s="1">
        <f>International_Education_Costs[[#This Row],[Total_Cost]]-International_Education_Costs[[#This Row],[Tuition_USD]]</f>
        <v>14650</v>
      </c>
      <c r="Q214" s="2">
        <f>International_Education_Costs[[#This Row],[Tuition_USD]]/International_Education_Costs[[#This Row],[Total_Cost]]</f>
        <v>0.2506393861892583</v>
      </c>
    </row>
    <row r="215" spans="1:17" x14ac:dyDescent="0.25">
      <c r="A215" t="s">
        <v>64</v>
      </c>
      <c r="B215" t="s">
        <v>499</v>
      </c>
      <c r="C215" t="s">
        <v>500</v>
      </c>
      <c r="D215" t="s">
        <v>501</v>
      </c>
      <c r="E215" t="s">
        <v>16</v>
      </c>
      <c r="F215">
        <v>2</v>
      </c>
      <c r="G215" s="1">
        <v>4800</v>
      </c>
      <c r="H215">
        <v>70.099999999999994</v>
      </c>
      <c r="I215" s="1">
        <v>520</v>
      </c>
      <c r="J215" s="1">
        <v>90</v>
      </c>
      <c r="K215" s="1">
        <v>800</v>
      </c>
      <c r="L215">
        <v>1300</v>
      </c>
      <c r="M2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18970</v>
      </c>
      <c r="N215" s="1">
        <f>International_Education_Costs[[#This Row],[Total_Cost]]/International_Education_Costs[[#This Row],[Duration_Years]]</f>
        <v>9485</v>
      </c>
      <c r="O215" s="1">
        <f>International_Education_Costs[[#This Row],[Rent_USD]] * 12 * International_Education_Costs[[#This Row],[Duration_Years]]</f>
        <v>12480</v>
      </c>
      <c r="P215" s="1">
        <f>International_Education_Costs[[#This Row],[Total_Cost]]-International_Education_Costs[[#This Row],[Tuition_USD]]</f>
        <v>14170</v>
      </c>
      <c r="Q215" s="2">
        <f>International_Education_Costs[[#This Row],[Tuition_USD]]/International_Education_Costs[[#This Row],[Total_Cost]]</f>
        <v>0.25303110173958882</v>
      </c>
    </row>
    <row r="216" spans="1:17" x14ac:dyDescent="0.25">
      <c r="A216" t="s">
        <v>12</v>
      </c>
      <c r="B216" t="s">
        <v>120</v>
      </c>
      <c r="C216" t="s">
        <v>121</v>
      </c>
      <c r="D216" t="s">
        <v>15</v>
      </c>
      <c r="E216" t="s">
        <v>75</v>
      </c>
      <c r="F216">
        <v>4</v>
      </c>
      <c r="G216" s="1">
        <v>57000</v>
      </c>
      <c r="H216">
        <v>95.2</v>
      </c>
      <c r="I216" s="1">
        <v>2400</v>
      </c>
      <c r="J216" s="1">
        <v>160</v>
      </c>
      <c r="K216" s="1">
        <v>1500</v>
      </c>
      <c r="L216">
        <v>1</v>
      </c>
      <c r="M2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178360</v>
      </c>
      <c r="N216" s="1">
        <f>International_Education_Costs[[#This Row],[Total_Cost]]/International_Education_Costs[[#This Row],[Duration_Years]]</f>
        <v>44590</v>
      </c>
      <c r="O216" s="1">
        <f>International_Education_Costs[[#This Row],[Rent_USD]] * 12 * International_Education_Costs[[#This Row],[Duration_Years]]</f>
        <v>115200</v>
      </c>
      <c r="P216" s="1">
        <f>International_Education_Costs[[#This Row],[Total_Cost]]-International_Education_Costs[[#This Row],[Tuition_USD]]</f>
        <v>121360</v>
      </c>
      <c r="Q216" s="2">
        <f>International_Education_Costs[[#This Row],[Tuition_USD]]/International_Education_Costs[[#This Row],[Total_Cost]]</f>
        <v>0.3195783808028706</v>
      </c>
    </row>
    <row r="217" spans="1:17" x14ac:dyDescent="0.25">
      <c r="A217" t="s">
        <v>12</v>
      </c>
      <c r="B217" t="s">
        <v>13</v>
      </c>
      <c r="C217" t="s">
        <v>124</v>
      </c>
      <c r="D217" t="s">
        <v>15</v>
      </c>
      <c r="E217" t="s">
        <v>75</v>
      </c>
      <c r="F217">
        <v>4</v>
      </c>
      <c r="G217" s="1">
        <v>55800</v>
      </c>
      <c r="H217">
        <v>83.5</v>
      </c>
      <c r="I217" s="1">
        <v>2300</v>
      </c>
      <c r="J217" s="1">
        <v>160</v>
      </c>
      <c r="K217" s="1">
        <v>1500</v>
      </c>
      <c r="L217">
        <v>1</v>
      </c>
      <c r="M2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172360</v>
      </c>
      <c r="N217" s="1">
        <f>International_Education_Costs[[#This Row],[Total_Cost]]/International_Education_Costs[[#This Row],[Duration_Years]]</f>
        <v>43090</v>
      </c>
      <c r="O217" s="1">
        <f>International_Education_Costs[[#This Row],[Rent_USD]] * 12 * International_Education_Costs[[#This Row],[Duration_Years]]</f>
        <v>110400</v>
      </c>
      <c r="P217" s="1">
        <f>International_Education_Costs[[#This Row],[Total_Cost]]-International_Education_Costs[[#This Row],[Tuition_USD]]</f>
        <v>116560</v>
      </c>
      <c r="Q217" s="2">
        <f>International_Education_Costs[[#This Row],[Tuition_USD]]/International_Education_Costs[[#This Row],[Total_Cost]]</f>
        <v>0.32374100719424459</v>
      </c>
    </row>
    <row r="218" spans="1:17" x14ac:dyDescent="0.25">
      <c r="A218" t="s">
        <v>12</v>
      </c>
      <c r="B218" t="s">
        <v>502</v>
      </c>
      <c r="C218" t="s">
        <v>503</v>
      </c>
      <c r="D218" t="s">
        <v>15</v>
      </c>
      <c r="E218" t="s">
        <v>75</v>
      </c>
      <c r="F218">
        <v>4</v>
      </c>
      <c r="G218" s="1">
        <v>54500</v>
      </c>
      <c r="H218">
        <v>79.8</v>
      </c>
      <c r="I218" s="1">
        <v>2100</v>
      </c>
      <c r="J218" s="1">
        <v>160</v>
      </c>
      <c r="K218" s="1">
        <v>1500</v>
      </c>
      <c r="L218">
        <v>1</v>
      </c>
      <c r="M2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161460</v>
      </c>
      <c r="N218" s="1">
        <f>International_Education_Costs[[#This Row],[Total_Cost]]/International_Education_Costs[[#This Row],[Duration_Years]]</f>
        <v>40365</v>
      </c>
      <c r="O218" s="1">
        <f>International_Education_Costs[[#This Row],[Rent_USD]] * 12 * International_Education_Costs[[#This Row],[Duration_Years]]</f>
        <v>100800</v>
      </c>
      <c r="P218" s="1">
        <f>International_Education_Costs[[#This Row],[Total_Cost]]-International_Education_Costs[[#This Row],[Tuition_USD]]</f>
        <v>106960</v>
      </c>
      <c r="Q218" s="2">
        <f>International_Education_Costs[[#This Row],[Tuition_USD]]/International_Education_Costs[[#This Row],[Total_Cost]]</f>
        <v>0.33754490276229404</v>
      </c>
    </row>
    <row r="219" spans="1:17" x14ac:dyDescent="0.25">
      <c r="A219" t="s">
        <v>12</v>
      </c>
      <c r="B219" t="s">
        <v>504</v>
      </c>
      <c r="C219" t="s">
        <v>505</v>
      </c>
      <c r="D219" t="s">
        <v>15</v>
      </c>
      <c r="E219" t="s">
        <v>75</v>
      </c>
      <c r="F219">
        <v>4</v>
      </c>
      <c r="G219" s="1">
        <v>54000</v>
      </c>
      <c r="H219">
        <v>81.2</v>
      </c>
      <c r="I219" s="1">
        <v>2000</v>
      </c>
      <c r="J219" s="1">
        <v>160</v>
      </c>
      <c r="K219" s="1">
        <v>1500</v>
      </c>
      <c r="L219">
        <v>1</v>
      </c>
      <c r="M2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156160</v>
      </c>
      <c r="N219" s="1">
        <f>International_Education_Costs[[#This Row],[Total_Cost]]/International_Education_Costs[[#This Row],[Duration_Years]]</f>
        <v>39040</v>
      </c>
      <c r="O219" s="1">
        <f>International_Education_Costs[[#This Row],[Rent_USD]] * 12 * International_Education_Costs[[#This Row],[Duration_Years]]</f>
        <v>96000</v>
      </c>
      <c r="P219" s="1">
        <f>International_Education_Costs[[#This Row],[Total_Cost]]-International_Education_Costs[[#This Row],[Tuition_USD]]</f>
        <v>102160</v>
      </c>
      <c r="Q219" s="2">
        <f>International_Education_Costs[[#This Row],[Tuition_USD]]/International_Education_Costs[[#This Row],[Total_Cost]]</f>
        <v>0.34579918032786883</v>
      </c>
    </row>
    <row r="220" spans="1:17" x14ac:dyDescent="0.25">
      <c r="A220" t="s">
        <v>12</v>
      </c>
      <c r="B220" t="s">
        <v>270</v>
      </c>
      <c r="C220" t="s">
        <v>271</v>
      </c>
      <c r="D220" t="s">
        <v>15</v>
      </c>
      <c r="E220" t="s">
        <v>75</v>
      </c>
      <c r="F220">
        <v>4</v>
      </c>
      <c r="G220" s="1">
        <v>53500</v>
      </c>
      <c r="H220">
        <v>82.4</v>
      </c>
      <c r="I220" s="1">
        <v>1900</v>
      </c>
      <c r="J220" s="1">
        <v>160</v>
      </c>
      <c r="K220" s="1">
        <v>1500</v>
      </c>
      <c r="L220">
        <v>1</v>
      </c>
      <c r="M2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150860</v>
      </c>
      <c r="N220" s="1">
        <f>International_Education_Costs[[#This Row],[Total_Cost]]/International_Education_Costs[[#This Row],[Duration_Years]]</f>
        <v>37715</v>
      </c>
      <c r="O220" s="1">
        <f>International_Education_Costs[[#This Row],[Rent_USD]] * 12 * International_Education_Costs[[#This Row],[Duration_Years]]</f>
        <v>91200</v>
      </c>
      <c r="P220" s="1">
        <f>International_Education_Costs[[#This Row],[Total_Cost]]-International_Education_Costs[[#This Row],[Tuition_USD]]</f>
        <v>97360</v>
      </c>
      <c r="Q220" s="2">
        <f>International_Education_Costs[[#This Row],[Tuition_USD]]/International_Education_Costs[[#This Row],[Total_Cost]]</f>
        <v>0.35463343497282246</v>
      </c>
    </row>
    <row r="221" spans="1:17" x14ac:dyDescent="0.25">
      <c r="A221" t="s">
        <v>12</v>
      </c>
      <c r="B221" t="s">
        <v>506</v>
      </c>
      <c r="C221" t="s">
        <v>507</v>
      </c>
      <c r="D221" t="s">
        <v>15</v>
      </c>
      <c r="E221" t="s">
        <v>75</v>
      </c>
      <c r="F221">
        <v>4</v>
      </c>
      <c r="G221" s="1">
        <v>43000</v>
      </c>
      <c r="H221">
        <v>88.7</v>
      </c>
      <c r="I221" s="1">
        <v>2200</v>
      </c>
      <c r="J221" s="1">
        <v>160</v>
      </c>
      <c r="K221" s="1">
        <v>1500</v>
      </c>
      <c r="L221">
        <v>1</v>
      </c>
      <c r="M2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154760</v>
      </c>
      <c r="N221" s="1">
        <f>International_Education_Costs[[#This Row],[Total_Cost]]/International_Education_Costs[[#This Row],[Duration_Years]]</f>
        <v>38690</v>
      </c>
      <c r="O221" s="1">
        <f>International_Education_Costs[[#This Row],[Rent_USD]] * 12 * International_Education_Costs[[#This Row],[Duration_Years]]</f>
        <v>105600</v>
      </c>
      <c r="P221" s="1">
        <f>International_Education_Costs[[#This Row],[Total_Cost]]-International_Education_Costs[[#This Row],[Tuition_USD]]</f>
        <v>111760</v>
      </c>
      <c r="Q221" s="2">
        <f>International_Education_Costs[[#This Row],[Tuition_USD]]/International_Education_Costs[[#This Row],[Total_Cost]]</f>
        <v>0.27784957353321271</v>
      </c>
    </row>
    <row r="222" spans="1:17" x14ac:dyDescent="0.25">
      <c r="A222" t="s">
        <v>12</v>
      </c>
      <c r="B222" t="s">
        <v>171</v>
      </c>
      <c r="C222" t="s">
        <v>172</v>
      </c>
      <c r="D222" t="s">
        <v>15</v>
      </c>
      <c r="E222" t="s">
        <v>75</v>
      </c>
      <c r="F222">
        <v>4</v>
      </c>
      <c r="G222" s="1">
        <v>43500</v>
      </c>
      <c r="H222">
        <v>91.5</v>
      </c>
      <c r="I222" s="1">
        <v>2300</v>
      </c>
      <c r="J222" s="1">
        <v>160</v>
      </c>
      <c r="K222" s="1">
        <v>1500</v>
      </c>
      <c r="L222">
        <v>1</v>
      </c>
      <c r="M2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160060</v>
      </c>
      <c r="N222" s="1">
        <f>International_Education_Costs[[#This Row],[Total_Cost]]/International_Education_Costs[[#This Row],[Duration_Years]]</f>
        <v>40015</v>
      </c>
      <c r="O222" s="1">
        <f>International_Education_Costs[[#This Row],[Rent_USD]] * 12 * International_Education_Costs[[#This Row],[Duration_Years]]</f>
        <v>110400</v>
      </c>
      <c r="P222" s="1">
        <f>International_Education_Costs[[#This Row],[Total_Cost]]-International_Education_Costs[[#This Row],[Tuition_USD]]</f>
        <v>116560</v>
      </c>
      <c r="Q222" s="2">
        <f>International_Education_Costs[[#This Row],[Tuition_USD]]/International_Education_Costs[[#This Row],[Total_Cost]]</f>
        <v>0.27177308509309012</v>
      </c>
    </row>
    <row r="223" spans="1:17" x14ac:dyDescent="0.25">
      <c r="A223" t="s">
        <v>12</v>
      </c>
      <c r="B223" t="s">
        <v>88</v>
      </c>
      <c r="C223" t="s">
        <v>89</v>
      </c>
      <c r="D223" t="s">
        <v>15</v>
      </c>
      <c r="E223" t="s">
        <v>75</v>
      </c>
      <c r="F223">
        <v>4</v>
      </c>
      <c r="G223" s="1">
        <v>52000</v>
      </c>
      <c r="H223">
        <v>75.400000000000006</v>
      </c>
      <c r="I223" s="1">
        <v>1700</v>
      </c>
      <c r="J223" s="1">
        <v>160</v>
      </c>
      <c r="K223" s="1">
        <v>1500</v>
      </c>
      <c r="L223">
        <v>1</v>
      </c>
      <c r="M2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139760</v>
      </c>
      <c r="N223" s="1">
        <f>International_Education_Costs[[#This Row],[Total_Cost]]/International_Education_Costs[[#This Row],[Duration_Years]]</f>
        <v>34940</v>
      </c>
      <c r="O223" s="1">
        <f>International_Education_Costs[[#This Row],[Rent_USD]] * 12 * International_Education_Costs[[#This Row],[Duration_Years]]</f>
        <v>81600</v>
      </c>
      <c r="P223" s="1">
        <f>International_Education_Costs[[#This Row],[Total_Cost]]-International_Education_Costs[[#This Row],[Tuition_USD]]</f>
        <v>87760</v>
      </c>
      <c r="Q223" s="2">
        <f>International_Education_Costs[[#This Row],[Tuition_USD]]/International_Education_Costs[[#This Row],[Total_Cost]]</f>
        <v>0.3720663995420721</v>
      </c>
    </row>
    <row r="224" spans="1:17" x14ac:dyDescent="0.25">
      <c r="A224" t="s">
        <v>12</v>
      </c>
      <c r="B224" t="s">
        <v>94</v>
      </c>
      <c r="C224" t="s">
        <v>508</v>
      </c>
      <c r="D224" t="s">
        <v>15</v>
      </c>
      <c r="E224" t="s">
        <v>75</v>
      </c>
      <c r="F224">
        <v>4</v>
      </c>
      <c r="G224" s="1">
        <v>40500</v>
      </c>
      <c r="H224">
        <v>72.8</v>
      </c>
      <c r="I224" s="1">
        <v>1800</v>
      </c>
      <c r="J224" s="1">
        <v>160</v>
      </c>
      <c r="K224" s="1">
        <v>1500</v>
      </c>
      <c r="L224">
        <v>1</v>
      </c>
      <c r="M2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133060</v>
      </c>
      <c r="N224" s="1">
        <f>International_Education_Costs[[#This Row],[Total_Cost]]/International_Education_Costs[[#This Row],[Duration_Years]]</f>
        <v>33265</v>
      </c>
      <c r="O224" s="1">
        <f>International_Education_Costs[[#This Row],[Rent_USD]] * 12 * International_Education_Costs[[#This Row],[Duration_Years]]</f>
        <v>86400</v>
      </c>
      <c r="P224" s="1">
        <f>International_Education_Costs[[#This Row],[Total_Cost]]-International_Education_Costs[[#This Row],[Tuition_USD]]</f>
        <v>92560</v>
      </c>
      <c r="Q224" s="2">
        <f>International_Education_Costs[[#This Row],[Tuition_USD]]/International_Education_Costs[[#This Row],[Total_Cost]]</f>
        <v>0.30437396663159477</v>
      </c>
    </row>
    <row r="225" spans="1:17" x14ac:dyDescent="0.25">
      <c r="A225" t="s">
        <v>12</v>
      </c>
      <c r="B225" t="s">
        <v>150</v>
      </c>
      <c r="C225" t="s">
        <v>151</v>
      </c>
      <c r="D225" t="s">
        <v>15</v>
      </c>
      <c r="E225" t="s">
        <v>75</v>
      </c>
      <c r="F225">
        <v>4</v>
      </c>
      <c r="G225" s="1">
        <v>39800</v>
      </c>
      <c r="H225">
        <v>85.6</v>
      </c>
      <c r="I225" s="1">
        <v>2000</v>
      </c>
      <c r="J225" s="1">
        <v>160</v>
      </c>
      <c r="K225" s="1">
        <v>1500</v>
      </c>
      <c r="L225">
        <v>1</v>
      </c>
      <c r="M2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141960</v>
      </c>
      <c r="N225" s="1">
        <f>International_Education_Costs[[#This Row],[Total_Cost]]/International_Education_Costs[[#This Row],[Duration_Years]]</f>
        <v>35490</v>
      </c>
      <c r="O225" s="1">
        <f>International_Education_Costs[[#This Row],[Rent_USD]] * 12 * International_Education_Costs[[#This Row],[Duration_Years]]</f>
        <v>96000</v>
      </c>
      <c r="P225" s="1">
        <f>International_Education_Costs[[#This Row],[Total_Cost]]-International_Education_Costs[[#This Row],[Tuition_USD]]</f>
        <v>102160</v>
      </c>
      <c r="Q225" s="2">
        <f>International_Education_Costs[[#This Row],[Tuition_USD]]/International_Education_Costs[[#This Row],[Total_Cost]]</f>
        <v>0.28036066497604961</v>
      </c>
    </row>
    <row r="226" spans="1:17" x14ac:dyDescent="0.25">
      <c r="A226" t="s">
        <v>12</v>
      </c>
      <c r="B226" t="s">
        <v>280</v>
      </c>
      <c r="C226" t="s">
        <v>509</v>
      </c>
      <c r="D226" t="s">
        <v>15</v>
      </c>
      <c r="E226" t="s">
        <v>75</v>
      </c>
      <c r="F226">
        <v>4</v>
      </c>
      <c r="G226" s="1">
        <v>37500</v>
      </c>
      <c r="H226">
        <v>71.2</v>
      </c>
      <c r="I226" s="1">
        <v>1600</v>
      </c>
      <c r="J226" s="1">
        <v>160</v>
      </c>
      <c r="K226" s="1">
        <v>1500</v>
      </c>
      <c r="L226">
        <v>1</v>
      </c>
      <c r="M2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120460</v>
      </c>
      <c r="N226" s="1">
        <f>International_Education_Costs[[#This Row],[Total_Cost]]/International_Education_Costs[[#This Row],[Duration_Years]]</f>
        <v>30115</v>
      </c>
      <c r="O226" s="1">
        <f>International_Education_Costs[[#This Row],[Rent_USD]] * 12 * International_Education_Costs[[#This Row],[Duration_Years]]</f>
        <v>76800</v>
      </c>
      <c r="P226" s="1">
        <f>International_Education_Costs[[#This Row],[Total_Cost]]-International_Education_Costs[[#This Row],[Tuition_USD]]</f>
        <v>82960</v>
      </c>
      <c r="Q226" s="2">
        <f>International_Education_Costs[[#This Row],[Tuition_USD]]/International_Education_Costs[[#This Row],[Total_Cost]]</f>
        <v>0.31130665781172173</v>
      </c>
    </row>
    <row r="227" spans="1:17" x14ac:dyDescent="0.25">
      <c r="A227" t="s">
        <v>12</v>
      </c>
      <c r="B227" t="s">
        <v>510</v>
      </c>
      <c r="C227" t="s">
        <v>511</v>
      </c>
      <c r="D227" t="s">
        <v>15</v>
      </c>
      <c r="E227" t="s">
        <v>75</v>
      </c>
      <c r="F227">
        <v>4</v>
      </c>
      <c r="G227" s="1">
        <v>36800</v>
      </c>
      <c r="H227">
        <v>70.5</v>
      </c>
      <c r="I227" s="1">
        <v>1500</v>
      </c>
      <c r="J227" s="1">
        <v>160</v>
      </c>
      <c r="K227" s="1">
        <v>1500</v>
      </c>
      <c r="L227">
        <v>1</v>
      </c>
      <c r="M2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114960</v>
      </c>
      <c r="N227" s="1">
        <f>International_Education_Costs[[#This Row],[Total_Cost]]/International_Education_Costs[[#This Row],[Duration_Years]]</f>
        <v>28740</v>
      </c>
      <c r="O227" s="1">
        <f>International_Education_Costs[[#This Row],[Rent_USD]] * 12 * International_Education_Costs[[#This Row],[Duration_Years]]</f>
        <v>72000</v>
      </c>
      <c r="P227" s="1">
        <f>International_Education_Costs[[#This Row],[Total_Cost]]-International_Education_Costs[[#This Row],[Tuition_USD]]</f>
        <v>78160</v>
      </c>
      <c r="Q227" s="2">
        <f>International_Education_Costs[[#This Row],[Tuition_USD]]/International_Education_Costs[[#This Row],[Total_Cost]]</f>
        <v>0.32011134307585248</v>
      </c>
    </row>
    <row r="228" spans="1:17" x14ac:dyDescent="0.25">
      <c r="A228" t="s">
        <v>12</v>
      </c>
      <c r="B228" t="s">
        <v>91</v>
      </c>
      <c r="C228" t="s">
        <v>92</v>
      </c>
      <c r="D228" t="s">
        <v>15</v>
      </c>
      <c r="E228" t="s">
        <v>75</v>
      </c>
      <c r="F228">
        <v>4</v>
      </c>
      <c r="G228" s="1">
        <v>33500</v>
      </c>
      <c r="H228">
        <v>76.8</v>
      </c>
      <c r="I228" s="1">
        <v>1700</v>
      </c>
      <c r="J228" s="1">
        <v>160</v>
      </c>
      <c r="K228" s="1">
        <v>1500</v>
      </c>
      <c r="L228">
        <v>1</v>
      </c>
      <c r="M2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121260</v>
      </c>
      <c r="N228" s="1">
        <f>International_Education_Costs[[#This Row],[Total_Cost]]/International_Education_Costs[[#This Row],[Duration_Years]]</f>
        <v>30315</v>
      </c>
      <c r="O228" s="1">
        <f>International_Education_Costs[[#This Row],[Rent_USD]] * 12 * International_Education_Costs[[#This Row],[Duration_Years]]</f>
        <v>81600</v>
      </c>
      <c r="P228" s="1">
        <f>International_Education_Costs[[#This Row],[Total_Cost]]-International_Education_Costs[[#This Row],[Tuition_USD]]</f>
        <v>87760</v>
      </c>
      <c r="Q228" s="2">
        <f>International_Education_Costs[[#This Row],[Tuition_USD]]/International_Education_Costs[[#This Row],[Total_Cost]]</f>
        <v>0.27626587497938315</v>
      </c>
    </row>
    <row r="229" spans="1:17" x14ac:dyDescent="0.25">
      <c r="A229" t="s">
        <v>12</v>
      </c>
      <c r="B229" t="s">
        <v>512</v>
      </c>
      <c r="C229" t="s">
        <v>513</v>
      </c>
      <c r="D229" t="s">
        <v>15</v>
      </c>
      <c r="E229" t="s">
        <v>75</v>
      </c>
      <c r="F229">
        <v>4</v>
      </c>
      <c r="G229" s="1">
        <v>32800</v>
      </c>
      <c r="H229">
        <v>71.400000000000006</v>
      </c>
      <c r="I229" s="1">
        <v>1400</v>
      </c>
      <c r="J229" s="1">
        <v>160</v>
      </c>
      <c r="K229" s="1">
        <v>1500</v>
      </c>
      <c r="L229">
        <v>1</v>
      </c>
      <c r="M2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106160</v>
      </c>
      <c r="N229" s="1">
        <f>International_Education_Costs[[#This Row],[Total_Cost]]/International_Education_Costs[[#This Row],[Duration_Years]]</f>
        <v>26540</v>
      </c>
      <c r="O229" s="1">
        <f>International_Education_Costs[[#This Row],[Rent_USD]] * 12 * International_Education_Costs[[#This Row],[Duration_Years]]</f>
        <v>67200</v>
      </c>
      <c r="P229" s="1">
        <f>International_Education_Costs[[#This Row],[Total_Cost]]-International_Education_Costs[[#This Row],[Tuition_USD]]</f>
        <v>73360</v>
      </c>
      <c r="Q229" s="2">
        <f>International_Education_Costs[[#This Row],[Tuition_USD]]/International_Education_Costs[[#This Row],[Total_Cost]]</f>
        <v>0.30896759608138658</v>
      </c>
    </row>
    <row r="230" spans="1:17" x14ac:dyDescent="0.25">
      <c r="A230" t="s">
        <v>12</v>
      </c>
      <c r="B230" t="s">
        <v>514</v>
      </c>
      <c r="C230" t="s">
        <v>515</v>
      </c>
      <c r="D230" t="s">
        <v>15</v>
      </c>
      <c r="E230" t="s">
        <v>75</v>
      </c>
      <c r="F230">
        <v>4</v>
      </c>
      <c r="G230" s="1">
        <v>31500</v>
      </c>
      <c r="H230">
        <v>68.900000000000006</v>
      </c>
      <c r="I230" s="1">
        <v>1300</v>
      </c>
      <c r="J230" s="1">
        <v>160</v>
      </c>
      <c r="K230" s="1">
        <v>1500</v>
      </c>
      <c r="L230">
        <v>1</v>
      </c>
      <c r="M2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100060</v>
      </c>
      <c r="N230" s="1">
        <f>International_Education_Costs[[#This Row],[Total_Cost]]/International_Education_Costs[[#This Row],[Duration_Years]]</f>
        <v>25015</v>
      </c>
      <c r="O230" s="1">
        <f>International_Education_Costs[[#This Row],[Rent_USD]] * 12 * International_Education_Costs[[#This Row],[Duration_Years]]</f>
        <v>62400</v>
      </c>
      <c r="P230" s="1">
        <f>International_Education_Costs[[#This Row],[Total_Cost]]-International_Education_Costs[[#This Row],[Tuition_USD]]</f>
        <v>68560</v>
      </c>
      <c r="Q230" s="2">
        <f>International_Education_Costs[[#This Row],[Tuition_USD]]/International_Education_Costs[[#This Row],[Total_Cost]]</f>
        <v>0.31481111333200079</v>
      </c>
    </row>
    <row r="231" spans="1:17" x14ac:dyDescent="0.25">
      <c r="A231" t="s">
        <v>12</v>
      </c>
      <c r="B231" t="s">
        <v>516</v>
      </c>
      <c r="C231" t="s">
        <v>517</v>
      </c>
      <c r="D231" t="s">
        <v>15</v>
      </c>
      <c r="E231" t="s">
        <v>75</v>
      </c>
      <c r="F231">
        <v>4</v>
      </c>
      <c r="G231" s="1">
        <v>28500</v>
      </c>
      <c r="H231">
        <v>70.2</v>
      </c>
      <c r="I231" s="1">
        <v>1400</v>
      </c>
      <c r="J231" s="1">
        <v>160</v>
      </c>
      <c r="K231" s="1">
        <v>1500</v>
      </c>
      <c r="L231">
        <v>1</v>
      </c>
      <c r="M2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101860</v>
      </c>
      <c r="N231" s="1">
        <f>International_Education_Costs[[#This Row],[Total_Cost]]/International_Education_Costs[[#This Row],[Duration_Years]]</f>
        <v>25465</v>
      </c>
      <c r="O231" s="1">
        <f>International_Education_Costs[[#This Row],[Rent_USD]] * 12 * International_Education_Costs[[#This Row],[Duration_Years]]</f>
        <v>67200</v>
      </c>
      <c r="P231" s="1">
        <f>International_Education_Costs[[#This Row],[Total_Cost]]-International_Education_Costs[[#This Row],[Tuition_USD]]</f>
        <v>73360</v>
      </c>
      <c r="Q231" s="2">
        <f>International_Education_Costs[[#This Row],[Tuition_USD]]/International_Education_Costs[[#This Row],[Total_Cost]]</f>
        <v>0.27979579815432948</v>
      </c>
    </row>
    <row r="232" spans="1:17" x14ac:dyDescent="0.25">
      <c r="A232" t="s">
        <v>12</v>
      </c>
      <c r="B232" t="s">
        <v>282</v>
      </c>
      <c r="C232" t="s">
        <v>283</v>
      </c>
      <c r="D232" t="s">
        <v>15</v>
      </c>
      <c r="E232" t="s">
        <v>75</v>
      </c>
      <c r="F232">
        <v>4</v>
      </c>
      <c r="G232" s="1">
        <v>28000</v>
      </c>
      <c r="H232">
        <v>72.5</v>
      </c>
      <c r="I232" s="1">
        <v>1500</v>
      </c>
      <c r="J232" s="1">
        <v>160</v>
      </c>
      <c r="K232" s="1">
        <v>1500</v>
      </c>
      <c r="L232">
        <v>1</v>
      </c>
      <c r="M2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106160</v>
      </c>
      <c r="N232" s="1">
        <f>International_Education_Costs[[#This Row],[Total_Cost]]/International_Education_Costs[[#This Row],[Duration_Years]]</f>
        <v>26540</v>
      </c>
      <c r="O232" s="1">
        <f>International_Education_Costs[[#This Row],[Rent_USD]] * 12 * International_Education_Costs[[#This Row],[Duration_Years]]</f>
        <v>72000</v>
      </c>
      <c r="P232" s="1">
        <f>International_Education_Costs[[#This Row],[Total_Cost]]-International_Education_Costs[[#This Row],[Tuition_USD]]</f>
        <v>78160</v>
      </c>
      <c r="Q232" s="2">
        <f>International_Education_Costs[[#This Row],[Tuition_USD]]/International_Education_Costs[[#This Row],[Total_Cost]]</f>
        <v>0.26375282592313487</v>
      </c>
    </row>
    <row r="233" spans="1:17" x14ac:dyDescent="0.25">
      <c r="A233" t="s">
        <v>12</v>
      </c>
      <c r="B233" t="s">
        <v>518</v>
      </c>
      <c r="C233" t="s">
        <v>519</v>
      </c>
      <c r="D233" t="s">
        <v>15</v>
      </c>
      <c r="E233" t="s">
        <v>75</v>
      </c>
      <c r="F233">
        <v>4</v>
      </c>
      <c r="G233" s="1">
        <v>27500</v>
      </c>
      <c r="H233">
        <v>71.8</v>
      </c>
      <c r="I233" s="1">
        <v>1400</v>
      </c>
      <c r="J233" s="1">
        <v>160</v>
      </c>
      <c r="K233" s="1">
        <v>1500</v>
      </c>
      <c r="L233">
        <v>1</v>
      </c>
      <c r="M2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100860</v>
      </c>
      <c r="N233" s="1">
        <f>International_Education_Costs[[#This Row],[Total_Cost]]/International_Education_Costs[[#This Row],[Duration_Years]]</f>
        <v>25215</v>
      </c>
      <c r="O233" s="1">
        <f>International_Education_Costs[[#This Row],[Rent_USD]] * 12 * International_Education_Costs[[#This Row],[Duration_Years]]</f>
        <v>67200</v>
      </c>
      <c r="P233" s="1">
        <f>International_Education_Costs[[#This Row],[Total_Cost]]-International_Education_Costs[[#This Row],[Tuition_USD]]</f>
        <v>73360</v>
      </c>
      <c r="Q233" s="2">
        <f>International_Education_Costs[[#This Row],[Tuition_USD]]/International_Education_Costs[[#This Row],[Total_Cost]]</f>
        <v>0.27265516557604602</v>
      </c>
    </row>
    <row r="234" spans="1:17" x14ac:dyDescent="0.25">
      <c r="A234" t="s">
        <v>12</v>
      </c>
      <c r="B234" t="s">
        <v>520</v>
      </c>
      <c r="C234" t="s">
        <v>521</v>
      </c>
      <c r="D234" t="s">
        <v>15</v>
      </c>
      <c r="E234" t="s">
        <v>75</v>
      </c>
      <c r="F234">
        <v>4</v>
      </c>
      <c r="G234" s="1">
        <v>27000</v>
      </c>
      <c r="H234">
        <v>69.5</v>
      </c>
      <c r="I234" s="1">
        <v>1300</v>
      </c>
      <c r="J234" s="1">
        <v>160</v>
      </c>
      <c r="K234" s="1">
        <v>1500</v>
      </c>
      <c r="L234">
        <v>1</v>
      </c>
      <c r="M2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95560</v>
      </c>
      <c r="N234" s="1">
        <f>International_Education_Costs[[#This Row],[Total_Cost]]/International_Education_Costs[[#This Row],[Duration_Years]]</f>
        <v>23890</v>
      </c>
      <c r="O234" s="1">
        <f>International_Education_Costs[[#This Row],[Rent_USD]] * 12 * International_Education_Costs[[#This Row],[Duration_Years]]</f>
        <v>62400</v>
      </c>
      <c r="P234" s="1">
        <f>International_Education_Costs[[#This Row],[Total_Cost]]-International_Education_Costs[[#This Row],[Tuition_USD]]</f>
        <v>68560</v>
      </c>
      <c r="Q234" s="2">
        <f>International_Education_Costs[[#This Row],[Tuition_USD]]/International_Education_Costs[[#This Row],[Total_Cost]]</f>
        <v>0.2825449979070741</v>
      </c>
    </row>
    <row r="235" spans="1:17" x14ac:dyDescent="0.25">
      <c r="A235" t="s">
        <v>12</v>
      </c>
      <c r="B235" t="s">
        <v>522</v>
      </c>
      <c r="C235" t="s">
        <v>523</v>
      </c>
      <c r="D235" t="s">
        <v>15</v>
      </c>
      <c r="E235" t="s">
        <v>75</v>
      </c>
      <c r="F235">
        <v>4</v>
      </c>
      <c r="G235" s="1">
        <v>26500</v>
      </c>
      <c r="H235">
        <v>70.099999999999994</v>
      </c>
      <c r="I235" s="1">
        <v>1300</v>
      </c>
      <c r="J235" s="1">
        <v>160</v>
      </c>
      <c r="K235" s="1">
        <v>1500</v>
      </c>
      <c r="L235">
        <v>1</v>
      </c>
      <c r="M2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95060</v>
      </c>
      <c r="N235" s="1">
        <f>International_Education_Costs[[#This Row],[Total_Cost]]/International_Education_Costs[[#This Row],[Duration_Years]]</f>
        <v>23765</v>
      </c>
      <c r="O235" s="1">
        <f>International_Education_Costs[[#This Row],[Rent_USD]] * 12 * International_Education_Costs[[#This Row],[Duration_Years]]</f>
        <v>62400</v>
      </c>
      <c r="P235" s="1">
        <f>International_Education_Costs[[#This Row],[Total_Cost]]-International_Education_Costs[[#This Row],[Tuition_USD]]</f>
        <v>68560</v>
      </c>
      <c r="Q235" s="2">
        <f>International_Education_Costs[[#This Row],[Tuition_USD]]/International_Education_Costs[[#This Row],[Total_Cost]]</f>
        <v>0.27877130233536712</v>
      </c>
    </row>
    <row r="236" spans="1:17" x14ac:dyDescent="0.25">
      <c r="A236" t="s">
        <v>17</v>
      </c>
      <c r="B236" t="s">
        <v>13</v>
      </c>
      <c r="C236" t="s">
        <v>128</v>
      </c>
      <c r="D236" t="s">
        <v>15</v>
      </c>
      <c r="E236" t="s">
        <v>75</v>
      </c>
      <c r="F236">
        <v>3</v>
      </c>
      <c r="G236" s="1">
        <v>38500</v>
      </c>
      <c r="H236">
        <v>78.5</v>
      </c>
      <c r="I236" s="1">
        <v>1800</v>
      </c>
      <c r="J236" s="1">
        <v>490</v>
      </c>
      <c r="K236" s="1">
        <v>800</v>
      </c>
      <c r="L236">
        <v>0.79</v>
      </c>
      <c r="M2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106190</v>
      </c>
      <c r="N236" s="1">
        <f>International_Education_Costs[[#This Row],[Total_Cost]]/International_Education_Costs[[#This Row],[Duration_Years]]</f>
        <v>35396.666666666664</v>
      </c>
      <c r="O236" s="1">
        <f>International_Education_Costs[[#This Row],[Rent_USD]] * 12 * International_Education_Costs[[#This Row],[Duration_Years]]</f>
        <v>64800</v>
      </c>
      <c r="P236" s="1">
        <f>International_Education_Costs[[#This Row],[Total_Cost]]-International_Education_Costs[[#This Row],[Tuition_USD]]</f>
        <v>67690</v>
      </c>
      <c r="Q236" s="2">
        <f>International_Education_Costs[[#This Row],[Tuition_USD]]/International_Education_Costs[[#This Row],[Total_Cost]]</f>
        <v>0.36255767963085034</v>
      </c>
    </row>
    <row r="237" spans="1:17" x14ac:dyDescent="0.25">
      <c r="A237" t="s">
        <v>17</v>
      </c>
      <c r="B237" t="s">
        <v>126</v>
      </c>
      <c r="C237" t="s">
        <v>127</v>
      </c>
      <c r="D237" t="s">
        <v>15</v>
      </c>
      <c r="E237" t="s">
        <v>75</v>
      </c>
      <c r="F237">
        <v>3</v>
      </c>
      <c r="G237" s="1">
        <v>37900</v>
      </c>
      <c r="H237">
        <v>77.8</v>
      </c>
      <c r="I237" s="1">
        <v>1850</v>
      </c>
      <c r="J237" s="1">
        <v>490</v>
      </c>
      <c r="K237" s="1">
        <v>800</v>
      </c>
      <c r="L237">
        <v>0.79</v>
      </c>
      <c r="M2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107390</v>
      </c>
      <c r="N237" s="1">
        <f>International_Education_Costs[[#This Row],[Total_Cost]]/International_Education_Costs[[#This Row],[Duration_Years]]</f>
        <v>35796.666666666664</v>
      </c>
      <c r="O237" s="1">
        <f>International_Education_Costs[[#This Row],[Rent_USD]] * 12 * International_Education_Costs[[#This Row],[Duration_Years]]</f>
        <v>66600</v>
      </c>
      <c r="P237" s="1">
        <f>International_Education_Costs[[#This Row],[Total_Cost]]-International_Education_Costs[[#This Row],[Tuition_USD]]</f>
        <v>69490</v>
      </c>
      <c r="Q237" s="2">
        <f>International_Education_Costs[[#This Row],[Tuition_USD]]/International_Education_Costs[[#This Row],[Total_Cost]]</f>
        <v>0.35291926622590558</v>
      </c>
    </row>
    <row r="238" spans="1:17" x14ac:dyDescent="0.25">
      <c r="A238" t="s">
        <v>17</v>
      </c>
      <c r="B238" t="s">
        <v>18</v>
      </c>
      <c r="C238" t="s">
        <v>19</v>
      </c>
      <c r="D238" t="s">
        <v>15</v>
      </c>
      <c r="E238" t="s">
        <v>75</v>
      </c>
      <c r="F238">
        <v>3</v>
      </c>
      <c r="G238" s="1">
        <v>37500</v>
      </c>
      <c r="H238">
        <v>83.2</v>
      </c>
      <c r="I238" s="1">
        <v>2200</v>
      </c>
      <c r="J238" s="1">
        <v>490</v>
      </c>
      <c r="K238" s="1">
        <v>800</v>
      </c>
      <c r="L238">
        <v>0.79</v>
      </c>
      <c r="M2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119590</v>
      </c>
      <c r="N238" s="1">
        <f>International_Education_Costs[[#This Row],[Total_Cost]]/International_Education_Costs[[#This Row],[Duration_Years]]</f>
        <v>39863.333333333336</v>
      </c>
      <c r="O238" s="1">
        <f>International_Education_Costs[[#This Row],[Rent_USD]] * 12 * International_Education_Costs[[#This Row],[Duration_Years]]</f>
        <v>79200</v>
      </c>
      <c r="P238" s="1">
        <f>International_Education_Costs[[#This Row],[Total_Cost]]-International_Education_Costs[[#This Row],[Tuition_USD]]</f>
        <v>82090</v>
      </c>
      <c r="Q238" s="2">
        <f>International_Education_Costs[[#This Row],[Tuition_USD]]/International_Education_Costs[[#This Row],[Total_Cost]]</f>
        <v>0.3135713688435488</v>
      </c>
    </row>
    <row r="239" spans="1:17" x14ac:dyDescent="0.25">
      <c r="A239" t="s">
        <v>17</v>
      </c>
      <c r="B239" t="s">
        <v>18</v>
      </c>
      <c r="C239" t="s">
        <v>290</v>
      </c>
      <c r="D239" t="s">
        <v>15</v>
      </c>
      <c r="E239" t="s">
        <v>75</v>
      </c>
      <c r="F239">
        <v>3</v>
      </c>
      <c r="G239" s="1">
        <v>36800</v>
      </c>
      <c r="H239">
        <v>83.2</v>
      </c>
      <c r="I239" s="1">
        <v>2100</v>
      </c>
      <c r="J239" s="1">
        <v>490</v>
      </c>
      <c r="K239" s="1">
        <v>800</v>
      </c>
      <c r="L239">
        <v>0.79</v>
      </c>
      <c r="M2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115290</v>
      </c>
      <c r="N239" s="1">
        <f>International_Education_Costs[[#This Row],[Total_Cost]]/International_Education_Costs[[#This Row],[Duration_Years]]</f>
        <v>38430</v>
      </c>
      <c r="O239" s="1">
        <f>International_Education_Costs[[#This Row],[Rent_USD]] * 12 * International_Education_Costs[[#This Row],[Duration_Years]]</f>
        <v>75600</v>
      </c>
      <c r="P239" s="1">
        <f>International_Education_Costs[[#This Row],[Total_Cost]]-International_Education_Costs[[#This Row],[Tuition_USD]]</f>
        <v>78490</v>
      </c>
      <c r="Q239" s="2">
        <f>International_Education_Costs[[#This Row],[Tuition_USD]]/International_Education_Costs[[#This Row],[Total_Cost]]</f>
        <v>0.31919507329343394</v>
      </c>
    </row>
    <row r="240" spans="1:17" x14ac:dyDescent="0.25">
      <c r="A240" t="s">
        <v>17</v>
      </c>
      <c r="B240" t="s">
        <v>18</v>
      </c>
      <c r="C240" t="s">
        <v>524</v>
      </c>
      <c r="D240" t="s">
        <v>15</v>
      </c>
      <c r="E240" t="s">
        <v>75</v>
      </c>
      <c r="F240">
        <v>3</v>
      </c>
      <c r="G240" s="1">
        <v>35500</v>
      </c>
      <c r="H240">
        <v>83.2</v>
      </c>
      <c r="I240" s="1">
        <v>2000</v>
      </c>
      <c r="J240" s="1">
        <v>490</v>
      </c>
      <c r="K240" s="1">
        <v>800</v>
      </c>
      <c r="L240">
        <v>0.79</v>
      </c>
      <c r="M2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110390</v>
      </c>
      <c r="N240" s="1">
        <f>International_Education_Costs[[#This Row],[Total_Cost]]/International_Education_Costs[[#This Row],[Duration_Years]]</f>
        <v>36796.666666666664</v>
      </c>
      <c r="O240" s="1">
        <f>International_Education_Costs[[#This Row],[Rent_USD]] * 12 * International_Education_Costs[[#This Row],[Duration_Years]]</f>
        <v>72000</v>
      </c>
      <c r="P240" s="1">
        <f>International_Education_Costs[[#This Row],[Total_Cost]]-International_Education_Costs[[#This Row],[Tuition_USD]]</f>
        <v>74890</v>
      </c>
      <c r="Q240" s="2">
        <f>International_Education_Costs[[#This Row],[Tuition_USD]]/International_Education_Costs[[#This Row],[Total_Cost]]</f>
        <v>0.32158710028082255</v>
      </c>
    </row>
    <row r="241" spans="1:17" x14ac:dyDescent="0.25">
      <c r="A241" t="s">
        <v>17</v>
      </c>
      <c r="B241" t="s">
        <v>525</v>
      </c>
      <c r="C241" t="s">
        <v>526</v>
      </c>
      <c r="D241" t="s">
        <v>15</v>
      </c>
      <c r="E241" t="s">
        <v>75</v>
      </c>
      <c r="F241">
        <v>4</v>
      </c>
      <c r="G241" s="1">
        <v>32500</v>
      </c>
      <c r="H241">
        <v>75.400000000000006</v>
      </c>
      <c r="I241" s="1">
        <v>1600</v>
      </c>
      <c r="J241" s="1">
        <v>490</v>
      </c>
      <c r="K241" s="1">
        <v>800</v>
      </c>
      <c r="L241">
        <v>0.79</v>
      </c>
      <c r="M2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112990</v>
      </c>
      <c r="N241" s="1">
        <f>International_Education_Costs[[#This Row],[Total_Cost]]/International_Education_Costs[[#This Row],[Duration_Years]]</f>
        <v>28247.5</v>
      </c>
      <c r="O241" s="1">
        <f>International_Education_Costs[[#This Row],[Rent_USD]] * 12 * International_Education_Costs[[#This Row],[Duration_Years]]</f>
        <v>76800</v>
      </c>
      <c r="P241" s="1">
        <f>International_Education_Costs[[#This Row],[Total_Cost]]-International_Education_Costs[[#This Row],[Tuition_USD]]</f>
        <v>80490</v>
      </c>
      <c r="Q241" s="2">
        <f>International_Education_Costs[[#This Row],[Tuition_USD]]/International_Education_Costs[[#This Row],[Total_Cost]]</f>
        <v>0.28763607398884855</v>
      </c>
    </row>
    <row r="242" spans="1:17" x14ac:dyDescent="0.25">
      <c r="A242" t="s">
        <v>17</v>
      </c>
      <c r="B242" t="s">
        <v>173</v>
      </c>
      <c r="C242" t="s">
        <v>174</v>
      </c>
      <c r="D242" t="s">
        <v>15</v>
      </c>
      <c r="E242" t="s">
        <v>75</v>
      </c>
      <c r="F242">
        <v>3</v>
      </c>
      <c r="G242" s="1">
        <v>31800</v>
      </c>
      <c r="H242">
        <v>72.099999999999994</v>
      </c>
      <c r="I242" s="1">
        <v>1400</v>
      </c>
      <c r="J242" s="1">
        <v>490</v>
      </c>
      <c r="K242" s="1">
        <v>800</v>
      </c>
      <c r="L242">
        <v>0.79</v>
      </c>
      <c r="M2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85090</v>
      </c>
      <c r="N242" s="1">
        <f>International_Education_Costs[[#This Row],[Total_Cost]]/International_Education_Costs[[#This Row],[Duration_Years]]</f>
        <v>28363.333333333332</v>
      </c>
      <c r="O242" s="1">
        <f>International_Education_Costs[[#This Row],[Rent_USD]] * 12 * International_Education_Costs[[#This Row],[Duration_Years]]</f>
        <v>50400</v>
      </c>
      <c r="P242" s="1">
        <f>International_Education_Costs[[#This Row],[Total_Cost]]-International_Education_Costs[[#This Row],[Tuition_USD]]</f>
        <v>53290</v>
      </c>
      <c r="Q242" s="2">
        <f>International_Education_Costs[[#This Row],[Tuition_USD]]/International_Education_Costs[[#This Row],[Total_Cost]]</f>
        <v>0.37372194147373372</v>
      </c>
    </row>
    <row r="243" spans="1:17" x14ac:dyDescent="0.25">
      <c r="A243" t="s">
        <v>17</v>
      </c>
      <c r="B243" t="s">
        <v>97</v>
      </c>
      <c r="C243" t="s">
        <v>98</v>
      </c>
      <c r="D243" t="s">
        <v>15</v>
      </c>
      <c r="E243" t="s">
        <v>75</v>
      </c>
      <c r="F243">
        <v>3</v>
      </c>
      <c r="G243" s="1">
        <v>31500</v>
      </c>
      <c r="H243">
        <v>74.8</v>
      </c>
      <c r="I243" s="1">
        <v>1500</v>
      </c>
      <c r="J243" s="1">
        <v>490</v>
      </c>
      <c r="K243" s="1">
        <v>800</v>
      </c>
      <c r="L243">
        <v>0.79</v>
      </c>
      <c r="M2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88390</v>
      </c>
      <c r="N243" s="1">
        <f>International_Education_Costs[[#This Row],[Total_Cost]]/International_Education_Costs[[#This Row],[Duration_Years]]</f>
        <v>29463.333333333332</v>
      </c>
      <c r="O243" s="1">
        <f>International_Education_Costs[[#This Row],[Rent_USD]] * 12 * International_Education_Costs[[#This Row],[Duration_Years]]</f>
        <v>54000</v>
      </c>
      <c r="P243" s="1">
        <f>International_Education_Costs[[#This Row],[Total_Cost]]-International_Education_Costs[[#This Row],[Tuition_USD]]</f>
        <v>56890</v>
      </c>
      <c r="Q243" s="2">
        <f>International_Education_Costs[[#This Row],[Tuition_USD]]/International_Education_Costs[[#This Row],[Total_Cost]]</f>
        <v>0.3563751555605838</v>
      </c>
    </row>
    <row r="244" spans="1:17" x14ac:dyDescent="0.25">
      <c r="A244" t="s">
        <v>17</v>
      </c>
      <c r="B244" t="s">
        <v>293</v>
      </c>
      <c r="C244" t="s">
        <v>294</v>
      </c>
      <c r="D244" t="s">
        <v>15</v>
      </c>
      <c r="E244" t="s">
        <v>75</v>
      </c>
      <c r="F244">
        <v>3</v>
      </c>
      <c r="G244" s="1">
        <v>31200</v>
      </c>
      <c r="H244">
        <v>71.5</v>
      </c>
      <c r="I244" s="1">
        <v>1300</v>
      </c>
      <c r="J244" s="1">
        <v>490</v>
      </c>
      <c r="K244" s="1">
        <v>800</v>
      </c>
      <c r="L244">
        <v>0.79</v>
      </c>
      <c r="M2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80890</v>
      </c>
      <c r="N244" s="1">
        <f>International_Education_Costs[[#This Row],[Total_Cost]]/International_Education_Costs[[#This Row],[Duration_Years]]</f>
        <v>26963.333333333332</v>
      </c>
      <c r="O244" s="1">
        <f>International_Education_Costs[[#This Row],[Rent_USD]] * 12 * International_Education_Costs[[#This Row],[Duration_Years]]</f>
        <v>46800</v>
      </c>
      <c r="P244" s="1">
        <f>International_Education_Costs[[#This Row],[Total_Cost]]-International_Education_Costs[[#This Row],[Tuition_USD]]</f>
        <v>49690</v>
      </c>
      <c r="Q244" s="2">
        <f>International_Education_Costs[[#This Row],[Tuition_USD]]/International_Education_Costs[[#This Row],[Total_Cost]]</f>
        <v>0.38570898751390775</v>
      </c>
    </row>
    <row r="245" spans="1:17" x14ac:dyDescent="0.25">
      <c r="A245" t="s">
        <v>17</v>
      </c>
      <c r="B245" t="s">
        <v>154</v>
      </c>
      <c r="C245" t="s">
        <v>155</v>
      </c>
      <c r="D245" t="s">
        <v>15</v>
      </c>
      <c r="E245" t="s">
        <v>75</v>
      </c>
      <c r="F245">
        <v>4</v>
      </c>
      <c r="G245" s="1">
        <v>30800</v>
      </c>
      <c r="H245">
        <v>73.2</v>
      </c>
      <c r="I245" s="1">
        <v>1400</v>
      </c>
      <c r="J245" s="1">
        <v>490</v>
      </c>
      <c r="K245" s="1">
        <v>800</v>
      </c>
      <c r="L245">
        <v>0.79</v>
      </c>
      <c r="M2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101690</v>
      </c>
      <c r="N245" s="1">
        <f>International_Education_Costs[[#This Row],[Total_Cost]]/International_Education_Costs[[#This Row],[Duration_Years]]</f>
        <v>25422.5</v>
      </c>
      <c r="O245" s="1">
        <f>International_Education_Costs[[#This Row],[Rent_USD]] * 12 * International_Education_Costs[[#This Row],[Duration_Years]]</f>
        <v>67200</v>
      </c>
      <c r="P245" s="1">
        <f>International_Education_Costs[[#This Row],[Total_Cost]]-International_Education_Costs[[#This Row],[Tuition_USD]]</f>
        <v>70890</v>
      </c>
      <c r="Q245" s="2">
        <f>International_Education_Costs[[#This Row],[Tuition_USD]]/International_Education_Costs[[#This Row],[Total_Cost]]</f>
        <v>0.30288130592978663</v>
      </c>
    </row>
    <row r="246" spans="1:17" x14ac:dyDescent="0.25">
      <c r="A246" t="s">
        <v>17</v>
      </c>
      <c r="B246" t="s">
        <v>297</v>
      </c>
      <c r="C246" t="s">
        <v>298</v>
      </c>
      <c r="D246" t="s">
        <v>15</v>
      </c>
      <c r="E246" t="s">
        <v>75</v>
      </c>
      <c r="F246">
        <v>3</v>
      </c>
      <c r="G246" s="1">
        <v>30500</v>
      </c>
      <c r="H246">
        <v>71.8</v>
      </c>
      <c r="I246" s="1">
        <v>1300</v>
      </c>
      <c r="J246" s="1">
        <v>490</v>
      </c>
      <c r="K246" s="1">
        <v>800</v>
      </c>
      <c r="L246">
        <v>0.79</v>
      </c>
      <c r="M2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80190</v>
      </c>
      <c r="N246" s="1">
        <f>International_Education_Costs[[#This Row],[Total_Cost]]/International_Education_Costs[[#This Row],[Duration_Years]]</f>
        <v>26730</v>
      </c>
      <c r="O246" s="1">
        <f>International_Education_Costs[[#This Row],[Rent_USD]] * 12 * International_Education_Costs[[#This Row],[Duration_Years]]</f>
        <v>46800</v>
      </c>
      <c r="P246" s="1">
        <f>International_Education_Costs[[#This Row],[Total_Cost]]-International_Education_Costs[[#This Row],[Tuition_USD]]</f>
        <v>49690</v>
      </c>
      <c r="Q246" s="2">
        <f>International_Education_Costs[[#This Row],[Tuition_USD]]/International_Education_Costs[[#This Row],[Total_Cost]]</f>
        <v>0.38034667664297295</v>
      </c>
    </row>
    <row r="247" spans="1:17" x14ac:dyDescent="0.25">
      <c r="A247" t="s">
        <v>17</v>
      </c>
      <c r="B247" t="s">
        <v>291</v>
      </c>
      <c r="C247" t="s">
        <v>292</v>
      </c>
      <c r="D247" t="s">
        <v>15</v>
      </c>
      <c r="E247" t="s">
        <v>75</v>
      </c>
      <c r="F247">
        <v>3</v>
      </c>
      <c r="G247" s="1">
        <v>30200</v>
      </c>
      <c r="H247">
        <v>71.2</v>
      </c>
      <c r="I247" s="1">
        <v>1250</v>
      </c>
      <c r="J247" s="1">
        <v>490</v>
      </c>
      <c r="K247" s="1">
        <v>800</v>
      </c>
      <c r="L247">
        <v>0.79</v>
      </c>
      <c r="M2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78090</v>
      </c>
      <c r="N247" s="1">
        <f>International_Education_Costs[[#This Row],[Total_Cost]]/International_Education_Costs[[#This Row],[Duration_Years]]</f>
        <v>26030</v>
      </c>
      <c r="O247" s="1">
        <f>International_Education_Costs[[#This Row],[Rent_USD]] * 12 * International_Education_Costs[[#This Row],[Duration_Years]]</f>
        <v>45000</v>
      </c>
      <c r="P247" s="1">
        <f>International_Education_Costs[[#This Row],[Total_Cost]]-International_Education_Costs[[#This Row],[Tuition_USD]]</f>
        <v>47890</v>
      </c>
      <c r="Q247" s="2">
        <f>International_Education_Costs[[#This Row],[Tuition_USD]]/International_Education_Costs[[#This Row],[Total_Cost]]</f>
        <v>0.38673325649891149</v>
      </c>
    </row>
    <row r="248" spans="1:17" x14ac:dyDescent="0.25">
      <c r="A248" t="s">
        <v>17</v>
      </c>
      <c r="B248" t="s">
        <v>295</v>
      </c>
      <c r="C248" t="s">
        <v>296</v>
      </c>
      <c r="D248" t="s">
        <v>15</v>
      </c>
      <c r="E248" t="s">
        <v>75</v>
      </c>
      <c r="F248">
        <v>3</v>
      </c>
      <c r="G248" s="1">
        <v>29800</v>
      </c>
      <c r="H248">
        <v>70.5</v>
      </c>
      <c r="I248" s="1">
        <v>1200</v>
      </c>
      <c r="J248" s="1">
        <v>490</v>
      </c>
      <c r="K248" s="1">
        <v>800</v>
      </c>
      <c r="L248">
        <v>0.79</v>
      </c>
      <c r="M2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75890</v>
      </c>
      <c r="N248" s="1">
        <f>International_Education_Costs[[#This Row],[Total_Cost]]/International_Education_Costs[[#This Row],[Duration_Years]]</f>
        <v>25296.666666666668</v>
      </c>
      <c r="O248" s="1">
        <f>International_Education_Costs[[#This Row],[Rent_USD]] * 12 * International_Education_Costs[[#This Row],[Duration_Years]]</f>
        <v>43200</v>
      </c>
      <c r="P248" s="1">
        <f>International_Education_Costs[[#This Row],[Total_Cost]]-International_Education_Costs[[#This Row],[Tuition_USD]]</f>
        <v>46090</v>
      </c>
      <c r="Q248" s="2">
        <f>International_Education_Costs[[#This Row],[Tuition_USD]]/International_Education_Costs[[#This Row],[Total_Cost]]</f>
        <v>0.39267360653577549</v>
      </c>
    </row>
    <row r="249" spans="1:17" x14ac:dyDescent="0.25">
      <c r="A249" t="s">
        <v>17</v>
      </c>
      <c r="B249" t="s">
        <v>302</v>
      </c>
      <c r="C249" t="s">
        <v>303</v>
      </c>
      <c r="D249" t="s">
        <v>15</v>
      </c>
      <c r="E249" t="s">
        <v>75</v>
      </c>
      <c r="F249">
        <v>3</v>
      </c>
      <c r="G249" s="1">
        <v>29500</v>
      </c>
      <c r="H249">
        <v>70.8</v>
      </c>
      <c r="I249" s="1">
        <v>1150</v>
      </c>
      <c r="J249" s="1">
        <v>490</v>
      </c>
      <c r="K249" s="1">
        <v>800</v>
      </c>
      <c r="L249">
        <v>0.79</v>
      </c>
      <c r="M2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73790</v>
      </c>
      <c r="N249" s="1">
        <f>International_Education_Costs[[#This Row],[Total_Cost]]/International_Education_Costs[[#This Row],[Duration_Years]]</f>
        <v>24596.666666666668</v>
      </c>
      <c r="O249" s="1">
        <f>International_Education_Costs[[#This Row],[Rent_USD]] * 12 * International_Education_Costs[[#This Row],[Duration_Years]]</f>
        <v>41400</v>
      </c>
      <c r="P249" s="1">
        <f>International_Education_Costs[[#This Row],[Total_Cost]]-International_Education_Costs[[#This Row],[Tuition_USD]]</f>
        <v>44290</v>
      </c>
      <c r="Q249" s="2">
        <f>International_Education_Costs[[#This Row],[Tuition_USD]]/International_Education_Costs[[#This Row],[Total_Cost]]</f>
        <v>0.39978316845100964</v>
      </c>
    </row>
    <row r="250" spans="1:17" x14ac:dyDescent="0.25">
      <c r="A250" t="s">
        <v>17</v>
      </c>
      <c r="B250" t="s">
        <v>299</v>
      </c>
      <c r="C250" t="s">
        <v>300</v>
      </c>
      <c r="D250" t="s">
        <v>15</v>
      </c>
      <c r="E250" t="s">
        <v>75</v>
      </c>
      <c r="F250">
        <v>3</v>
      </c>
      <c r="G250" s="1">
        <v>29200</v>
      </c>
      <c r="H250">
        <v>72.400000000000006</v>
      </c>
      <c r="I250" s="1">
        <v>1300</v>
      </c>
      <c r="J250" s="1">
        <v>490</v>
      </c>
      <c r="K250" s="1">
        <v>800</v>
      </c>
      <c r="L250">
        <v>0.79</v>
      </c>
      <c r="M2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78890</v>
      </c>
      <c r="N250" s="1">
        <f>International_Education_Costs[[#This Row],[Total_Cost]]/International_Education_Costs[[#This Row],[Duration_Years]]</f>
        <v>26296.666666666668</v>
      </c>
      <c r="O250" s="1">
        <f>International_Education_Costs[[#This Row],[Rent_USD]] * 12 * International_Education_Costs[[#This Row],[Duration_Years]]</f>
        <v>46800</v>
      </c>
      <c r="P250" s="1">
        <f>International_Education_Costs[[#This Row],[Total_Cost]]-International_Education_Costs[[#This Row],[Tuition_USD]]</f>
        <v>49690</v>
      </c>
      <c r="Q250" s="2">
        <f>International_Education_Costs[[#This Row],[Tuition_USD]]/International_Education_Costs[[#This Row],[Total_Cost]]</f>
        <v>0.37013563189250853</v>
      </c>
    </row>
    <row r="251" spans="1:17" x14ac:dyDescent="0.25">
      <c r="A251" t="s">
        <v>17</v>
      </c>
      <c r="B251" t="s">
        <v>278</v>
      </c>
      <c r="C251" t="s">
        <v>527</v>
      </c>
      <c r="D251" t="s">
        <v>15</v>
      </c>
      <c r="E251" t="s">
        <v>75</v>
      </c>
      <c r="F251">
        <v>3</v>
      </c>
      <c r="G251" s="1">
        <v>28900</v>
      </c>
      <c r="H251">
        <v>71.599999999999994</v>
      </c>
      <c r="I251" s="1">
        <v>1250</v>
      </c>
      <c r="J251" s="1">
        <v>490</v>
      </c>
      <c r="K251" s="1">
        <v>800</v>
      </c>
      <c r="L251">
        <v>0.79</v>
      </c>
      <c r="M2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76790</v>
      </c>
      <c r="N251" s="1">
        <f>International_Education_Costs[[#This Row],[Total_Cost]]/International_Education_Costs[[#This Row],[Duration_Years]]</f>
        <v>25596.666666666668</v>
      </c>
      <c r="O251" s="1">
        <f>International_Education_Costs[[#This Row],[Rent_USD]] * 12 * International_Education_Costs[[#This Row],[Duration_Years]]</f>
        <v>45000</v>
      </c>
      <c r="P251" s="1">
        <f>International_Education_Costs[[#This Row],[Total_Cost]]-International_Education_Costs[[#This Row],[Tuition_USD]]</f>
        <v>47890</v>
      </c>
      <c r="Q251" s="2">
        <f>International_Education_Costs[[#This Row],[Tuition_USD]]/International_Education_Costs[[#This Row],[Total_Cost]]</f>
        <v>0.3763510873811694</v>
      </c>
    </row>
    <row r="252" spans="1:17" x14ac:dyDescent="0.25">
      <c r="A252" t="s">
        <v>17</v>
      </c>
      <c r="B252" t="s">
        <v>528</v>
      </c>
      <c r="C252" t="s">
        <v>529</v>
      </c>
      <c r="D252" t="s">
        <v>15</v>
      </c>
      <c r="E252" t="s">
        <v>75</v>
      </c>
      <c r="F252">
        <v>3</v>
      </c>
      <c r="G252" s="1">
        <v>28600</v>
      </c>
      <c r="H252">
        <v>70.2</v>
      </c>
      <c r="I252" s="1">
        <v>1100</v>
      </c>
      <c r="J252" s="1">
        <v>490</v>
      </c>
      <c r="K252" s="1">
        <v>800</v>
      </c>
      <c r="L252">
        <v>0.79</v>
      </c>
      <c r="M2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71090</v>
      </c>
      <c r="N252" s="1">
        <f>International_Education_Costs[[#This Row],[Total_Cost]]/International_Education_Costs[[#This Row],[Duration_Years]]</f>
        <v>23696.666666666668</v>
      </c>
      <c r="O252" s="1">
        <f>International_Education_Costs[[#This Row],[Rent_USD]] * 12 * International_Education_Costs[[#This Row],[Duration_Years]]</f>
        <v>39600</v>
      </c>
      <c r="P252" s="1">
        <f>International_Education_Costs[[#This Row],[Total_Cost]]-International_Education_Costs[[#This Row],[Tuition_USD]]</f>
        <v>42490</v>
      </c>
      <c r="Q252" s="2">
        <f>International_Education_Costs[[#This Row],[Tuition_USD]]/International_Education_Costs[[#This Row],[Total_Cost]]</f>
        <v>0.40230693487128993</v>
      </c>
    </row>
    <row r="253" spans="1:17" x14ac:dyDescent="0.25">
      <c r="A253" t="s">
        <v>17</v>
      </c>
      <c r="B253" t="s">
        <v>304</v>
      </c>
      <c r="C253" t="s">
        <v>305</v>
      </c>
      <c r="D253" t="s">
        <v>15</v>
      </c>
      <c r="E253" t="s">
        <v>75</v>
      </c>
      <c r="F253">
        <v>3</v>
      </c>
      <c r="G253" s="1">
        <v>28300</v>
      </c>
      <c r="H253">
        <v>69.8</v>
      </c>
      <c r="I253" s="1">
        <v>1050</v>
      </c>
      <c r="J253" s="1">
        <v>490</v>
      </c>
      <c r="K253" s="1">
        <v>800</v>
      </c>
      <c r="L253">
        <v>0.79</v>
      </c>
      <c r="M2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68990</v>
      </c>
      <c r="N253" s="1">
        <f>International_Education_Costs[[#This Row],[Total_Cost]]/International_Education_Costs[[#This Row],[Duration_Years]]</f>
        <v>22996.666666666668</v>
      </c>
      <c r="O253" s="1">
        <f>International_Education_Costs[[#This Row],[Rent_USD]] * 12 * International_Education_Costs[[#This Row],[Duration_Years]]</f>
        <v>37800</v>
      </c>
      <c r="P253" s="1">
        <f>International_Education_Costs[[#This Row],[Total_Cost]]-International_Education_Costs[[#This Row],[Tuition_USD]]</f>
        <v>40690</v>
      </c>
      <c r="Q253" s="2">
        <f>International_Education_Costs[[#This Row],[Tuition_USD]]/International_Education_Costs[[#This Row],[Total_Cost]]</f>
        <v>0.41020437744600668</v>
      </c>
    </row>
    <row r="254" spans="1:17" x14ac:dyDescent="0.25">
      <c r="A254" t="s">
        <v>17</v>
      </c>
      <c r="B254" t="s">
        <v>232</v>
      </c>
      <c r="C254" t="s">
        <v>309</v>
      </c>
      <c r="D254" t="s">
        <v>15</v>
      </c>
      <c r="E254" t="s">
        <v>75</v>
      </c>
      <c r="F254">
        <v>3</v>
      </c>
      <c r="G254" s="1">
        <v>28000</v>
      </c>
      <c r="H254">
        <v>70.099999999999994</v>
      </c>
      <c r="I254" s="1">
        <v>1100</v>
      </c>
      <c r="J254" s="1">
        <v>490</v>
      </c>
      <c r="K254" s="1">
        <v>800</v>
      </c>
      <c r="L254">
        <v>0.79</v>
      </c>
      <c r="M2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70490</v>
      </c>
      <c r="N254" s="1">
        <f>International_Education_Costs[[#This Row],[Total_Cost]]/International_Education_Costs[[#This Row],[Duration_Years]]</f>
        <v>23496.666666666668</v>
      </c>
      <c r="O254" s="1">
        <f>International_Education_Costs[[#This Row],[Rent_USD]] * 12 * International_Education_Costs[[#This Row],[Duration_Years]]</f>
        <v>39600</v>
      </c>
      <c r="P254" s="1">
        <f>International_Education_Costs[[#This Row],[Total_Cost]]-International_Education_Costs[[#This Row],[Tuition_USD]]</f>
        <v>42490</v>
      </c>
      <c r="Q254" s="2">
        <f>International_Education_Costs[[#This Row],[Tuition_USD]]/International_Education_Costs[[#This Row],[Total_Cost]]</f>
        <v>0.39721946375372391</v>
      </c>
    </row>
    <row r="255" spans="1:17" x14ac:dyDescent="0.25">
      <c r="A255" t="s">
        <v>17</v>
      </c>
      <c r="B255" t="s">
        <v>530</v>
      </c>
      <c r="C255" t="s">
        <v>531</v>
      </c>
      <c r="D255" t="s">
        <v>15</v>
      </c>
      <c r="E255" t="s">
        <v>75</v>
      </c>
      <c r="F255">
        <v>4</v>
      </c>
      <c r="G255" s="1">
        <v>27700</v>
      </c>
      <c r="H255">
        <v>69.5</v>
      </c>
      <c r="I255" s="1">
        <v>1000</v>
      </c>
      <c r="J255" s="1">
        <v>490</v>
      </c>
      <c r="K255" s="1">
        <v>800</v>
      </c>
      <c r="L255">
        <v>0.79</v>
      </c>
      <c r="M2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79390</v>
      </c>
      <c r="N255" s="1">
        <f>International_Education_Costs[[#This Row],[Total_Cost]]/International_Education_Costs[[#This Row],[Duration_Years]]</f>
        <v>19847.5</v>
      </c>
      <c r="O255" s="1">
        <f>International_Education_Costs[[#This Row],[Rent_USD]] * 12 * International_Education_Costs[[#This Row],[Duration_Years]]</f>
        <v>48000</v>
      </c>
      <c r="P255" s="1">
        <f>International_Education_Costs[[#This Row],[Total_Cost]]-International_Education_Costs[[#This Row],[Tuition_USD]]</f>
        <v>51690</v>
      </c>
      <c r="Q255" s="2">
        <f>International_Education_Costs[[#This Row],[Tuition_USD]]/International_Education_Costs[[#This Row],[Total_Cost]]</f>
        <v>0.34891044212117395</v>
      </c>
    </row>
    <row r="256" spans="1:17" x14ac:dyDescent="0.25">
      <c r="A256" t="s">
        <v>17</v>
      </c>
      <c r="B256" t="s">
        <v>532</v>
      </c>
      <c r="C256" t="s">
        <v>533</v>
      </c>
      <c r="D256" t="s">
        <v>15</v>
      </c>
      <c r="E256" t="s">
        <v>75</v>
      </c>
      <c r="F256">
        <v>3</v>
      </c>
      <c r="G256" s="1">
        <v>27400</v>
      </c>
      <c r="H256">
        <v>68.900000000000006</v>
      </c>
      <c r="I256" s="1">
        <v>950</v>
      </c>
      <c r="J256" s="1">
        <v>490</v>
      </c>
      <c r="K256" s="1">
        <v>800</v>
      </c>
      <c r="L256">
        <v>0.79</v>
      </c>
      <c r="M2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64490</v>
      </c>
      <c r="N256" s="1">
        <f>International_Education_Costs[[#This Row],[Total_Cost]]/International_Education_Costs[[#This Row],[Duration_Years]]</f>
        <v>21496.666666666668</v>
      </c>
      <c r="O256" s="1">
        <f>International_Education_Costs[[#This Row],[Rent_USD]] * 12 * International_Education_Costs[[#This Row],[Duration_Years]]</f>
        <v>34200</v>
      </c>
      <c r="P256" s="1">
        <f>International_Education_Costs[[#This Row],[Total_Cost]]-International_Education_Costs[[#This Row],[Tuition_USD]]</f>
        <v>37090</v>
      </c>
      <c r="Q256" s="2">
        <f>International_Education_Costs[[#This Row],[Tuition_USD]]/International_Education_Costs[[#This Row],[Total_Cost]]</f>
        <v>0.42487207318964182</v>
      </c>
    </row>
    <row r="257" spans="1:17" x14ac:dyDescent="0.25">
      <c r="A257" t="s">
        <v>17</v>
      </c>
      <c r="B257" t="s">
        <v>534</v>
      </c>
      <c r="C257" t="s">
        <v>535</v>
      </c>
      <c r="D257" t="s">
        <v>15</v>
      </c>
      <c r="E257" t="s">
        <v>75</v>
      </c>
      <c r="F257">
        <v>3</v>
      </c>
      <c r="G257" s="1">
        <v>27100</v>
      </c>
      <c r="H257">
        <v>71.2</v>
      </c>
      <c r="I257" s="1">
        <v>1150</v>
      </c>
      <c r="J257" s="1">
        <v>490</v>
      </c>
      <c r="K257" s="1">
        <v>800</v>
      </c>
      <c r="L257">
        <v>0.79</v>
      </c>
      <c r="M2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71390</v>
      </c>
      <c r="N257" s="1">
        <f>International_Education_Costs[[#This Row],[Total_Cost]]/International_Education_Costs[[#This Row],[Duration_Years]]</f>
        <v>23796.666666666668</v>
      </c>
      <c r="O257" s="1">
        <f>International_Education_Costs[[#This Row],[Rent_USD]] * 12 * International_Education_Costs[[#This Row],[Duration_Years]]</f>
        <v>41400</v>
      </c>
      <c r="P257" s="1">
        <f>International_Education_Costs[[#This Row],[Total_Cost]]-International_Education_Costs[[#This Row],[Tuition_USD]]</f>
        <v>44290</v>
      </c>
      <c r="Q257" s="2">
        <f>International_Education_Costs[[#This Row],[Tuition_USD]]/International_Education_Costs[[#This Row],[Total_Cost]]</f>
        <v>0.37960498669281412</v>
      </c>
    </row>
    <row r="258" spans="1:17" x14ac:dyDescent="0.25">
      <c r="A258" t="s">
        <v>17</v>
      </c>
      <c r="B258" t="s">
        <v>536</v>
      </c>
      <c r="C258" t="s">
        <v>537</v>
      </c>
      <c r="D258" t="s">
        <v>15</v>
      </c>
      <c r="E258" t="s">
        <v>75</v>
      </c>
      <c r="F258">
        <v>3</v>
      </c>
      <c r="G258" s="1">
        <v>26800</v>
      </c>
      <c r="H258">
        <v>72.5</v>
      </c>
      <c r="I258" s="1">
        <v>1200</v>
      </c>
      <c r="J258" s="1">
        <v>490</v>
      </c>
      <c r="K258" s="1">
        <v>800</v>
      </c>
      <c r="L258">
        <v>0.79</v>
      </c>
      <c r="M2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72890</v>
      </c>
      <c r="N258" s="1">
        <f>International_Education_Costs[[#This Row],[Total_Cost]]/International_Education_Costs[[#This Row],[Duration_Years]]</f>
        <v>24296.666666666668</v>
      </c>
      <c r="O258" s="1">
        <f>International_Education_Costs[[#This Row],[Rent_USD]] * 12 * International_Education_Costs[[#This Row],[Duration_Years]]</f>
        <v>43200</v>
      </c>
      <c r="P258" s="1">
        <f>International_Education_Costs[[#This Row],[Total_Cost]]-International_Education_Costs[[#This Row],[Tuition_USD]]</f>
        <v>46090</v>
      </c>
      <c r="Q258" s="2">
        <f>International_Education_Costs[[#This Row],[Tuition_USD]]/International_Education_Costs[[#This Row],[Total_Cost]]</f>
        <v>0.36767732199204278</v>
      </c>
    </row>
    <row r="259" spans="1:17" x14ac:dyDescent="0.25">
      <c r="A259" t="s">
        <v>17</v>
      </c>
      <c r="B259" t="s">
        <v>538</v>
      </c>
      <c r="C259" t="s">
        <v>539</v>
      </c>
      <c r="D259" t="s">
        <v>15</v>
      </c>
      <c r="E259" t="s">
        <v>75</v>
      </c>
      <c r="F259">
        <v>3</v>
      </c>
      <c r="G259" s="1">
        <v>26500</v>
      </c>
      <c r="H259">
        <v>69.8</v>
      </c>
      <c r="I259" s="1">
        <v>1000</v>
      </c>
      <c r="J259" s="1">
        <v>490</v>
      </c>
      <c r="K259" s="1">
        <v>800</v>
      </c>
      <c r="L259">
        <v>0.79</v>
      </c>
      <c r="M2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65390</v>
      </c>
      <c r="N259" s="1">
        <f>International_Education_Costs[[#This Row],[Total_Cost]]/International_Education_Costs[[#This Row],[Duration_Years]]</f>
        <v>21796.666666666668</v>
      </c>
      <c r="O259" s="1">
        <f>International_Education_Costs[[#This Row],[Rent_USD]] * 12 * International_Education_Costs[[#This Row],[Duration_Years]]</f>
        <v>36000</v>
      </c>
      <c r="P259" s="1">
        <f>International_Education_Costs[[#This Row],[Total_Cost]]-International_Education_Costs[[#This Row],[Tuition_USD]]</f>
        <v>38890</v>
      </c>
      <c r="Q259" s="2">
        <f>International_Education_Costs[[#This Row],[Tuition_USD]]/International_Education_Costs[[#This Row],[Total_Cost]]</f>
        <v>0.40526074323291023</v>
      </c>
    </row>
    <row r="260" spans="1:17" x14ac:dyDescent="0.25">
      <c r="A260" t="s">
        <v>17</v>
      </c>
      <c r="B260" t="s">
        <v>540</v>
      </c>
      <c r="C260" t="s">
        <v>541</v>
      </c>
      <c r="D260" t="s">
        <v>15</v>
      </c>
      <c r="E260" t="s">
        <v>75</v>
      </c>
      <c r="F260">
        <v>3</v>
      </c>
      <c r="G260" s="1">
        <v>26200</v>
      </c>
      <c r="H260">
        <v>73.400000000000006</v>
      </c>
      <c r="I260" s="1">
        <v>1250</v>
      </c>
      <c r="J260" s="1">
        <v>490</v>
      </c>
      <c r="K260" s="1">
        <v>800</v>
      </c>
      <c r="L260">
        <v>0.79</v>
      </c>
      <c r="M2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74090</v>
      </c>
      <c r="N260" s="1">
        <f>International_Education_Costs[[#This Row],[Total_Cost]]/International_Education_Costs[[#This Row],[Duration_Years]]</f>
        <v>24696.666666666668</v>
      </c>
      <c r="O260" s="1">
        <f>International_Education_Costs[[#This Row],[Rent_USD]] * 12 * International_Education_Costs[[#This Row],[Duration_Years]]</f>
        <v>45000</v>
      </c>
      <c r="P260" s="1">
        <f>International_Education_Costs[[#This Row],[Total_Cost]]-International_Education_Costs[[#This Row],[Tuition_USD]]</f>
        <v>47890</v>
      </c>
      <c r="Q260" s="2">
        <f>International_Education_Costs[[#This Row],[Tuition_USD]]/International_Education_Costs[[#This Row],[Total_Cost]]</f>
        <v>0.35362397084626807</v>
      </c>
    </row>
    <row r="261" spans="1:17" x14ac:dyDescent="0.25">
      <c r="A261" t="s">
        <v>17</v>
      </c>
      <c r="B261" t="s">
        <v>542</v>
      </c>
      <c r="C261" t="s">
        <v>543</v>
      </c>
      <c r="D261" t="s">
        <v>15</v>
      </c>
      <c r="E261" t="s">
        <v>75</v>
      </c>
      <c r="F261">
        <v>3</v>
      </c>
      <c r="G261" s="1">
        <v>25900</v>
      </c>
      <c r="H261">
        <v>71.8</v>
      </c>
      <c r="I261" s="1">
        <v>1150</v>
      </c>
      <c r="J261" s="1">
        <v>490</v>
      </c>
      <c r="K261" s="1">
        <v>800</v>
      </c>
      <c r="L261">
        <v>0.79</v>
      </c>
      <c r="M2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70190</v>
      </c>
      <c r="N261" s="1">
        <f>International_Education_Costs[[#This Row],[Total_Cost]]/International_Education_Costs[[#This Row],[Duration_Years]]</f>
        <v>23396.666666666668</v>
      </c>
      <c r="O261" s="1">
        <f>International_Education_Costs[[#This Row],[Rent_USD]] * 12 * International_Education_Costs[[#This Row],[Duration_Years]]</f>
        <v>41400</v>
      </c>
      <c r="P261" s="1">
        <f>International_Education_Costs[[#This Row],[Total_Cost]]-International_Education_Costs[[#This Row],[Tuition_USD]]</f>
        <v>44290</v>
      </c>
      <c r="Q261" s="2">
        <f>International_Education_Costs[[#This Row],[Tuition_USD]]/International_Education_Costs[[#This Row],[Total_Cost]]</f>
        <v>0.36899843282518879</v>
      </c>
    </row>
    <row r="262" spans="1:17" x14ac:dyDescent="0.25">
      <c r="A262" t="s">
        <v>17</v>
      </c>
      <c r="B262" t="s">
        <v>544</v>
      </c>
      <c r="C262" t="s">
        <v>545</v>
      </c>
      <c r="D262" t="s">
        <v>15</v>
      </c>
      <c r="E262" t="s">
        <v>75</v>
      </c>
      <c r="F262">
        <v>3</v>
      </c>
      <c r="G262" s="1">
        <v>25600</v>
      </c>
      <c r="H262">
        <v>72.099999999999994</v>
      </c>
      <c r="I262" s="1">
        <v>1200</v>
      </c>
      <c r="J262" s="1">
        <v>490</v>
      </c>
      <c r="K262" s="1">
        <v>800</v>
      </c>
      <c r="L262">
        <v>0.79</v>
      </c>
      <c r="M2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71690</v>
      </c>
      <c r="N262" s="1">
        <f>International_Education_Costs[[#This Row],[Total_Cost]]/International_Education_Costs[[#This Row],[Duration_Years]]</f>
        <v>23896.666666666668</v>
      </c>
      <c r="O262" s="1">
        <f>International_Education_Costs[[#This Row],[Rent_USD]] * 12 * International_Education_Costs[[#This Row],[Duration_Years]]</f>
        <v>43200</v>
      </c>
      <c r="P262" s="1">
        <f>International_Education_Costs[[#This Row],[Total_Cost]]-International_Education_Costs[[#This Row],[Tuition_USD]]</f>
        <v>46090</v>
      </c>
      <c r="Q262" s="2">
        <f>International_Education_Costs[[#This Row],[Tuition_USD]]/International_Education_Costs[[#This Row],[Total_Cost]]</f>
        <v>0.35709303947551962</v>
      </c>
    </row>
    <row r="263" spans="1:17" x14ac:dyDescent="0.25">
      <c r="A263" t="s">
        <v>17</v>
      </c>
      <c r="B263" t="s">
        <v>546</v>
      </c>
      <c r="C263" t="s">
        <v>547</v>
      </c>
      <c r="D263" t="s">
        <v>15</v>
      </c>
      <c r="E263" t="s">
        <v>75</v>
      </c>
      <c r="F263">
        <v>3</v>
      </c>
      <c r="G263" s="1">
        <v>25300</v>
      </c>
      <c r="H263">
        <v>70.5</v>
      </c>
      <c r="I263" s="1">
        <v>1100</v>
      </c>
      <c r="J263" s="1">
        <v>490</v>
      </c>
      <c r="K263" s="1">
        <v>800</v>
      </c>
      <c r="L263">
        <v>0.79</v>
      </c>
      <c r="M2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67790</v>
      </c>
      <c r="N263" s="1">
        <f>International_Education_Costs[[#This Row],[Total_Cost]]/International_Education_Costs[[#This Row],[Duration_Years]]</f>
        <v>22596.666666666668</v>
      </c>
      <c r="O263" s="1">
        <f>International_Education_Costs[[#This Row],[Rent_USD]] * 12 * International_Education_Costs[[#This Row],[Duration_Years]]</f>
        <v>39600</v>
      </c>
      <c r="P263" s="1">
        <f>International_Education_Costs[[#This Row],[Total_Cost]]-International_Education_Costs[[#This Row],[Tuition_USD]]</f>
        <v>42490</v>
      </c>
      <c r="Q263" s="2">
        <f>International_Education_Costs[[#This Row],[Tuition_USD]]/International_Education_Costs[[#This Row],[Total_Cost]]</f>
        <v>0.37321138811034077</v>
      </c>
    </row>
    <row r="264" spans="1:17" x14ac:dyDescent="0.25">
      <c r="A264" t="s">
        <v>17</v>
      </c>
      <c r="B264" t="s">
        <v>548</v>
      </c>
      <c r="C264" t="s">
        <v>549</v>
      </c>
      <c r="D264" t="s">
        <v>15</v>
      </c>
      <c r="E264" t="s">
        <v>75</v>
      </c>
      <c r="F264">
        <v>4</v>
      </c>
      <c r="G264" s="1">
        <v>25000</v>
      </c>
      <c r="H264">
        <v>68.900000000000006</v>
      </c>
      <c r="I264" s="1">
        <v>950</v>
      </c>
      <c r="J264" s="1">
        <v>490</v>
      </c>
      <c r="K264" s="1">
        <v>800</v>
      </c>
      <c r="L264">
        <v>0.79</v>
      </c>
      <c r="M2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74290</v>
      </c>
      <c r="N264" s="1">
        <f>International_Education_Costs[[#This Row],[Total_Cost]]/International_Education_Costs[[#This Row],[Duration_Years]]</f>
        <v>18572.5</v>
      </c>
      <c r="O264" s="1">
        <f>International_Education_Costs[[#This Row],[Rent_USD]] * 12 * International_Education_Costs[[#This Row],[Duration_Years]]</f>
        <v>45600</v>
      </c>
      <c r="P264" s="1">
        <f>International_Education_Costs[[#This Row],[Total_Cost]]-International_Education_Costs[[#This Row],[Tuition_USD]]</f>
        <v>49290</v>
      </c>
      <c r="Q264" s="2">
        <f>International_Education_Costs[[#This Row],[Tuition_USD]]/International_Education_Costs[[#This Row],[Total_Cost]]</f>
        <v>0.33651904697805896</v>
      </c>
    </row>
    <row r="265" spans="1:17" x14ac:dyDescent="0.25">
      <c r="A265" t="s">
        <v>17</v>
      </c>
      <c r="B265" t="s">
        <v>550</v>
      </c>
      <c r="C265" t="s">
        <v>551</v>
      </c>
      <c r="D265" t="s">
        <v>15</v>
      </c>
      <c r="E265" t="s">
        <v>75</v>
      </c>
      <c r="F265">
        <v>4</v>
      </c>
      <c r="G265" s="1">
        <v>24700</v>
      </c>
      <c r="H265">
        <v>69.2</v>
      </c>
      <c r="I265" s="1">
        <v>1000</v>
      </c>
      <c r="J265" s="1">
        <v>490</v>
      </c>
      <c r="K265" s="1">
        <v>800</v>
      </c>
      <c r="L265">
        <v>0.79</v>
      </c>
      <c r="M2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76390</v>
      </c>
      <c r="N265" s="1">
        <f>International_Education_Costs[[#This Row],[Total_Cost]]/International_Education_Costs[[#This Row],[Duration_Years]]</f>
        <v>19097.5</v>
      </c>
      <c r="O265" s="1">
        <f>International_Education_Costs[[#This Row],[Rent_USD]] * 12 * International_Education_Costs[[#This Row],[Duration_Years]]</f>
        <v>48000</v>
      </c>
      <c r="P265" s="1">
        <f>International_Education_Costs[[#This Row],[Total_Cost]]-International_Education_Costs[[#This Row],[Tuition_USD]]</f>
        <v>51690</v>
      </c>
      <c r="Q265" s="2">
        <f>International_Education_Costs[[#This Row],[Tuition_USD]]/International_Education_Costs[[#This Row],[Total_Cost]]</f>
        <v>0.32334075140725227</v>
      </c>
    </row>
    <row r="266" spans="1:17" x14ac:dyDescent="0.25">
      <c r="A266" t="s">
        <v>17</v>
      </c>
      <c r="B266" t="s">
        <v>552</v>
      </c>
      <c r="C266" t="s">
        <v>553</v>
      </c>
      <c r="D266" t="s">
        <v>15</v>
      </c>
      <c r="E266" t="s">
        <v>75</v>
      </c>
      <c r="F266">
        <v>4</v>
      </c>
      <c r="G266" s="1">
        <v>24400</v>
      </c>
      <c r="H266">
        <v>69.5</v>
      </c>
      <c r="I266" s="1">
        <v>1050</v>
      </c>
      <c r="J266" s="1">
        <v>490</v>
      </c>
      <c r="K266" s="1">
        <v>800</v>
      </c>
      <c r="L266">
        <v>0.79</v>
      </c>
      <c r="M2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78490</v>
      </c>
      <c r="N266" s="1">
        <f>International_Education_Costs[[#This Row],[Total_Cost]]/International_Education_Costs[[#This Row],[Duration_Years]]</f>
        <v>19622.5</v>
      </c>
      <c r="O266" s="1">
        <f>International_Education_Costs[[#This Row],[Rent_USD]] * 12 * International_Education_Costs[[#This Row],[Duration_Years]]</f>
        <v>50400</v>
      </c>
      <c r="P266" s="1">
        <f>International_Education_Costs[[#This Row],[Total_Cost]]-International_Education_Costs[[#This Row],[Tuition_USD]]</f>
        <v>54090</v>
      </c>
      <c r="Q266" s="2">
        <f>International_Education_Costs[[#This Row],[Tuition_USD]]/International_Education_Costs[[#This Row],[Total_Cost]]</f>
        <v>0.31086762644922922</v>
      </c>
    </row>
    <row r="267" spans="1:17" x14ac:dyDescent="0.25">
      <c r="A267" t="s">
        <v>17</v>
      </c>
      <c r="B267" t="s">
        <v>554</v>
      </c>
      <c r="C267" t="s">
        <v>555</v>
      </c>
      <c r="D267" t="s">
        <v>15</v>
      </c>
      <c r="E267" t="s">
        <v>75</v>
      </c>
      <c r="F267">
        <v>3</v>
      </c>
      <c r="G267" s="1">
        <v>24100</v>
      </c>
      <c r="H267">
        <v>68.5</v>
      </c>
      <c r="I267" s="1">
        <v>900</v>
      </c>
      <c r="J267" s="1">
        <v>490</v>
      </c>
      <c r="K267" s="1">
        <v>800</v>
      </c>
      <c r="L267">
        <v>0.79</v>
      </c>
      <c r="M2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59390</v>
      </c>
      <c r="N267" s="1">
        <f>International_Education_Costs[[#This Row],[Total_Cost]]/International_Education_Costs[[#This Row],[Duration_Years]]</f>
        <v>19796.666666666668</v>
      </c>
      <c r="O267" s="1">
        <f>International_Education_Costs[[#This Row],[Rent_USD]] * 12 * International_Education_Costs[[#This Row],[Duration_Years]]</f>
        <v>32400</v>
      </c>
      <c r="P267" s="1">
        <f>International_Education_Costs[[#This Row],[Total_Cost]]-International_Education_Costs[[#This Row],[Tuition_USD]]</f>
        <v>35290</v>
      </c>
      <c r="Q267" s="2">
        <f>International_Education_Costs[[#This Row],[Tuition_USD]]/International_Education_Costs[[#This Row],[Total_Cost]]</f>
        <v>0.40579222091261152</v>
      </c>
    </row>
    <row r="268" spans="1:17" x14ac:dyDescent="0.25">
      <c r="A268" t="s">
        <v>17</v>
      </c>
      <c r="B268" t="s">
        <v>556</v>
      </c>
      <c r="C268" t="s">
        <v>557</v>
      </c>
      <c r="D268" t="s">
        <v>15</v>
      </c>
      <c r="E268" t="s">
        <v>75</v>
      </c>
      <c r="F268">
        <v>3</v>
      </c>
      <c r="G268" s="1">
        <v>23800</v>
      </c>
      <c r="H268">
        <v>83.2</v>
      </c>
      <c r="I268" s="1">
        <v>1800</v>
      </c>
      <c r="J268" s="1">
        <v>490</v>
      </c>
      <c r="K268" s="1">
        <v>800</v>
      </c>
      <c r="L268">
        <v>0.79</v>
      </c>
      <c r="M2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91490</v>
      </c>
      <c r="N268" s="1">
        <f>International_Education_Costs[[#This Row],[Total_Cost]]/International_Education_Costs[[#This Row],[Duration_Years]]</f>
        <v>30496.666666666668</v>
      </c>
      <c r="O268" s="1">
        <f>International_Education_Costs[[#This Row],[Rent_USD]] * 12 * International_Education_Costs[[#This Row],[Duration_Years]]</f>
        <v>64800</v>
      </c>
      <c r="P268" s="1">
        <f>International_Education_Costs[[#This Row],[Total_Cost]]-International_Education_Costs[[#This Row],[Tuition_USD]]</f>
        <v>67690</v>
      </c>
      <c r="Q268" s="2">
        <f>International_Education_Costs[[#This Row],[Tuition_USD]]/International_Education_Costs[[#This Row],[Total_Cost]]</f>
        <v>0.26013771996939555</v>
      </c>
    </row>
    <row r="269" spans="1:17" x14ac:dyDescent="0.25">
      <c r="A269" t="s">
        <v>17</v>
      </c>
      <c r="B269" t="s">
        <v>558</v>
      </c>
      <c r="C269" t="s">
        <v>559</v>
      </c>
      <c r="D269" t="s">
        <v>15</v>
      </c>
      <c r="E269" t="s">
        <v>75</v>
      </c>
      <c r="F269">
        <v>3</v>
      </c>
      <c r="G269" s="1">
        <v>23500</v>
      </c>
      <c r="H269">
        <v>83.2</v>
      </c>
      <c r="I269" s="1">
        <v>1900</v>
      </c>
      <c r="J269" s="1">
        <v>490</v>
      </c>
      <c r="K269" s="1">
        <v>800</v>
      </c>
      <c r="L269">
        <v>0.79</v>
      </c>
      <c r="M2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94790</v>
      </c>
      <c r="N269" s="1">
        <f>International_Education_Costs[[#This Row],[Total_Cost]]/International_Education_Costs[[#This Row],[Duration_Years]]</f>
        <v>31596.666666666668</v>
      </c>
      <c r="O269" s="1">
        <f>International_Education_Costs[[#This Row],[Rent_USD]] * 12 * International_Education_Costs[[#This Row],[Duration_Years]]</f>
        <v>68400</v>
      </c>
      <c r="P269" s="1">
        <f>International_Education_Costs[[#This Row],[Total_Cost]]-International_Education_Costs[[#This Row],[Tuition_USD]]</f>
        <v>71290</v>
      </c>
      <c r="Q269" s="2">
        <f>International_Education_Costs[[#This Row],[Tuition_USD]]/International_Education_Costs[[#This Row],[Total_Cost]]</f>
        <v>0.24791644688258255</v>
      </c>
    </row>
    <row r="270" spans="1:17" x14ac:dyDescent="0.25">
      <c r="A270" t="s">
        <v>17</v>
      </c>
      <c r="B270" t="s">
        <v>560</v>
      </c>
      <c r="C270" t="s">
        <v>561</v>
      </c>
      <c r="D270" t="s">
        <v>15</v>
      </c>
      <c r="E270" t="s">
        <v>75</v>
      </c>
      <c r="F270">
        <v>3</v>
      </c>
      <c r="G270" s="1">
        <v>23200</v>
      </c>
      <c r="H270">
        <v>75.5</v>
      </c>
      <c r="I270" s="1">
        <v>1400</v>
      </c>
      <c r="J270" s="1">
        <v>490</v>
      </c>
      <c r="K270" s="1">
        <v>800</v>
      </c>
      <c r="L270">
        <v>0.79</v>
      </c>
      <c r="M2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76490</v>
      </c>
      <c r="N270" s="1">
        <f>International_Education_Costs[[#This Row],[Total_Cost]]/International_Education_Costs[[#This Row],[Duration_Years]]</f>
        <v>25496.666666666668</v>
      </c>
      <c r="O270" s="1">
        <f>International_Education_Costs[[#This Row],[Rent_USD]] * 12 * International_Education_Costs[[#This Row],[Duration_Years]]</f>
        <v>50400</v>
      </c>
      <c r="P270" s="1">
        <f>International_Education_Costs[[#This Row],[Total_Cost]]-International_Education_Costs[[#This Row],[Tuition_USD]]</f>
        <v>53290</v>
      </c>
      <c r="Q270" s="2">
        <f>International_Education_Costs[[#This Row],[Tuition_USD]]/International_Education_Costs[[#This Row],[Total_Cost]]</f>
        <v>0.30330762191136096</v>
      </c>
    </row>
    <row r="271" spans="1:17" x14ac:dyDescent="0.25">
      <c r="A271" t="s">
        <v>17</v>
      </c>
      <c r="B271" t="s">
        <v>562</v>
      </c>
      <c r="C271" t="s">
        <v>563</v>
      </c>
      <c r="D271" t="s">
        <v>15</v>
      </c>
      <c r="E271" t="s">
        <v>75</v>
      </c>
      <c r="F271">
        <v>3</v>
      </c>
      <c r="G271" s="1">
        <v>22900</v>
      </c>
      <c r="H271">
        <v>69.8</v>
      </c>
      <c r="I271" s="1">
        <v>1000</v>
      </c>
      <c r="J271" s="1">
        <v>490</v>
      </c>
      <c r="K271" s="1">
        <v>800</v>
      </c>
      <c r="L271">
        <v>0.79</v>
      </c>
      <c r="M2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61790</v>
      </c>
      <c r="N271" s="1">
        <f>International_Education_Costs[[#This Row],[Total_Cost]]/International_Education_Costs[[#This Row],[Duration_Years]]</f>
        <v>20596.666666666668</v>
      </c>
      <c r="O271" s="1">
        <f>International_Education_Costs[[#This Row],[Rent_USD]] * 12 * International_Education_Costs[[#This Row],[Duration_Years]]</f>
        <v>36000</v>
      </c>
      <c r="P271" s="1">
        <f>International_Education_Costs[[#This Row],[Total_Cost]]-International_Education_Costs[[#This Row],[Tuition_USD]]</f>
        <v>38890</v>
      </c>
      <c r="Q271" s="2">
        <f>International_Education_Costs[[#This Row],[Tuition_USD]]/International_Education_Costs[[#This Row],[Total_Cost]]</f>
        <v>0.37061013108917301</v>
      </c>
    </row>
    <row r="272" spans="1:17" x14ac:dyDescent="0.25">
      <c r="A272" t="s">
        <v>17</v>
      </c>
      <c r="B272" t="s">
        <v>564</v>
      </c>
      <c r="C272" t="s">
        <v>565</v>
      </c>
      <c r="D272" t="s">
        <v>15</v>
      </c>
      <c r="E272" t="s">
        <v>75</v>
      </c>
      <c r="F272">
        <v>3</v>
      </c>
      <c r="G272" s="1">
        <v>22600</v>
      </c>
      <c r="H272">
        <v>68.5</v>
      </c>
      <c r="I272" s="1">
        <v>950</v>
      </c>
      <c r="J272" s="1">
        <v>490</v>
      </c>
      <c r="K272" s="1">
        <v>800</v>
      </c>
      <c r="L272">
        <v>0.79</v>
      </c>
      <c r="M2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59690</v>
      </c>
      <c r="N272" s="1">
        <f>International_Education_Costs[[#This Row],[Total_Cost]]/International_Education_Costs[[#This Row],[Duration_Years]]</f>
        <v>19896.666666666668</v>
      </c>
      <c r="O272" s="1">
        <f>International_Education_Costs[[#This Row],[Rent_USD]] * 12 * International_Education_Costs[[#This Row],[Duration_Years]]</f>
        <v>34200</v>
      </c>
      <c r="P272" s="1">
        <f>International_Education_Costs[[#This Row],[Total_Cost]]-International_Education_Costs[[#This Row],[Tuition_USD]]</f>
        <v>37090</v>
      </c>
      <c r="Q272" s="2">
        <f>International_Education_Costs[[#This Row],[Tuition_USD]]/International_Education_Costs[[#This Row],[Total_Cost]]</f>
        <v>0.37862288490534429</v>
      </c>
    </row>
    <row r="273" spans="1:17" x14ac:dyDescent="0.25">
      <c r="A273" t="s">
        <v>17</v>
      </c>
      <c r="B273" t="s">
        <v>566</v>
      </c>
      <c r="C273" t="s">
        <v>567</v>
      </c>
      <c r="D273" t="s">
        <v>15</v>
      </c>
      <c r="E273" t="s">
        <v>75</v>
      </c>
      <c r="F273">
        <v>3</v>
      </c>
      <c r="G273" s="1">
        <v>22300</v>
      </c>
      <c r="H273">
        <v>71.8</v>
      </c>
      <c r="I273" s="1">
        <v>1200</v>
      </c>
      <c r="J273" s="1">
        <v>490</v>
      </c>
      <c r="K273" s="1">
        <v>800</v>
      </c>
      <c r="L273">
        <v>0.79</v>
      </c>
      <c r="M2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68390</v>
      </c>
      <c r="N273" s="1">
        <f>International_Education_Costs[[#This Row],[Total_Cost]]/International_Education_Costs[[#This Row],[Duration_Years]]</f>
        <v>22796.666666666668</v>
      </c>
      <c r="O273" s="1">
        <f>International_Education_Costs[[#This Row],[Rent_USD]] * 12 * International_Education_Costs[[#This Row],[Duration_Years]]</f>
        <v>43200</v>
      </c>
      <c r="P273" s="1">
        <f>International_Education_Costs[[#This Row],[Total_Cost]]-International_Education_Costs[[#This Row],[Tuition_USD]]</f>
        <v>46090</v>
      </c>
      <c r="Q273" s="2">
        <f>International_Education_Costs[[#This Row],[Tuition_USD]]/International_Education_Costs[[#This Row],[Total_Cost]]</f>
        <v>0.32607106302090949</v>
      </c>
    </row>
    <row r="274" spans="1:17" x14ac:dyDescent="0.25">
      <c r="A274" t="s">
        <v>17</v>
      </c>
      <c r="B274" t="s">
        <v>568</v>
      </c>
      <c r="C274" t="s">
        <v>569</v>
      </c>
      <c r="D274" t="s">
        <v>15</v>
      </c>
      <c r="E274" t="s">
        <v>75</v>
      </c>
      <c r="F274">
        <v>3</v>
      </c>
      <c r="G274" s="1">
        <v>22000</v>
      </c>
      <c r="H274">
        <v>67.900000000000006</v>
      </c>
      <c r="I274" s="1">
        <v>850</v>
      </c>
      <c r="J274" s="1">
        <v>490</v>
      </c>
      <c r="K274" s="1">
        <v>800</v>
      </c>
      <c r="L274">
        <v>0.79</v>
      </c>
      <c r="M2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55490</v>
      </c>
      <c r="N274" s="1">
        <f>International_Education_Costs[[#This Row],[Total_Cost]]/International_Education_Costs[[#This Row],[Duration_Years]]</f>
        <v>18496.666666666668</v>
      </c>
      <c r="O274" s="1">
        <f>International_Education_Costs[[#This Row],[Rent_USD]] * 12 * International_Education_Costs[[#This Row],[Duration_Years]]</f>
        <v>30600</v>
      </c>
      <c r="P274" s="1">
        <f>International_Education_Costs[[#This Row],[Total_Cost]]-International_Education_Costs[[#This Row],[Tuition_USD]]</f>
        <v>33490</v>
      </c>
      <c r="Q274" s="2">
        <f>International_Education_Costs[[#This Row],[Tuition_USD]]/International_Education_Costs[[#This Row],[Total_Cost]]</f>
        <v>0.39646783204180935</v>
      </c>
    </row>
    <row r="275" spans="1:17" x14ac:dyDescent="0.25">
      <c r="A275" t="s">
        <v>17</v>
      </c>
      <c r="B275" t="s">
        <v>570</v>
      </c>
      <c r="C275" t="s">
        <v>571</v>
      </c>
      <c r="D275" t="s">
        <v>15</v>
      </c>
      <c r="E275" t="s">
        <v>75</v>
      </c>
      <c r="F275">
        <v>3</v>
      </c>
      <c r="G275" s="1">
        <v>21700</v>
      </c>
      <c r="H275">
        <v>67.5</v>
      </c>
      <c r="I275" s="1">
        <v>800</v>
      </c>
      <c r="J275" s="1">
        <v>490</v>
      </c>
      <c r="K275" s="1">
        <v>800</v>
      </c>
      <c r="L275">
        <v>0.79</v>
      </c>
      <c r="M2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53390</v>
      </c>
      <c r="N275" s="1">
        <f>International_Education_Costs[[#This Row],[Total_Cost]]/International_Education_Costs[[#This Row],[Duration_Years]]</f>
        <v>17796.666666666668</v>
      </c>
      <c r="O275" s="1">
        <f>International_Education_Costs[[#This Row],[Rent_USD]] * 12 * International_Education_Costs[[#This Row],[Duration_Years]]</f>
        <v>28800</v>
      </c>
      <c r="P275" s="1">
        <f>International_Education_Costs[[#This Row],[Total_Cost]]-International_Education_Costs[[#This Row],[Tuition_USD]]</f>
        <v>31690</v>
      </c>
      <c r="Q275" s="2">
        <f>International_Education_Costs[[#This Row],[Tuition_USD]]/International_Education_Costs[[#This Row],[Total_Cost]]</f>
        <v>0.40644315414871701</v>
      </c>
    </row>
    <row r="276" spans="1:17" x14ac:dyDescent="0.25">
      <c r="A276" t="s">
        <v>17</v>
      </c>
      <c r="B276" t="s">
        <v>572</v>
      </c>
      <c r="C276" t="s">
        <v>573</v>
      </c>
      <c r="D276" t="s">
        <v>15</v>
      </c>
      <c r="E276" t="s">
        <v>75</v>
      </c>
      <c r="F276">
        <v>3</v>
      </c>
      <c r="G276" s="1">
        <v>21400</v>
      </c>
      <c r="H276">
        <v>69.2</v>
      </c>
      <c r="I276" s="1">
        <v>950</v>
      </c>
      <c r="J276" s="1">
        <v>490</v>
      </c>
      <c r="K276" s="1">
        <v>800</v>
      </c>
      <c r="L276">
        <v>0.79</v>
      </c>
      <c r="M2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58490</v>
      </c>
      <c r="N276" s="1">
        <f>International_Education_Costs[[#This Row],[Total_Cost]]/International_Education_Costs[[#This Row],[Duration_Years]]</f>
        <v>19496.666666666668</v>
      </c>
      <c r="O276" s="1">
        <f>International_Education_Costs[[#This Row],[Rent_USD]] * 12 * International_Education_Costs[[#This Row],[Duration_Years]]</f>
        <v>34200</v>
      </c>
      <c r="P276" s="1">
        <f>International_Education_Costs[[#This Row],[Total_Cost]]-International_Education_Costs[[#This Row],[Tuition_USD]]</f>
        <v>37090</v>
      </c>
      <c r="Q276" s="2">
        <f>International_Education_Costs[[#This Row],[Tuition_USD]]/International_Education_Costs[[#This Row],[Total_Cost]]</f>
        <v>0.36587450846298514</v>
      </c>
    </row>
    <row r="277" spans="1:17" x14ac:dyDescent="0.25">
      <c r="A277" t="s">
        <v>17</v>
      </c>
      <c r="B277" t="s">
        <v>574</v>
      </c>
      <c r="C277" t="s">
        <v>575</v>
      </c>
      <c r="D277" t="s">
        <v>15</v>
      </c>
      <c r="E277" t="s">
        <v>75</v>
      </c>
      <c r="F277">
        <v>3</v>
      </c>
      <c r="G277" s="1">
        <v>21100</v>
      </c>
      <c r="H277">
        <v>70.5</v>
      </c>
      <c r="I277" s="1">
        <v>1000</v>
      </c>
      <c r="J277" s="1">
        <v>490</v>
      </c>
      <c r="K277" s="1">
        <v>800</v>
      </c>
      <c r="L277">
        <v>0.79</v>
      </c>
      <c r="M2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59990</v>
      </c>
      <c r="N277" s="1">
        <f>International_Education_Costs[[#This Row],[Total_Cost]]/International_Education_Costs[[#This Row],[Duration_Years]]</f>
        <v>19996.666666666668</v>
      </c>
      <c r="O277" s="1">
        <f>International_Education_Costs[[#This Row],[Rent_USD]] * 12 * International_Education_Costs[[#This Row],[Duration_Years]]</f>
        <v>36000</v>
      </c>
      <c r="P277" s="1">
        <f>International_Education_Costs[[#This Row],[Total_Cost]]-International_Education_Costs[[#This Row],[Tuition_USD]]</f>
        <v>38890</v>
      </c>
      <c r="Q277" s="2">
        <f>International_Education_Costs[[#This Row],[Tuition_USD]]/International_Education_Costs[[#This Row],[Total_Cost]]</f>
        <v>0.35172528754792465</v>
      </c>
    </row>
    <row r="278" spans="1:17" x14ac:dyDescent="0.25">
      <c r="A278" t="s">
        <v>17</v>
      </c>
      <c r="B278" t="s">
        <v>576</v>
      </c>
      <c r="C278" t="s">
        <v>577</v>
      </c>
      <c r="D278" t="s">
        <v>15</v>
      </c>
      <c r="E278" t="s">
        <v>75</v>
      </c>
      <c r="F278">
        <v>3</v>
      </c>
      <c r="G278" s="1">
        <v>20800</v>
      </c>
      <c r="H278">
        <v>67.2</v>
      </c>
      <c r="I278" s="1">
        <v>800</v>
      </c>
      <c r="J278" s="1">
        <v>490</v>
      </c>
      <c r="K278" s="1">
        <v>800</v>
      </c>
      <c r="L278">
        <v>0.79</v>
      </c>
      <c r="M2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52490</v>
      </c>
      <c r="N278" s="1">
        <f>International_Education_Costs[[#This Row],[Total_Cost]]/International_Education_Costs[[#This Row],[Duration_Years]]</f>
        <v>17496.666666666668</v>
      </c>
      <c r="O278" s="1">
        <f>International_Education_Costs[[#This Row],[Rent_USD]] * 12 * International_Education_Costs[[#This Row],[Duration_Years]]</f>
        <v>28800</v>
      </c>
      <c r="P278" s="1">
        <f>International_Education_Costs[[#This Row],[Total_Cost]]-International_Education_Costs[[#This Row],[Tuition_USD]]</f>
        <v>31690</v>
      </c>
      <c r="Q278" s="2">
        <f>International_Education_Costs[[#This Row],[Tuition_USD]]/International_Education_Costs[[#This Row],[Total_Cost]]</f>
        <v>0.39626595542008003</v>
      </c>
    </row>
    <row r="279" spans="1:17" x14ac:dyDescent="0.25">
      <c r="A279" t="s">
        <v>17</v>
      </c>
      <c r="B279" t="s">
        <v>578</v>
      </c>
      <c r="C279" t="s">
        <v>579</v>
      </c>
      <c r="D279" t="s">
        <v>15</v>
      </c>
      <c r="E279" t="s">
        <v>75</v>
      </c>
      <c r="F279">
        <v>3</v>
      </c>
      <c r="G279" s="1">
        <v>20500</v>
      </c>
      <c r="H279">
        <v>68.5</v>
      </c>
      <c r="I279" s="1">
        <v>900</v>
      </c>
      <c r="J279" s="1">
        <v>490</v>
      </c>
      <c r="K279" s="1">
        <v>800</v>
      </c>
      <c r="L279">
        <v>0.79</v>
      </c>
      <c r="M2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55790</v>
      </c>
      <c r="N279" s="1">
        <f>International_Education_Costs[[#This Row],[Total_Cost]]/International_Education_Costs[[#This Row],[Duration_Years]]</f>
        <v>18596.666666666668</v>
      </c>
      <c r="O279" s="1">
        <f>International_Education_Costs[[#This Row],[Rent_USD]] * 12 * International_Education_Costs[[#This Row],[Duration_Years]]</f>
        <v>32400</v>
      </c>
      <c r="P279" s="1">
        <f>International_Education_Costs[[#This Row],[Total_Cost]]-International_Education_Costs[[#This Row],[Tuition_USD]]</f>
        <v>35290</v>
      </c>
      <c r="Q279" s="2">
        <f>International_Education_Costs[[#This Row],[Tuition_USD]]/International_Education_Costs[[#This Row],[Total_Cost]]</f>
        <v>0.36744936368524828</v>
      </c>
    </row>
    <row r="280" spans="1:17" x14ac:dyDescent="0.25">
      <c r="A280" t="s">
        <v>17</v>
      </c>
      <c r="B280" t="s">
        <v>580</v>
      </c>
      <c r="C280" t="s">
        <v>581</v>
      </c>
      <c r="D280" t="s">
        <v>15</v>
      </c>
      <c r="E280" t="s">
        <v>75</v>
      </c>
      <c r="F280">
        <v>3</v>
      </c>
      <c r="G280" s="1">
        <v>20200</v>
      </c>
      <c r="H280">
        <v>69.8</v>
      </c>
      <c r="I280" s="1">
        <v>950</v>
      </c>
      <c r="J280" s="1">
        <v>490</v>
      </c>
      <c r="K280" s="1">
        <v>800</v>
      </c>
      <c r="L280">
        <v>0.79</v>
      </c>
      <c r="M2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57290</v>
      </c>
      <c r="N280" s="1">
        <f>International_Education_Costs[[#This Row],[Total_Cost]]/International_Education_Costs[[#This Row],[Duration_Years]]</f>
        <v>19096.666666666668</v>
      </c>
      <c r="O280" s="1">
        <f>International_Education_Costs[[#This Row],[Rent_USD]] * 12 * International_Education_Costs[[#This Row],[Duration_Years]]</f>
        <v>34200</v>
      </c>
      <c r="P280" s="1">
        <f>International_Education_Costs[[#This Row],[Total_Cost]]-International_Education_Costs[[#This Row],[Tuition_USD]]</f>
        <v>37090</v>
      </c>
      <c r="Q280" s="2">
        <f>International_Education_Costs[[#This Row],[Tuition_USD]]/International_Education_Costs[[#This Row],[Total_Cost]]</f>
        <v>0.35259207540582999</v>
      </c>
    </row>
    <row r="281" spans="1:17" x14ac:dyDescent="0.25">
      <c r="A281" t="s">
        <v>17</v>
      </c>
      <c r="B281" t="s">
        <v>582</v>
      </c>
      <c r="C281" t="s">
        <v>583</v>
      </c>
      <c r="D281" t="s">
        <v>15</v>
      </c>
      <c r="E281" t="s">
        <v>75</v>
      </c>
      <c r="F281">
        <v>3</v>
      </c>
      <c r="G281" s="1">
        <v>19900</v>
      </c>
      <c r="H281">
        <v>77.8</v>
      </c>
      <c r="I281" s="1">
        <v>1500</v>
      </c>
      <c r="J281" s="1">
        <v>490</v>
      </c>
      <c r="K281" s="1">
        <v>800</v>
      </c>
      <c r="L281">
        <v>0.79</v>
      </c>
      <c r="M2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76790</v>
      </c>
      <c r="N281" s="1">
        <f>International_Education_Costs[[#This Row],[Total_Cost]]/International_Education_Costs[[#This Row],[Duration_Years]]</f>
        <v>25596.666666666668</v>
      </c>
      <c r="O281" s="1">
        <f>International_Education_Costs[[#This Row],[Rent_USD]] * 12 * International_Education_Costs[[#This Row],[Duration_Years]]</f>
        <v>54000</v>
      </c>
      <c r="P281" s="1">
        <f>International_Education_Costs[[#This Row],[Total_Cost]]-International_Education_Costs[[#This Row],[Tuition_USD]]</f>
        <v>56890</v>
      </c>
      <c r="Q281" s="2">
        <f>International_Education_Costs[[#This Row],[Tuition_USD]]/International_Education_Costs[[#This Row],[Total_Cost]]</f>
        <v>0.25914832660502668</v>
      </c>
    </row>
    <row r="282" spans="1:17" x14ac:dyDescent="0.25">
      <c r="A282" t="s">
        <v>17</v>
      </c>
      <c r="B282" t="s">
        <v>584</v>
      </c>
      <c r="C282" t="s">
        <v>585</v>
      </c>
      <c r="D282" t="s">
        <v>15</v>
      </c>
      <c r="E282" t="s">
        <v>75</v>
      </c>
      <c r="F282">
        <v>3</v>
      </c>
      <c r="G282" s="1">
        <v>19600</v>
      </c>
      <c r="H282">
        <v>68.900000000000006</v>
      </c>
      <c r="I282" s="1">
        <v>900</v>
      </c>
      <c r="J282" s="1">
        <v>490</v>
      </c>
      <c r="K282" s="1">
        <v>800</v>
      </c>
      <c r="L282">
        <v>0.79</v>
      </c>
      <c r="M2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54890</v>
      </c>
      <c r="N282" s="1">
        <f>International_Education_Costs[[#This Row],[Total_Cost]]/International_Education_Costs[[#This Row],[Duration_Years]]</f>
        <v>18296.666666666668</v>
      </c>
      <c r="O282" s="1">
        <f>International_Education_Costs[[#This Row],[Rent_USD]] * 12 * International_Education_Costs[[#This Row],[Duration_Years]]</f>
        <v>32400</v>
      </c>
      <c r="P282" s="1">
        <f>International_Education_Costs[[#This Row],[Total_Cost]]-International_Education_Costs[[#This Row],[Tuition_USD]]</f>
        <v>35290</v>
      </c>
      <c r="Q282" s="2">
        <f>International_Education_Costs[[#This Row],[Tuition_USD]]/International_Education_Costs[[#This Row],[Total_Cost]]</f>
        <v>0.35707779194753142</v>
      </c>
    </row>
    <row r="283" spans="1:17" x14ac:dyDescent="0.25">
      <c r="A283" t="s">
        <v>17</v>
      </c>
      <c r="B283" t="s">
        <v>586</v>
      </c>
      <c r="C283" t="s">
        <v>587</v>
      </c>
      <c r="D283" t="s">
        <v>15</v>
      </c>
      <c r="E283" t="s">
        <v>75</v>
      </c>
      <c r="F283">
        <v>3</v>
      </c>
      <c r="G283" s="1">
        <v>19300</v>
      </c>
      <c r="H283">
        <v>83.2</v>
      </c>
      <c r="I283" s="1">
        <v>1800</v>
      </c>
      <c r="J283" s="1">
        <v>490</v>
      </c>
      <c r="K283" s="1">
        <v>800</v>
      </c>
      <c r="L283">
        <v>0.79</v>
      </c>
      <c r="M2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86990</v>
      </c>
      <c r="N283" s="1">
        <f>International_Education_Costs[[#This Row],[Total_Cost]]/International_Education_Costs[[#This Row],[Duration_Years]]</f>
        <v>28996.666666666668</v>
      </c>
      <c r="O283" s="1">
        <f>International_Education_Costs[[#This Row],[Rent_USD]] * 12 * International_Education_Costs[[#This Row],[Duration_Years]]</f>
        <v>64800</v>
      </c>
      <c r="P283" s="1">
        <f>International_Education_Costs[[#This Row],[Total_Cost]]-International_Education_Costs[[#This Row],[Tuition_USD]]</f>
        <v>67690</v>
      </c>
      <c r="Q283" s="2">
        <f>International_Education_Costs[[#This Row],[Tuition_USD]]/International_Education_Costs[[#This Row],[Total_Cost]]</f>
        <v>0.22186458213587767</v>
      </c>
    </row>
    <row r="284" spans="1:17" x14ac:dyDescent="0.25">
      <c r="A284" t="s">
        <v>17</v>
      </c>
      <c r="B284" t="s">
        <v>588</v>
      </c>
      <c r="C284" t="s">
        <v>589</v>
      </c>
      <c r="D284" t="s">
        <v>15</v>
      </c>
      <c r="E284" t="s">
        <v>75</v>
      </c>
      <c r="F284">
        <v>3</v>
      </c>
      <c r="G284" s="1">
        <v>19000</v>
      </c>
      <c r="H284">
        <v>83.2</v>
      </c>
      <c r="I284" s="1">
        <v>1700</v>
      </c>
      <c r="J284" s="1">
        <v>490</v>
      </c>
      <c r="K284" s="1">
        <v>800</v>
      </c>
      <c r="L284">
        <v>0.79</v>
      </c>
      <c r="M2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83090</v>
      </c>
      <c r="N284" s="1">
        <f>International_Education_Costs[[#This Row],[Total_Cost]]/International_Education_Costs[[#This Row],[Duration_Years]]</f>
        <v>27696.666666666668</v>
      </c>
      <c r="O284" s="1">
        <f>International_Education_Costs[[#This Row],[Rent_USD]] * 12 * International_Education_Costs[[#This Row],[Duration_Years]]</f>
        <v>61200</v>
      </c>
      <c r="P284" s="1">
        <f>International_Education_Costs[[#This Row],[Total_Cost]]-International_Education_Costs[[#This Row],[Tuition_USD]]</f>
        <v>64090</v>
      </c>
      <c r="Q284" s="2">
        <f>International_Education_Costs[[#This Row],[Tuition_USD]]/International_Education_Costs[[#This Row],[Total_Cost]]</f>
        <v>0.22866770971236008</v>
      </c>
    </row>
    <row r="285" spans="1:17" x14ac:dyDescent="0.25">
      <c r="A285" t="s">
        <v>17</v>
      </c>
      <c r="B285" t="s">
        <v>590</v>
      </c>
      <c r="C285" t="s">
        <v>591</v>
      </c>
      <c r="D285" t="s">
        <v>15</v>
      </c>
      <c r="E285" t="s">
        <v>75</v>
      </c>
      <c r="F285">
        <v>3</v>
      </c>
      <c r="G285" s="1">
        <v>18700</v>
      </c>
      <c r="H285">
        <v>83.2</v>
      </c>
      <c r="I285" s="1">
        <v>1600</v>
      </c>
      <c r="J285" s="1">
        <v>490</v>
      </c>
      <c r="K285" s="1">
        <v>800</v>
      </c>
      <c r="L285">
        <v>0.79</v>
      </c>
      <c r="M2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79190</v>
      </c>
      <c r="N285" s="1">
        <f>International_Education_Costs[[#This Row],[Total_Cost]]/International_Education_Costs[[#This Row],[Duration_Years]]</f>
        <v>26396.666666666668</v>
      </c>
      <c r="O285" s="1">
        <f>International_Education_Costs[[#This Row],[Rent_USD]] * 12 * International_Education_Costs[[#This Row],[Duration_Years]]</f>
        <v>57600</v>
      </c>
      <c r="P285" s="1">
        <f>International_Education_Costs[[#This Row],[Total_Cost]]-International_Education_Costs[[#This Row],[Tuition_USD]]</f>
        <v>60490</v>
      </c>
      <c r="Q285" s="2">
        <f>International_Education_Costs[[#This Row],[Tuition_USD]]/International_Education_Costs[[#This Row],[Total_Cost]]</f>
        <v>0.23614092688470767</v>
      </c>
    </row>
    <row r="286" spans="1:17" x14ac:dyDescent="0.25">
      <c r="A286" t="s">
        <v>21</v>
      </c>
      <c r="B286" t="s">
        <v>22</v>
      </c>
      <c r="C286" t="s">
        <v>23</v>
      </c>
      <c r="D286" t="s">
        <v>15</v>
      </c>
      <c r="E286" t="s">
        <v>75</v>
      </c>
      <c r="F286">
        <v>4</v>
      </c>
      <c r="G286" s="1">
        <v>45200</v>
      </c>
      <c r="H286">
        <v>73.5</v>
      </c>
      <c r="I286" s="1">
        <v>1800</v>
      </c>
      <c r="J286" s="1">
        <v>235</v>
      </c>
      <c r="K286" s="1">
        <v>600</v>
      </c>
      <c r="L286">
        <v>1.35</v>
      </c>
      <c r="M2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134235</v>
      </c>
      <c r="N286" s="1">
        <f>International_Education_Costs[[#This Row],[Total_Cost]]/International_Education_Costs[[#This Row],[Duration_Years]]</f>
        <v>33558.75</v>
      </c>
      <c r="O286" s="1">
        <f>International_Education_Costs[[#This Row],[Rent_USD]] * 12 * International_Education_Costs[[#This Row],[Duration_Years]]</f>
        <v>86400</v>
      </c>
      <c r="P286" s="1">
        <f>International_Education_Costs[[#This Row],[Total_Cost]]-International_Education_Costs[[#This Row],[Tuition_USD]]</f>
        <v>89035</v>
      </c>
      <c r="Q286" s="2">
        <f>International_Education_Costs[[#This Row],[Tuition_USD]]/International_Education_Costs[[#This Row],[Total_Cost]]</f>
        <v>0.33672291131225091</v>
      </c>
    </row>
    <row r="287" spans="1:17" x14ac:dyDescent="0.25">
      <c r="A287" t="s">
        <v>21</v>
      </c>
      <c r="B287" t="s">
        <v>22</v>
      </c>
      <c r="C287" t="s">
        <v>23</v>
      </c>
      <c r="D287" t="s">
        <v>15</v>
      </c>
      <c r="E287" t="s">
        <v>16</v>
      </c>
      <c r="F287">
        <v>2</v>
      </c>
      <c r="G287" s="1">
        <v>28500</v>
      </c>
      <c r="H287">
        <v>73.5</v>
      </c>
      <c r="I287" s="1">
        <v>1800</v>
      </c>
      <c r="J287" s="1">
        <v>235</v>
      </c>
      <c r="K287" s="1">
        <v>600</v>
      </c>
      <c r="L287">
        <v>1.35</v>
      </c>
      <c r="M2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73135</v>
      </c>
      <c r="N287" s="1">
        <f>International_Education_Costs[[#This Row],[Total_Cost]]/International_Education_Costs[[#This Row],[Duration_Years]]</f>
        <v>36567.5</v>
      </c>
      <c r="O287" s="1">
        <f>International_Education_Costs[[#This Row],[Rent_USD]] * 12 * International_Education_Costs[[#This Row],[Duration_Years]]</f>
        <v>43200</v>
      </c>
      <c r="P287" s="1">
        <f>International_Education_Costs[[#This Row],[Total_Cost]]-International_Education_Costs[[#This Row],[Tuition_USD]]</f>
        <v>44635</v>
      </c>
      <c r="Q287" s="2">
        <f>International_Education_Costs[[#This Row],[Tuition_USD]]/International_Education_Costs[[#This Row],[Total_Cost]]</f>
        <v>0.38969029876256239</v>
      </c>
    </row>
    <row r="288" spans="1:17" x14ac:dyDescent="0.25">
      <c r="A288" t="s">
        <v>21</v>
      </c>
      <c r="B288" t="s">
        <v>176</v>
      </c>
      <c r="C288" t="s">
        <v>177</v>
      </c>
      <c r="D288" t="s">
        <v>15</v>
      </c>
      <c r="E288" t="s">
        <v>75</v>
      </c>
      <c r="F288">
        <v>4</v>
      </c>
      <c r="G288" s="1">
        <v>43800</v>
      </c>
      <c r="H288">
        <v>71.2</v>
      </c>
      <c r="I288" s="1">
        <v>1900</v>
      </c>
      <c r="J288" s="1">
        <v>235</v>
      </c>
      <c r="K288" s="1">
        <v>600</v>
      </c>
      <c r="L288">
        <v>1.35</v>
      </c>
      <c r="M2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137635</v>
      </c>
      <c r="N288" s="1">
        <f>International_Education_Costs[[#This Row],[Total_Cost]]/International_Education_Costs[[#This Row],[Duration_Years]]</f>
        <v>34408.75</v>
      </c>
      <c r="O288" s="1">
        <f>International_Education_Costs[[#This Row],[Rent_USD]] * 12 * International_Education_Costs[[#This Row],[Duration_Years]]</f>
        <v>91200</v>
      </c>
      <c r="P288" s="1">
        <f>International_Education_Costs[[#This Row],[Total_Cost]]-International_Education_Costs[[#This Row],[Tuition_USD]]</f>
        <v>93835</v>
      </c>
      <c r="Q288" s="2">
        <f>International_Education_Costs[[#This Row],[Tuition_USD]]/International_Education_Costs[[#This Row],[Total_Cost]]</f>
        <v>0.31823300759254552</v>
      </c>
    </row>
    <row r="289" spans="1:17" x14ac:dyDescent="0.25">
      <c r="A289" t="s">
        <v>21</v>
      </c>
      <c r="B289" t="s">
        <v>176</v>
      </c>
      <c r="C289" t="s">
        <v>177</v>
      </c>
      <c r="D289" t="s">
        <v>15</v>
      </c>
      <c r="E289" t="s">
        <v>16</v>
      </c>
      <c r="F289">
        <v>2</v>
      </c>
      <c r="G289" s="1">
        <v>27900</v>
      </c>
      <c r="H289">
        <v>71.2</v>
      </c>
      <c r="I289" s="1">
        <v>1900</v>
      </c>
      <c r="J289" s="1">
        <v>235</v>
      </c>
      <c r="K289" s="1">
        <v>600</v>
      </c>
      <c r="L289">
        <v>1.35</v>
      </c>
      <c r="M2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74935</v>
      </c>
      <c r="N289" s="1">
        <f>International_Education_Costs[[#This Row],[Total_Cost]]/International_Education_Costs[[#This Row],[Duration_Years]]</f>
        <v>37467.5</v>
      </c>
      <c r="O289" s="1">
        <f>International_Education_Costs[[#This Row],[Rent_USD]] * 12 * International_Education_Costs[[#This Row],[Duration_Years]]</f>
        <v>45600</v>
      </c>
      <c r="P289" s="1">
        <f>International_Education_Costs[[#This Row],[Total_Cost]]-International_Education_Costs[[#This Row],[Tuition_USD]]</f>
        <v>47035</v>
      </c>
      <c r="Q289" s="2">
        <f>International_Education_Costs[[#This Row],[Tuition_USD]]/International_Education_Costs[[#This Row],[Total_Cost]]</f>
        <v>0.37232267965570159</v>
      </c>
    </row>
    <row r="290" spans="1:17" x14ac:dyDescent="0.25">
      <c r="A290" t="s">
        <v>21</v>
      </c>
      <c r="B290" t="s">
        <v>592</v>
      </c>
      <c r="C290" t="s">
        <v>593</v>
      </c>
      <c r="D290" t="s">
        <v>15</v>
      </c>
      <c r="E290" t="s">
        <v>75</v>
      </c>
      <c r="F290">
        <v>4</v>
      </c>
      <c r="G290" s="1">
        <v>41500</v>
      </c>
      <c r="H290">
        <v>65.8</v>
      </c>
      <c r="I290" s="1">
        <v>1500</v>
      </c>
      <c r="J290" s="1">
        <v>235</v>
      </c>
      <c r="K290" s="1">
        <v>600</v>
      </c>
      <c r="L290">
        <v>1.35</v>
      </c>
      <c r="M2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116135</v>
      </c>
      <c r="N290" s="1">
        <f>International_Education_Costs[[#This Row],[Total_Cost]]/International_Education_Costs[[#This Row],[Duration_Years]]</f>
        <v>29033.75</v>
      </c>
      <c r="O290" s="1">
        <f>International_Education_Costs[[#This Row],[Rent_USD]] * 12 * International_Education_Costs[[#This Row],[Duration_Years]]</f>
        <v>72000</v>
      </c>
      <c r="P290" s="1">
        <f>International_Education_Costs[[#This Row],[Total_Cost]]-International_Education_Costs[[#This Row],[Tuition_USD]]</f>
        <v>74635</v>
      </c>
      <c r="Q290" s="2">
        <f>International_Education_Costs[[#This Row],[Tuition_USD]]/International_Education_Costs[[#This Row],[Total_Cost]]</f>
        <v>0.35734274766435614</v>
      </c>
    </row>
    <row r="291" spans="1:17" x14ac:dyDescent="0.25">
      <c r="A291" t="s">
        <v>21</v>
      </c>
      <c r="B291" t="s">
        <v>592</v>
      </c>
      <c r="C291" t="s">
        <v>593</v>
      </c>
      <c r="D291" t="s">
        <v>15</v>
      </c>
      <c r="E291" t="s">
        <v>16</v>
      </c>
      <c r="F291">
        <v>2</v>
      </c>
      <c r="G291" s="1">
        <v>26800</v>
      </c>
      <c r="H291">
        <v>65.8</v>
      </c>
      <c r="I291" s="1">
        <v>1500</v>
      </c>
      <c r="J291" s="1">
        <v>235</v>
      </c>
      <c r="K291" s="1">
        <v>600</v>
      </c>
      <c r="L291">
        <v>1.35</v>
      </c>
      <c r="M2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64235</v>
      </c>
      <c r="N291" s="1">
        <f>International_Education_Costs[[#This Row],[Total_Cost]]/International_Education_Costs[[#This Row],[Duration_Years]]</f>
        <v>32117.5</v>
      </c>
      <c r="O291" s="1">
        <f>International_Education_Costs[[#This Row],[Rent_USD]] * 12 * International_Education_Costs[[#This Row],[Duration_Years]]</f>
        <v>36000</v>
      </c>
      <c r="P291" s="1">
        <f>International_Education_Costs[[#This Row],[Total_Cost]]-International_Education_Costs[[#This Row],[Tuition_USD]]</f>
        <v>37435</v>
      </c>
      <c r="Q291" s="2">
        <f>International_Education_Costs[[#This Row],[Tuition_USD]]/International_Education_Costs[[#This Row],[Total_Cost]]</f>
        <v>0.4172180275550712</v>
      </c>
    </row>
    <row r="292" spans="1:17" x14ac:dyDescent="0.25">
      <c r="A292" t="s">
        <v>21</v>
      </c>
      <c r="B292" t="s">
        <v>139</v>
      </c>
      <c r="C292" t="s">
        <v>140</v>
      </c>
      <c r="D292" t="s">
        <v>15</v>
      </c>
      <c r="E292" t="s">
        <v>75</v>
      </c>
      <c r="F292">
        <v>4</v>
      </c>
      <c r="G292" s="1">
        <v>40900</v>
      </c>
      <c r="H292">
        <v>62.4</v>
      </c>
      <c r="I292" s="1">
        <v>1300</v>
      </c>
      <c r="J292" s="1">
        <v>235</v>
      </c>
      <c r="K292" s="1">
        <v>600</v>
      </c>
      <c r="L292">
        <v>1.35</v>
      </c>
      <c r="M2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105935</v>
      </c>
      <c r="N292" s="1">
        <f>International_Education_Costs[[#This Row],[Total_Cost]]/International_Education_Costs[[#This Row],[Duration_Years]]</f>
        <v>26483.75</v>
      </c>
      <c r="O292" s="1">
        <f>International_Education_Costs[[#This Row],[Rent_USD]] * 12 * International_Education_Costs[[#This Row],[Duration_Years]]</f>
        <v>62400</v>
      </c>
      <c r="P292" s="1">
        <f>International_Education_Costs[[#This Row],[Total_Cost]]-International_Education_Costs[[#This Row],[Tuition_USD]]</f>
        <v>65035</v>
      </c>
      <c r="Q292" s="2">
        <f>International_Education_Costs[[#This Row],[Tuition_USD]]/International_Education_Costs[[#This Row],[Total_Cost]]</f>
        <v>0.38608580733468634</v>
      </c>
    </row>
    <row r="293" spans="1:17" x14ac:dyDescent="0.25">
      <c r="A293" t="s">
        <v>21</v>
      </c>
      <c r="B293" t="s">
        <v>139</v>
      </c>
      <c r="C293" t="s">
        <v>140</v>
      </c>
      <c r="D293" t="s">
        <v>15</v>
      </c>
      <c r="E293" t="s">
        <v>16</v>
      </c>
      <c r="F293">
        <v>2</v>
      </c>
      <c r="G293" s="1">
        <v>26200</v>
      </c>
      <c r="H293">
        <v>62.4</v>
      </c>
      <c r="I293" s="1">
        <v>1300</v>
      </c>
      <c r="J293" s="1">
        <v>235</v>
      </c>
      <c r="K293" s="1">
        <v>600</v>
      </c>
      <c r="L293">
        <v>1.35</v>
      </c>
      <c r="M2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58835</v>
      </c>
      <c r="N293" s="1">
        <f>International_Education_Costs[[#This Row],[Total_Cost]]/International_Education_Costs[[#This Row],[Duration_Years]]</f>
        <v>29417.5</v>
      </c>
      <c r="O293" s="1">
        <f>International_Education_Costs[[#This Row],[Rent_USD]] * 12 * International_Education_Costs[[#This Row],[Duration_Years]]</f>
        <v>31200</v>
      </c>
      <c r="P293" s="1">
        <f>International_Education_Costs[[#This Row],[Total_Cost]]-International_Education_Costs[[#This Row],[Tuition_USD]]</f>
        <v>32635</v>
      </c>
      <c r="Q293" s="2">
        <f>International_Education_Costs[[#This Row],[Tuition_USD]]/International_Education_Costs[[#This Row],[Total_Cost]]</f>
        <v>0.44531316393303305</v>
      </c>
    </row>
    <row r="294" spans="1:17" x14ac:dyDescent="0.25">
      <c r="A294" t="s">
        <v>21</v>
      </c>
      <c r="B294" t="s">
        <v>592</v>
      </c>
      <c r="C294" t="s">
        <v>594</v>
      </c>
      <c r="D294" t="s">
        <v>15</v>
      </c>
      <c r="E294" t="s">
        <v>75</v>
      </c>
      <c r="F294">
        <v>4</v>
      </c>
      <c r="G294" s="1">
        <v>39500</v>
      </c>
      <c r="H294">
        <v>65.8</v>
      </c>
      <c r="I294" s="1">
        <v>1400</v>
      </c>
      <c r="J294" s="1">
        <v>235</v>
      </c>
      <c r="K294" s="1">
        <v>600</v>
      </c>
      <c r="L294">
        <v>1.35</v>
      </c>
      <c r="M2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109335</v>
      </c>
      <c r="N294" s="1">
        <f>International_Education_Costs[[#This Row],[Total_Cost]]/International_Education_Costs[[#This Row],[Duration_Years]]</f>
        <v>27333.75</v>
      </c>
      <c r="O294" s="1">
        <f>International_Education_Costs[[#This Row],[Rent_USD]] * 12 * International_Education_Costs[[#This Row],[Duration_Years]]</f>
        <v>67200</v>
      </c>
      <c r="P294" s="1">
        <f>International_Education_Costs[[#This Row],[Total_Cost]]-International_Education_Costs[[#This Row],[Tuition_USD]]</f>
        <v>69835</v>
      </c>
      <c r="Q294" s="2">
        <f>International_Education_Costs[[#This Row],[Tuition_USD]]/International_Education_Costs[[#This Row],[Total_Cost]]</f>
        <v>0.36127498056432067</v>
      </c>
    </row>
    <row r="295" spans="1:17" x14ac:dyDescent="0.25">
      <c r="A295" t="s">
        <v>21</v>
      </c>
      <c r="B295" t="s">
        <v>592</v>
      </c>
      <c r="C295" t="s">
        <v>594</v>
      </c>
      <c r="D295" t="s">
        <v>15</v>
      </c>
      <c r="E295" t="s">
        <v>16</v>
      </c>
      <c r="F295">
        <v>2</v>
      </c>
      <c r="G295" s="1">
        <v>25800</v>
      </c>
      <c r="H295">
        <v>65.8</v>
      </c>
      <c r="I295" s="1">
        <v>1400</v>
      </c>
      <c r="J295" s="1">
        <v>235</v>
      </c>
      <c r="K295" s="1">
        <v>600</v>
      </c>
      <c r="L295">
        <v>1.35</v>
      </c>
      <c r="M2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60835</v>
      </c>
      <c r="N295" s="1">
        <f>International_Education_Costs[[#This Row],[Total_Cost]]/International_Education_Costs[[#This Row],[Duration_Years]]</f>
        <v>30417.5</v>
      </c>
      <c r="O295" s="1">
        <f>International_Education_Costs[[#This Row],[Rent_USD]] * 12 * International_Education_Costs[[#This Row],[Duration_Years]]</f>
        <v>33600</v>
      </c>
      <c r="P295" s="1">
        <f>International_Education_Costs[[#This Row],[Total_Cost]]-International_Education_Costs[[#This Row],[Tuition_USD]]</f>
        <v>35035</v>
      </c>
      <c r="Q295" s="2">
        <f>International_Education_Costs[[#This Row],[Tuition_USD]]/International_Education_Costs[[#This Row],[Total_Cost]]</f>
        <v>0.42409796991863236</v>
      </c>
    </row>
    <row r="296" spans="1:17" x14ac:dyDescent="0.25">
      <c r="A296" t="s">
        <v>21</v>
      </c>
      <c r="B296" t="s">
        <v>152</v>
      </c>
      <c r="C296" t="s">
        <v>153</v>
      </c>
      <c r="D296" t="s">
        <v>15</v>
      </c>
      <c r="E296" t="s">
        <v>75</v>
      </c>
      <c r="F296">
        <v>4</v>
      </c>
      <c r="G296" s="1">
        <v>38200</v>
      </c>
      <c r="H296">
        <v>61.9</v>
      </c>
      <c r="I296" s="1">
        <v>1200</v>
      </c>
      <c r="J296" s="1">
        <v>235</v>
      </c>
      <c r="K296" s="1">
        <v>600</v>
      </c>
      <c r="L296">
        <v>1.35</v>
      </c>
      <c r="M2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98435</v>
      </c>
      <c r="N296" s="1">
        <f>International_Education_Costs[[#This Row],[Total_Cost]]/International_Education_Costs[[#This Row],[Duration_Years]]</f>
        <v>24608.75</v>
      </c>
      <c r="O296" s="1">
        <f>International_Education_Costs[[#This Row],[Rent_USD]] * 12 * International_Education_Costs[[#This Row],[Duration_Years]]</f>
        <v>57600</v>
      </c>
      <c r="P296" s="1">
        <f>International_Education_Costs[[#This Row],[Total_Cost]]-International_Education_Costs[[#This Row],[Tuition_USD]]</f>
        <v>60235</v>
      </c>
      <c r="Q296" s="2">
        <f>International_Education_Costs[[#This Row],[Tuition_USD]]/International_Education_Costs[[#This Row],[Total_Cost]]</f>
        <v>0.38807334789454973</v>
      </c>
    </row>
    <row r="297" spans="1:17" x14ac:dyDescent="0.25">
      <c r="A297" t="s">
        <v>21</v>
      </c>
      <c r="B297" t="s">
        <v>152</v>
      </c>
      <c r="C297" t="s">
        <v>153</v>
      </c>
      <c r="D297" t="s">
        <v>15</v>
      </c>
      <c r="E297" t="s">
        <v>16</v>
      </c>
      <c r="F297">
        <v>2</v>
      </c>
      <c r="G297" s="1">
        <v>24900</v>
      </c>
      <c r="H297">
        <v>61.9</v>
      </c>
      <c r="I297" s="1">
        <v>1200</v>
      </c>
      <c r="J297" s="1">
        <v>235</v>
      </c>
      <c r="K297" s="1">
        <v>600</v>
      </c>
      <c r="L297">
        <v>1.35</v>
      </c>
      <c r="M2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55135</v>
      </c>
      <c r="N297" s="1">
        <f>International_Education_Costs[[#This Row],[Total_Cost]]/International_Education_Costs[[#This Row],[Duration_Years]]</f>
        <v>27567.5</v>
      </c>
      <c r="O297" s="1">
        <f>International_Education_Costs[[#This Row],[Rent_USD]] * 12 * International_Education_Costs[[#This Row],[Duration_Years]]</f>
        <v>28800</v>
      </c>
      <c r="P297" s="1">
        <f>International_Education_Costs[[#This Row],[Total_Cost]]-International_Education_Costs[[#This Row],[Tuition_USD]]</f>
        <v>30235</v>
      </c>
      <c r="Q297" s="2">
        <f>International_Education_Costs[[#This Row],[Tuition_USD]]/International_Education_Costs[[#This Row],[Total_Cost]]</f>
        <v>0.45161875396753426</v>
      </c>
    </row>
    <row r="298" spans="1:17" x14ac:dyDescent="0.25">
      <c r="A298" t="s">
        <v>21</v>
      </c>
      <c r="B298" t="s">
        <v>100</v>
      </c>
      <c r="C298" t="s">
        <v>101</v>
      </c>
      <c r="D298" t="s">
        <v>15</v>
      </c>
      <c r="E298" t="s">
        <v>75</v>
      </c>
      <c r="F298">
        <v>4</v>
      </c>
      <c r="G298" s="1">
        <v>37800</v>
      </c>
      <c r="H298">
        <v>63.5</v>
      </c>
      <c r="I298" s="1">
        <v>1400</v>
      </c>
      <c r="J298" s="1">
        <v>235</v>
      </c>
      <c r="K298" s="1">
        <v>600</v>
      </c>
      <c r="L298">
        <v>1.35</v>
      </c>
      <c r="M2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107635</v>
      </c>
      <c r="N298" s="1">
        <f>International_Education_Costs[[#This Row],[Total_Cost]]/International_Education_Costs[[#This Row],[Duration_Years]]</f>
        <v>26908.75</v>
      </c>
      <c r="O298" s="1">
        <f>International_Education_Costs[[#This Row],[Rent_USD]] * 12 * International_Education_Costs[[#This Row],[Duration_Years]]</f>
        <v>67200</v>
      </c>
      <c r="P298" s="1">
        <f>International_Education_Costs[[#This Row],[Total_Cost]]-International_Education_Costs[[#This Row],[Tuition_USD]]</f>
        <v>69835</v>
      </c>
      <c r="Q298" s="2">
        <f>International_Education_Costs[[#This Row],[Tuition_USD]]/International_Education_Costs[[#This Row],[Total_Cost]]</f>
        <v>0.35118688159056072</v>
      </c>
    </row>
    <row r="299" spans="1:17" x14ac:dyDescent="0.25">
      <c r="A299" t="s">
        <v>21</v>
      </c>
      <c r="B299" t="s">
        <v>100</v>
      </c>
      <c r="C299" t="s">
        <v>101</v>
      </c>
      <c r="D299" t="s">
        <v>15</v>
      </c>
      <c r="E299" t="s">
        <v>16</v>
      </c>
      <c r="F299">
        <v>2</v>
      </c>
      <c r="G299" s="1">
        <v>24500</v>
      </c>
      <c r="H299">
        <v>63.5</v>
      </c>
      <c r="I299" s="1">
        <v>1400</v>
      </c>
      <c r="J299" s="1">
        <v>235</v>
      </c>
      <c r="K299" s="1">
        <v>600</v>
      </c>
      <c r="L299">
        <v>1.35</v>
      </c>
      <c r="M2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59535</v>
      </c>
      <c r="N299" s="1">
        <f>International_Education_Costs[[#This Row],[Total_Cost]]/International_Education_Costs[[#This Row],[Duration_Years]]</f>
        <v>29767.5</v>
      </c>
      <c r="O299" s="1">
        <f>International_Education_Costs[[#This Row],[Rent_USD]] * 12 * International_Education_Costs[[#This Row],[Duration_Years]]</f>
        <v>33600</v>
      </c>
      <c r="P299" s="1">
        <f>International_Education_Costs[[#This Row],[Total_Cost]]-International_Education_Costs[[#This Row],[Tuition_USD]]</f>
        <v>35035</v>
      </c>
      <c r="Q299" s="2">
        <f>International_Education_Costs[[#This Row],[Tuition_USD]]/International_Education_Costs[[#This Row],[Total_Cost]]</f>
        <v>0.41152263374485598</v>
      </c>
    </row>
    <row r="300" spans="1:17" x14ac:dyDescent="0.25">
      <c r="A300" t="s">
        <v>21</v>
      </c>
      <c r="B300" t="s">
        <v>333</v>
      </c>
      <c r="C300" t="s">
        <v>334</v>
      </c>
      <c r="D300" t="s">
        <v>15</v>
      </c>
      <c r="E300" t="s">
        <v>75</v>
      </c>
      <c r="F300">
        <v>4</v>
      </c>
      <c r="G300" s="1">
        <v>37200</v>
      </c>
      <c r="H300">
        <v>62.8</v>
      </c>
      <c r="I300" s="1">
        <v>1300</v>
      </c>
      <c r="J300" s="1">
        <v>235</v>
      </c>
      <c r="K300" s="1">
        <v>600</v>
      </c>
      <c r="L300">
        <v>1.35</v>
      </c>
      <c r="M3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102235</v>
      </c>
      <c r="N300" s="1">
        <f>International_Education_Costs[[#This Row],[Total_Cost]]/International_Education_Costs[[#This Row],[Duration_Years]]</f>
        <v>25558.75</v>
      </c>
      <c r="O300" s="1">
        <f>International_Education_Costs[[#This Row],[Rent_USD]] * 12 * International_Education_Costs[[#This Row],[Duration_Years]]</f>
        <v>62400</v>
      </c>
      <c r="P300" s="1">
        <f>International_Education_Costs[[#This Row],[Total_Cost]]-International_Education_Costs[[#This Row],[Tuition_USD]]</f>
        <v>65035</v>
      </c>
      <c r="Q300" s="2">
        <f>International_Education_Costs[[#This Row],[Tuition_USD]]/International_Education_Costs[[#This Row],[Total_Cost]]</f>
        <v>0.36386756003325671</v>
      </c>
    </row>
    <row r="301" spans="1:17" x14ac:dyDescent="0.25">
      <c r="A301" t="s">
        <v>21</v>
      </c>
      <c r="B301" t="s">
        <v>333</v>
      </c>
      <c r="C301" t="s">
        <v>334</v>
      </c>
      <c r="D301" t="s">
        <v>15</v>
      </c>
      <c r="E301" t="s">
        <v>16</v>
      </c>
      <c r="F301">
        <v>2</v>
      </c>
      <c r="G301" s="1">
        <v>24100</v>
      </c>
      <c r="H301">
        <v>62.8</v>
      </c>
      <c r="I301" s="1">
        <v>1300</v>
      </c>
      <c r="J301" s="1">
        <v>235</v>
      </c>
      <c r="K301" s="1">
        <v>600</v>
      </c>
      <c r="L301">
        <v>1.35</v>
      </c>
      <c r="M3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56735</v>
      </c>
      <c r="N301" s="1">
        <f>International_Education_Costs[[#This Row],[Total_Cost]]/International_Education_Costs[[#This Row],[Duration_Years]]</f>
        <v>28367.5</v>
      </c>
      <c r="O301" s="1">
        <f>International_Education_Costs[[#This Row],[Rent_USD]] * 12 * International_Education_Costs[[#This Row],[Duration_Years]]</f>
        <v>31200</v>
      </c>
      <c r="P301" s="1">
        <f>International_Education_Costs[[#This Row],[Total_Cost]]-International_Education_Costs[[#This Row],[Tuition_USD]]</f>
        <v>32635</v>
      </c>
      <c r="Q301" s="2">
        <f>International_Education_Costs[[#This Row],[Tuition_USD]]/International_Education_Costs[[#This Row],[Total_Cost]]</f>
        <v>0.42478188067330575</v>
      </c>
    </row>
    <row r="302" spans="1:17" x14ac:dyDescent="0.25">
      <c r="A302" t="s">
        <v>21</v>
      </c>
      <c r="B302" t="s">
        <v>310</v>
      </c>
      <c r="C302" t="s">
        <v>311</v>
      </c>
      <c r="D302" t="s">
        <v>15</v>
      </c>
      <c r="E302" t="s">
        <v>75</v>
      </c>
      <c r="F302">
        <v>4</v>
      </c>
      <c r="G302" s="1">
        <v>36500</v>
      </c>
      <c r="H302">
        <v>64.2</v>
      </c>
      <c r="I302" s="1">
        <v>1250</v>
      </c>
      <c r="J302" s="1">
        <v>235</v>
      </c>
      <c r="K302" s="1">
        <v>600</v>
      </c>
      <c r="L302">
        <v>1.35</v>
      </c>
      <c r="M3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99135</v>
      </c>
      <c r="N302" s="1">
        <f>International_Education_Costs[[#This Row],[Total_Cost]]/International_Education_Costs[[#This Row],[Duration_Years]]</f>
        <v>24783.75</v>
      </c>
      <c r="O302" s="1">
        <f>International_Education_Costs[[#This Row],[Rent_USD]] * 12 * International_Education_Costs[[#This Row],[Duration_Years]]</f>
        <v>60000</v>
      </c>
      <c r="P302" s="1">
        <f>International_Education_Costs[[#This Row],[Total_Cost]]-International_Education_Costs[[#This Row],[Tuition_USD]]</f>
        <v>62635</v>
      </c>
      <c r="Q302" s="2">
        <f>International_Education_Costs[[#This Row],[Tuition_USD]]/International_Education_Costs[[#This Row],[Total_Cost]]</f>
        <v>0.3681847985070863</v>
      </c>
    </row>
    <row r="303" spans="1:17" x14ac:dyDescent="0.25">
      <c r="A303" t="s">
        <v>21</v>
      </c>
      <c r="B303" t="s">
        <v>310</v>
      </c>
      <c r="C303" t="s">
        <v>311</v>
      </c>
      <c r="D303" t="s">
        <v>15</v>
      </c>
      <c r="E303" t="s">
        <v>16</v>
      </c>
      <c r="F303">
        <v>2</v>
      </c>
      <c r="G303" s="1">
        <v>23800</v>
      </c>
      <c r="H303">
        <v>64.2</v>
      </c>
      <c r="I303" s="1">
        <v>1250</v>
      </c>
      <c r="J303" s="1">
        <v>235</v>
      </c>
      <c r="K303" s="1">
        <v>600</v>
      </c>
      <c r="L303">
        <v>1.35</v>
      </c>
      <c r="M3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55235</v>
      </c>
      <c r="N303" s="1">
        <f>International_Education_Costs[[#This Row],[Total_Cost]]/International_Education_Costs[[#This Row],[Duration_Years]]</f>
        <v>27617.5</v>
      </c>
      <c r="O303" s="1">
        <f>International_Education_Costs[[#This Row],[Rent_USD]] * 12 * International_Education_Costs[[#This Row],[Duration_Years]]</f>
        <v>30000</v>
      </c>
      <c r="P303" s="1">
        <f>International_Education_Costs[[#This Row],[Total_Cost]]-International_Education_Costs[[#This Row],[Tuition_USD]]</f>
        <v>31435</v>
      </c>
      <c r="Q303" s="2">
        <f>International_Education_Costs[[#This Row],[Tuition_USD]]/International_Education_Costs[[#This Row],[Total_Cost]]</f>
        <v>0.43088621345161582</v>
      </c>
    </row>
    <row r="304" spans="1:17" x14ac:dyDescent="0.25">
      <c r="A304" t="s">
        <v>21</v>
      </c>
      <c r="B304" t="s">
        <v>18</v>
      </c>
      <c r="C304" t="s">
        <v>313</v>
      </c>
      <c r="D304" t="s">
        <v>15</v>
      </c>
      <c r="E304" t="s">
        <v>75</v>
      </c>
      <c r="F304">
        <v>4</v>
      </c>
      <c r="G304" s="1">
        <v>35900</v>
      </c>
      <c r="H304">
        <v>61.5</v>
      </c>
      <c r="I304" s="1">
        <v>1200</v>
      </c>
      <c r="J304" s="1">
        <v>235</v>
      </c>
      <c r="K304" s="1">
        <v>600</v>
      </c>
      <c r="L304">
        <v>1.35</v>
      </c>
      <c r="M3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96135</v>
      </c>
      <c r="N304" s="1">
        <f>International_Education_Costs[[#This Row],[Total_Cost]]/International_Education_Costs[[#This Row],[Duration_Years]]</f>
        <v>24033.75</v>
      </c>
      <c r="O304" s="1">
        <f>International_Education_Costs[[#This Row],[Rent_USD]] * 12 * International_Education_Costs[[#This Row],[Duration_Years]]</f>
        <v>57600</v>
      </c>
      <c r="P304" s="1">
        <f>International_Education_Costs[[#This Row],[Total_Cost]]-International_Education_Costs[[#This Row],[Tuition_USD]]</f>
        <v>60235</v>
      </c>
      <c r="Q304" s="2">
        <f>International_Education_Costs[[#This Row],[Tuition_USD]]/International_Education_Costs[[#This Row],[Total_Cost]]</f>
        <v>0.37343319290580956</v>
      </c>
    </row>
    <row r="305" spans="1:17" x14ac:dyDescent="0.25">
      <c r="A305" t="s">
        <v>21</v>
      </c>
      <c r="B305" t="s">
        <v>18</v>
      </c>
      <c r="C305" t="s">
        <v>313</v>
      </c>
      <c r="D305" t="s">
        <v>15</v>
      </c>
      <c r="E305" t="s">
        <v>16</v>
      </c>
      <c r="F305">
        <v>2</v>
      </c>
      <c r="G305" s="1">
        <v>23500</v>
      </c>
      <c r="H305">
        <v>61.5</v>
      </c>
      <c r="I305" s="1">
        <v>1200</v>
      </c>
      <c r="J305" s="1">
        <v>235</v>
      </c>
      <c r="K305" s="1">
        <v>600</v>
      </c>
      <c r="L305">
        <v>1.35</v>
      </c>
      <c r="M3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53735</v>
      </c>
      <c r="N305" s="1">
        <f>International_Education_Costs[[#This Row],[Total_Cost]]/International_Education_Costs[[#This Row],[Duration_Years]]</f>
        <v>26867.5</v>
      </c>
      <c r="O305" s="1">
        <f>International_Education_Costs[[#This Row],[Rent_USD]] * 12 * International_Education_Costs[[#This Row],[Duration_Years]]</f>
        <v>28800</v>
      </c>
      <c r="P305" s="1">
        <f>International_Education_Costs[[#This Row],[Total_Cost]]-International_Education_Costs[[#This Row],[Tuition_USD]]</f>
        <v>30235</v>
      </c>
      <c r="Q305" s="2">
        <f>International_Education_Costs[[#This Row],[Tuition_USD]]/International_Education_Costs[[#This Row],[Total_Cost]]</f>
        <v>0.43733134828324183</v>
      </c>
    </row>
    <row r="306" spans="1:17" x14ac:dyDescent="0.25">
      <c r="A306" t="s">
        <v>21</v>
      </c>
      <c r="B306" t="s">
        <v>590</v>
      </c>
      <c r="C306" t="s">
        <v>595</v>
      </c>
      <c r="D306" t="s">
        <v>15</v>
      </c>
      <c r="E306" t="s">
        <v>75</v>
      </c>
      <c r="F306">
        <v>4</v>
      </c>
      <c r="G306" s="1">
        <v>35400</v>
      </c>
      <c r="H306">
        <v>62.1</v>
      </c>
      <c r="I306" s="1">
        <v>1300</v>
      </c>
      <c r="J306" s="1">
        <v>235</v>
      </c>
      <c r="K306" s="1">
        <v>600</v>
      </c>
      <c r="L306">
        <v>1.35</v>
      </c>
      <c r="M3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100435</v>
      </c>
      <c r="N306" s="1">
        <f>International_Education_Costs[[#This Row],[Total_Cost]]/International_Education_Costs[[#This Row],[Duration_Years]]</f>
        <v>25108.75</v>
      </c>
      <c r="O306" s="1">
        <f>International_Education_Costs[[#This Row],[Rent_USD]] * 12 * International_Education_Costs[[#This Row],[Duration_Years]]</f>
        <v>62400</v>
      </c>
      <c r="P306" s="1">
        <f>International_Education_Costs[[#This Row],[Total_Cost]]-International_Education_Costs[[#This Row],[Tuition_USD]]</f>
        <v>65035</v>
      </c>
      <c r="Q306" s="2">
        <f>International_Education_Costs[[#This Row],[Tuition_USD]]/International_Education_Costs[[#This Row],[Total_Cost]]</f>
        <v>0.35246676955244688</v>
      </c>
    </row>
    <row r="307" spans="1:17" x14ac:dyDescent="0.25">
      <c r="A307" t="s">
        <v>21</v>
      </c>
      <c r="B307" t="s">
        <v>590</v>
      </c>
      <c r="C307" t="s">
        <v>595</v>
      </c>
      <c r="D307" t="s">
        <v>15</v>
      </c>
      <c r="E307" t="s">
        <v>16</v>
      </c>
      <c r="F307">
        <v>2</v>
      </c>
      <c r="G307" s="1">
        <v>23200</v>
      </c>
      <c r="H307">
        <v>62.1</v>
      </c>
      <c r="I307" s="1">
        <v>1300</v>
      </c>
      <c r="J307" s="1">
        <v>235</v>
      </c>
      <c r="K307" s="1">
        <v>600</v>
      </c>
      <c r="L307">
        <v>1.35</v>
      </c>
      <c r="M3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55835</v>
      </c>
      <c r="N307" s="1">
        <f>International_Education_Costs[[#This Row],[Total_Cost]]/International_Education_Costs[[#This Row],[Duration_Years]]</f>
        <v>27917.5</v>
      </c>
      <c r="O307" s="1">
        <f>International_Education_Costs[[#This Row],[Rent_USD]] * 12 * International_Education_Costs[[#This Row],[Duration_Years]]</f>
        <v>31200</v>
      </c>
      <c r="P307" s="1">
        <f>International_Education_Costs[[#This Row],[Total_Cost]]-International_Education_Costs[[#This Row],[Tuition_USD]]</f>
        <v>32635</v>
      </c>
      <c r="Q307" s="2">
        <f>International_Education_Costs[[#This Row],[Tuition_USD]]/International_Education_Costs[[#This Row],[Total_Cost]]</f>
        <v>0.41550998477657386</v>
      </c>
    </row>
    <row r="308" spans="1:17" x14ac:dyDescent="0.25">
      <c r="A308" t="s">
        <v>21</v>
      </c>
      <c r="B308" t="s">
        <v>316</v>
      </c>
      <c r="C308" t="s">
        <v>317</v>
      </c>
      <c r="D308" t="s">
        <v>15</v>
      </c>
      <c r="E308" t="s">
        <v>75</v>
      </c>
      <c r="F308">
        <v>4</v>
      </c>
      <c r="G308" s="1">
        <v>34800</v>
      </c>
      <c r="H308">
        <v>64.8</v>
      </c>
      <c r="I308" s="1">
        <v>1400</v>
      </c>
      <c r="J308" s="1">
        <v>235</v>
      </c>
      <c r="K308" s="1">
        <v>600</v>
      </c>
      <c r="L308">
        <v>1.35</v>
      </c>
      <c r="M3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104635</v>
      </c>
      <c r="N308" s="1">
        <f>International_Education_Costs[[#This Row],[Total_Cost]]/International_Education_Costs[[#This Row],[Duration_Years]]</f>
        <v>26158.75</v>
      </c>
      <c r="O308" s="1">
        <f>International_Education_Costs[[#This Row],[Rent_USD]] * 12 * International_Education_Costs[[#This Row],[Duration_Years]]</f>
        <v>67200</v>
      </c>
      <c r="P308" s="1">
        <f>International_Education_Costs[[#This Row],[Total_Cost]]-International_Education_Costs[[#This Row],[Tuition_USD]]</f>
        <v>69835</v>
      </c>
      <c r="Q308" s="2">
        <f>International_Education_Costs[[#This Row],[Tuition_USD]]/International_Education_Costs[[#This Row],[Total_Cost]]</f>
        <v>0.33258469919243083</v>
      </c>
    </row>
    <row r="309" spans="1:17" x14ac:dyDescent="0.25">
      <c r="A309" t="s">
        <v>21</v>
      </c>
      <c r="B309" t="s">
        <v>316</v>
      </c>
      <c r="C309" t="s">
        <v>317</v>
      </c>
      <c r="D309" t="s">
        <v>15</v>
      </c>
      <c r="E309" t="s">
        <v>16</v>
      </c>
      <c r="F309">
        <v>2</v>
      </c>
      <c r="G309" s="1">
        <v>22900</v>
      </c>
      <c r="H309">
        <v>64.8</v>
      </c>
      <c r="I309" s="1">
        <v>1400</v>
      </c>
      <c r="J309" s="1">
        <v>235</v>
      </c>
      <c r="K309" s="1">
        <v>600</v>
      </c>
      <c r="L309">
        <v>1.35</v>
      </c>
      <c r="M3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57935</v>
      </c>
      <c r="N309" s="1">
        <f>International_Education_Costs[[#This Row],[Total_Cost]]/International_Education_Costs[[#This Row],[Duration_Years]]</f>
        <v>28967.5</v>
      </c>
      <c r="O309" s="1">
        <f>International_Education_Costs[[#This Row],[Rent_USD]] * 12 * International_Education_Costs[[#This Row],[Duration_Years]]</f>
        <v>33600</v>
      </c>
      <c r="P309" s="1">
        <f>International_Education_Costs[[#This Row],[Total_Cost]]-International_Education_Costs[[#This Row],[Tuition_USD]]</f>
        <v>35035</v>
      </c>
      <c r="Q309" s="2">
        <f>International_Education_Costs[[#This Row],[Tuition_USD]]/International_Education_Costs[[#This Row],[Total_Cost]]</f>
        <v>0.39527056183654097</v>
      </c>
    </row>
    <row r="310" spans="1:17" x14ac:dyDescent="0.25">
      <c r="A310" t="s">
        <v>21</v>
      </c>
      <c r="B310" t="s">
        <v>314</v>
      </c>
      <c r="C310" t="s">
        <v>315</v>
      </c>
      <c r="D310" t="s">
        <v>15</v>
      </c>
      <c r="E310" t="s">
        <v>75</v>
      </c>
      <c r="F310">
        <v>4</v>
      </c>
      <c r="G310" s="1">
        <v>34200</v>
      </c>
      <c r="H310">
        <v>61.2</v>
      </c>
      <c r="I310" s="1">
        <v>1200</v>
      </c>
      <c r="J310" s="1">
        <v>235</v>
      </c>
      <c r="K310" s="1">
        <v>600</v>
      </c>
      <c r="L310">
        <v>1.35</v>
      </c>
      <c r="M3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94435</v>
      </c>
      <c r="N310" s="1">
        <f>International_Education_Costs[[#This Row],[Total_Cost]]/International_Education_Costs[[#This Row],[Duration_Years]]</f>
        <v>23608.75</v>
      </c>
      <c r="O310" s="1">
        <f>International_Education_Costs[[#This Row],[Rent_USD]] * 12 * International_Education_Costs[[#This Row],[Duration_Years]]</f>
        <v>57600</v>
      </c>
      <c r="P310" s="1">
        <f>International_Education_Costs[[#This Row],[Total_Cost]]-International_Education_Costs[[#This Row],[Tuition_USD]]</f>
        <v>60235</v>
      </c>
      <c r="Q310" s="2">
        <f>International_Education_Costs[[#This Row],[Tuition_USD]]/International_Education_Costs[[#This Row],[Total_Cost]]</f>
        <v>0.36215386244506803</v>
      </c>
    </row>
    <row r="311" spans="1:17" x14ac:dyDescent="0.25">
      <c r="A311" t="s">
        <v>21</v>
      </c>
      <c r="B311" t="s">
        <v>314</v>
      </c>
      <c r="C311" t="s">
        <v>315</v>
      </c>
      <c r="D311" t="s">
        <v>15</v>
      </c>
      <c r="E311" t="s">
        <v>16</v>
      </c>
      <c r="F311">
        <v>2</v>
      </c>
      <c r="G311" s="1">
        <v>22600</v>
      </c>
      <c r="H311">
        <v>61.2</v>
      </c>
      <c r="I311" s="1">
        <v>1200</v>
      </c>
      <c r="J311" s="1">
        <v>235</v>
      </c>
      <c r="K311" s="1">
        <v>600</v>
      </c>
      <c r="L311">
        <v>1.35</v>
      </c>
      <c r="M3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52835</v>
      </c>
      <c r="N311" s="1">
        <f>International_Education_Costs[[#This Row],[Total_Cost]]/International_Education_Costs[[#This Row],[Duration_Years]]</f>
        <v>26417.5</v>
      </c>
      <c r="O311" s="1">
        <f>International_Education_Costs[[#This Row],[Rent_USD]] * 12 * International_Education_Costs[[#This Row],[Duration_Years]]</f>
        <v>28800</v>
      </c>
      <c r="P311" s="1">
        <f>International_Education_Costs[[#This Row],[Total_Cost]]-International_Education_Costs[[#This Row],[Tuition_USD]]</f>
        <v>30235</v>
      </c>
      <c r="Q311" s="2">
        <f>International_Education_Costs[[#This Row],[Tuition_USD]]/International_Education_Costs[[#This Row],[Total_Cost]]</f>
        <v>0.42774675877732565</v>
      </c>
    </row>
    <row r="312" spans="1:17" x14ac:dyDescent="0.25">
      <c r="A312" t="s">
        <v>21</v>
      </c>
      <c r="B312" t="s">
        <v>320</v>
      </c>
      <c r="C312" t="s">
        <v>321</v>
      </c>
      <c r="D312" t="s">
        <v>15</v>
      </c>
      <c r="E312" t="s">
        <v>75</v>
      </c>
      <c r="F312">
        <v>4</v>
      </c>
      <c r="G312" s="1">
        <v>33600</v>
      </c>
      <c r="H312">
        <v>59.8</v>
      </c>
      <c r="I312" s="1">
        <v>1100</v>
      </c>
      <c r="J312" s="1">
        <v>235</v>
      </c>
      <c r="K312" s="1">
        <v>600</v>
      </c>
      <c r="L312">
        <v>1.35</v>
      </c>
      <c r="M3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89035</v>
      </c>
      <c r="N312" s="1">
        <f>International_Education_Costs[[#This Row],[Total_Cost]]/International_Education_Costs[[#This Row],[Duration_Years]]</f>
        <v>22258.75</v>
      </c>
      <c r="O312" s="1">
        <f>International_Education_Costs[[#This Row],[Rent_USD]] * 12 * International_Education_Costs[[#This Row],[Duration_Years]]</f>
        <v>52800</v>
      </c>
      <c r="P312" s="1">
        <f>International_Education_Costs[[#This Row],[Total_Cost]]-International_Education_Costs[[#This Row],[Tuition_USD]]</f>
        <v>55435</v>
      </c>
      <c r="Q312" s="2">
        <f>International_Education_Costs[[#This Row],[Tuition_USD]]/International_Education_Costs[[#This Row],[Total_Cost]]</f>
        <v>0.37737968214747009</v>
      </c>
    </row>
    <row r="313" spans="1:17" x14ac:dyDescent="0.25">
      <c r="A313" t="s">
        <v>21</v>
      </c>
      <c r="B313" t="s">
        <v>320</v>
      </c>
      <c r="C313" t="s">
        <v>321</v>
      </c>
      <c r="D313" t="s">
        <v>15</v>
      </c>
      <c r="E313" t="s">
        <v>16</v>
      </c>
      <c r="F313">
        <v>2</v>
      </c>
      <c r="G313" s="1">
        <v>22300</v>
      </c>
      <c r="H313">
        <v>59.8</v>
      </c>
      <c r="I313" s="1">
        <v>1100</v>
      </c>
      <c r="J313" s="1">
        <v>235</v>
      </c>
      <c r="K313" s="1">
        <v>600</v>
      </c>
      <c r="L313">
        <v>1.35</v>
      </c>
      <c r="M3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50135</v>
      </c>
      <c r="N313" s="1">
        <f>International_Education_Costs[[#This Row],[Total_Cost]]/International_Education_Costs[[#This Row],[Duration_Years]]</f>
        <v>25067.5</v>
      </c>
      <c r="O313" s="1">
        <f>International_Education_Costs[[#This Row],[Rent_USD]] * 12 * International_Education_Costs[[#This Row],[Duration_Years]]</f>
        <v>26400</v>
      </c>
      <c r="P313" s="1">
        <f>International_Education_Costs[[#This Row],[Total_Cost]]-International_Education_Costs[[#This Row],[Tuition_USD]]</f>
        <v>27835</v>
      </c>
      <c r="Q313" s="2">
        <f>International_Education_Costs[[#This Row],[Tuition_USD]]/International_Education_Costs[[#This Row],[Total_Cost]]</f>
        <v>0.44479904258502045</v>
      </c>
    </row>
    <row r="314" spans="1:17" x14ac:dyDescent="0.25">
      <c r="A314" t="s">
        <v>21</v>
      </c>
      <c r="B314" t="s">
        <v>318</v>
      </c>
      <c r="C314" t="s">
        <v>319</v>
      </c>
      <c r="D314" t="s">
        <v>15</v>
      </c>
      <c r="E314" t="s">
        <v>75</v>
      </c>
      <c r="F314">
        <v>4</v>
      </c>
      <c r="G314" s="1">
        <v>33000</v>
      </c>
      <c r="H314">
        <v>58.5</v>
      </c>
      <c r="I314" s="1">
        <v>1000</v>
      </c>
      <c r="J314" s="1">
        <v>235</v>
      </c>
      <c r="K314" s="1">
        <v>600</v>
      </c>
      <c r="L314">
        <v>1.35</v>
      </c>
      <c r="M3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83635</v>
      </c>
      <c r="N314" s="1">
        <f>International_Education_Costs[[#This Row],[Total_Cost]]/International_Education_Costs[[#This Row],[Duration_Years]]</f>
        <v>20908.75</v>
      </c>
      <c r="O314" s="1">
        <f>International_Education_Costs[[#This Row],[Rent_USD]] * 12 * International_Education_Costs[[#This Row],[Duration_Years]]</f>
        <v>48000</v>
      </c>
      <c r="P314" s="1">
        <f>International_Education_Costs[[#This Row],[Total_Cost]]-International_Education_Costs[[#This Row],[Tuition_USD]]</f>
        <v>50635</v>
      </c>
      <c r="Q314" s="2">
        <f>International_Education_Costs[[#This Row],[Tuition_USD]]/International_Education_Costs[[#This Row],[Total_Cost]]</f>
        <v>0.39457165062473842</v>
      </c>
    </row>
    <row r="315" spans="1:17" x14ac:dyDescent="0.25">
      <c r="A315" t="s">
        <v>21</v>
      </c>
      <c r="B315" t="s">
        <v>318</v>
      </c>
      <c r="C315" t="s">
        <v>319</v>
      </c>
      <c r="D315" t="s">
        <v>15</v>
      </c>
      <c r="E315" t="s">
        <v>16</v>
      </c>
      <c r="F315">
        <v>2</v>
      </c>
      <c r="G315" s="1">
        <v>22000</v>
      </c>
      <c r="H315">
        <v>58.5</v>
      </c>
      <c r="I315" s="1">
        <v>1000</v>
      </c>
      <c r="J315" s="1">
        <v>235</v>
      </c>
      <c r="K315" s="1">
        <v>600</v>
      </c>
      <c r="L315">
        <v>1.35</v>
      </c>
      <c r="M3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47435</v>
      </c>
      <c r="N315" s="1">
        <f>International_Education_Costs[[#This Row],[Total_Cost]]/International_Education_Costs[[#This Row],[Duration_Years]]</f>
        <v>23717.5</v>
      </c>
      <c r="O315" s="1">
        <f>International_Education_Costs[[#This Row],[Rent_USD]] * 12 * International_Education_Costs[[#This Row],[Duration_Years]]</f>
        <v>24000</v>
      </c>
      <c r="P315" s="1">
        <f>International_Education_Costs[[#This Row],[Total_Cost]]-International_Education_Costs[[#This Row],[Tuition_USD]]</f>
        <v>25435</v>
      </c>
      <c r="Q315" s="2">
        <f>International_Education_Costs[[#This Row],[Tuition_USD]]/International_Education_Costs[[#This Row],[Total_Cost]]</f>
        <v>0.4637925582375883</v>
      </c>
    </row>
    <row r="316" spans="1:17" x14ac:dyDescent="0.25">
      <c r="A316" t="s">
        <v>21</v>
      </c>
      <c r="B316" t="s">
        <v>326</v>
      </c>
      <c r="C316" t="s">
        <v>327</v>
      </c>
      <c r="D316" t="s">
        <v>15</v>
      </c>
      <c r="E316" t="s">
        <v>75</v>
      </c>
      <c r="F316">
        <v>4</v>
      </c>
      <c r="G316" s="1">
        <v>32400</v>
      </c>
      <c r="H316">
        <v>58.2</v>
      </c>
      <c r="I316" s="1">
        <v>950</v>
      </c>
      <c r="J316" s="1">
        <v>235</v>
      </c>
      <c r="K316" s="1">
        <v>600</v>
      </c>
      <c r="L316">
        <v>1.35</v>
      </c>
      <c r="M3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80635</v>
      </c>
      <c r="N316" s="1">
        <f>International_Education_Costs[[#This Row],[Total_Cost]]/International_Education_Costs[[#This Row],[Duration_Years]]</f>
        <v>20158.75</v>
      </c>
      <c r="O316" s="1">
        <f>International_Education_Costs[[#This Row],[Rent_USD]] * 12 * International_Education_Costs[[#This Row],[Duration_Years]]</f>
        <v>45600</v>
      </c>
      <c r="P316" s="1">
        <f>International_Education_Costs[[#This Row],[Total_Cost]]-International_Education_Costs[[#This Row],[Tuition_USD]]</f>
        <v>48235</v>
      </c>
      <c r="Q316" s="2">
        <f>International_Education_Costs[[#This Row],[Tuition_USD]]/International_Education_Costs[[#This Row],[Total_Cost]]</f>
        <v>0.40181062813914553</v>
      </c>
    </row>
    <row r="317" spans="1:17" x14ac:dyDescent="0.25">
      <c r="A317" t="s">
        <v>21</v>
      </c>
      <c r="B317" t="s">
        <v>326</v>
      </c>
      <c r="C317" t="s">
        <v>327</v>
      </c>
      <c r="D317" t="s">
        <v>15</v>
      </c>
      <c r="E317" t="s">
        <v>16</v>
      </c>
      <c r="F317">
        <v>2</v>
      </c>
      <c r="G317" s="1">
        <v>21700</v>
      </c>
      <c r="H317">
        <v>58.2</v>
      </c>
      <c r="I317" s="1">
        <v>950</v>
      </c>
      <c r="J317" s="1">
        <v>235</v>
      </c>
      <c r="K317" s="1">
        <v>600</v>
      </c>
      <c r="L317">
        <v>1.35</v>
      </c>
      <c r="M3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45935</v>
      </c>
      <c r="N317" s="1">
        <f>International_Education_Costs[[#This Row],[Total_Cost]]/International_Education_Costs[[#This Row],[Duration_Years]]</f>
        <v>22967.5</v>
      </c>
      <c r="O317" s="1">
        <f>International_Education_Costs[[#This Row],[Rent_USD]] * 12 * International_Education_Costs[[#This Row],[Duration_Years]]</f>
        <v>22800</v>
      </c>
      <c r="P317" s="1">
        <f>International_Education_Costs[[#This Row],[Total_Cost]]-International_Education_Costs[[#This Row],[Tuition_USD]]</f>
        <v>24235</v>
      </c>
      <c r="Q317" s="2">
        <f>International_Education_Costs[[#This Row],[Tuition_USD]]/International_Education_Costs[[#This Row],[Total_Cost]]</f>
        <v>0.47240666158702516</v>
      </c>
    </row>
    <row r="318" spans="1:17" x14ac:dyDescent="0.25">
      <c r="A318" t="s">
        <v>21</v>
      </c>
      <c r="B318" t="s">
        <v>324</v>
      </c>
      <c r="C318" t="s">
        <v>325</v>
      </c>
      <c r="D318" t="s">
        <v>15</v>
      </c>
      <c r="E318" t="s">
        <v>75</v>
      </c>
      <c r="F318">
        <v>4</v>
      </c>
      <c r="G318" s="1">
        <v>31800</v>
      </c>
      <c r="H318">
        <v>57.9</v>
      </c>
      <c r="I318" s="1">
        <v>900</v>
      </c>
      <c r="J318" s="1">
        <v>235</v>
      </c>
      <c r="K318" s="1">
        <v>600</v>
      </c>
      <c r="L318">
        <v>1.35</v>
      </c>
      <c r="M3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77635</v>
      </c>
      <c r="N318" s="1">
        <f>International_Education_Costs[[#This Row],[Total_Cost]]/International_Education_Costs[[#This Row],[Duration_Years]]</f>
        <v>19408.75</v>
      </c>
      <c r="O318" s="1">
        <f>International_Education_Costs[[#This Row],[Rent_USD]] * 12 * International_Education_Costs[[#This Row],[Duration_Years]]</f>
        <v>43200</v>
      </c>
      <c r="P318" s="1">
        <f>International_Education_Costs[[#This Row],[Total_Cost]]-International_Education_Costs[[#This Row],[Tuition_USD]]</f>
        <v>45835</v>
      </c>
      <c r="Q318" s="2">
        <f>International_Education_Costs[[#This Row],[Tuition_USD]]/International_Education_Costs[[#This Row],[Total_Cost]]</f>
        <v>0.40960906807496616</v>
      </c>
    </row>
    <row r="319" spans="1:17" x14ac:dyDescent="0.25">
      <c r="A319" t="s">
        <v>21</v>
      </c>
      <c r="B319" t="s">
        <v>324</v>
      </c>
      <c r="C319" t="s">
        <v>325</v>
      </c>
      <c r="D319" t="s">
        <v>15</v>
      </c>
      <c r="E319" t="s">
        <v>16</v>
      </c>
      <c r="F319">
        <v>2</v>
      </c>
      <c r="G319" s="1">
        <v>21400</v>
      </c>
      <c r="H319">
        <v>57.9</v>
      </c>
      <c r="I319" s="1">
        <v>900</v>
      </c>
      <c r="J319" s="1">
        <v>235</v>
      </c>
      <c r="K319" s="1">
        <v>600</v>
      </c>
      <c r="L319">
        <v>1.35</v>
      </c>
      <c r="M3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44435</v>
      </c>
      <c r="N319" s="1">
        <f>International_Education_Costs[[#This Row],[Total_Cost]]/International_Education_Costs[[#This Row],[Duration_Years]]</f>
        <v>22217.5</v>
      </c>
      <c r="O319" s="1">
        <f>International_Education_Costs[[#This Row],[Rent_USD]] * 12 * International_Education_Costs[[#This Row],[Duration_Years]]</f>
        <v>21600</v>
      </c>
      <c r="P319" s="1">
        <f>International_Education_Costs[[#This Row],[Total_Cost]]-International_Education_Costs[[#This Row],[Tuition_USD]]</f>
        <v>23035</v>
      </c>
      <c r="Q319" s="2">
        <f>International_Education_Costs[[#This Row],[Tuition_USD]]/International_Education_Costs[[#This Row],[Total_Cost]]</f>
        <v>0.48160234049735567</v>
      </c>
    </row>
    <row r="320" spans="1:17" x14ac:dyDescent="0.25">
      <c r="A320" t="s">
        <v>21</v>
      </c>
      <c r="B320" t="s">
        <v>322</v>
      </c>
      <c r="C320" t="s">
        <v>323</v>
      </c>
      <c r="D320" t="s">
        <v>15</v>
      </c>
      <c r="E320" t="s">
        <v>75</v>
      </c>
      <c r="F320">
        <v>4</v>
      </c>
      <c r="G320" s="1">
        <v>31200</v>
      </c>
      <c r="H320">
        <v>57.5</v>
      </c>
      <c r="I320" s="1">
        <v>900</v>
      </c>
      <c r="J320" s="1">
        <v>235</v>
      </c>
      <c r="K320" s="1">
        <v>600</v>
      </c>
      <c r="L320">
        <v>1.35</v>
      </c>
      <c r="M3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77035</v>
      </c>
      <c r="N320" s="1">
        <f>International_Education_Costs[[#This Row],[Total_Cost]]/International_Education_Costs[[#This Row],[Duration_Years]]</f>
        <v>19258.75</v>
      </c>
      <c r="O320" s="1">
        <f>International_Education_Costs[[#This Row],[Rent_USD]] * 12 * International_Education_Costs[[#This Row],[Duration_Years]]</f>
        <v>43200</v>
      </c>
      <c r="P320" s="1">
        <f>International_Education_Costs[[#This Row],[Total_Cost]]-International_Education_Costs[[#This Row],[Tuition_USD]]</f>
        <v>45835</v>
      </c>
      <c r="Q320" s="2">
        <f>International_Education_Costs[[#This Row],[Tuition_USD]]/International_Education_Costs[[#This Row],[Total_Cost]]</f>
        <v>0.4050107094177971</v>
      </c>
    </row>
    <row r="321" spans="1:17" x14ac:dyDescent="0.25">
      <c r="A321" t="s">
        <v>21</v>
      </c>
      <c r="B321" t="s">
        <v>322</v>
      </c>
      <c r="C321" t="s">
        <v>323</v>
      </c>
      <c r="D321" t="s">
        <v>15</v>
      </c>
      <c r="E321" t="s">
        <v>16</v>
      </c>
      <c r="F321">
        <v>2</v>
      </c>
      <c r="G321" s="1">
        <v>21100</v>
      </c>
      <c r="H321">
        <v>57.5</v>
      </c>
      <c r="I321" s="1">
        <v>900</v>
      </c>
      <c r="J321" s="1">
        <v>235</v>
      </c>
      <c r="K321" s="1">
        <v>600</v>
      </c>
      <c r="L321">
        <v>1.35</v>
      </c>
      <c r="M3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44135</v>
      </c>
      <c r="N321" s="1">
        <f>International_Education_Costs[[#This Row],[Total_Cost]]/International_Education_Costs[[#This Row],[Duration_Years]]</f>
        <v>22067.5</v>
      </c>
      <c r="O321" s="1">
        <f>International_Education_Costs[[#This Row],[Rent_USD]] * 12 * International_Education_Costs[[#This Row],[Duration_Years]]</f>
        <v>21600</v>
      </c>
      <c r="P321" s="1">
        <f>International_Education_Costs[[#This Row],[Total_Cost]]-International_Education_Costs[[#This Row],[Tuition_USD]]</f>
        <v>23035</v>
      </c>
      <c r="Q321" s="2">
        <f>International_Education_Costs[[#This Row],[Tuition_USD]]/International_Education_Costs[[#This Row],[Total_Cost]]</f>
        <v>0.47807862240851934</v>
      </c>
    </row>
    <row r="322" spans="1:17" x14ac:dyDescent="0.25">
      <c r="A322" t="s">
        <v>21</v>
      </c>
      <c r="B322" t="s">
        <v>328</v>
      </c>
      <c r="C322" t="s">
        <v>596</v>
      </c>
      <c r="D322" t="s">
        <v>15</v>
      </c>
      <c r="E322" t="s">
        <v>75</v>
      </c>
      <c r="F322">
        <v>4</v>
      </c>
      <c r="G322" s="1">
        <v>30600</v>
      </c>
      <c r="H322">
        <v>56.8</v>
      </c>
      <c r="I322" s="1">
        <v>850</v>
      </c>
      <c r="J322" s="1">
        <v>235</v>
      </c>
      <c r="K322" s="1">
        <v>600</v>
      </c>
      <c r="L322">
        <v>1.35</v>
      </c>
      <c r="M3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74035</v>
      </c>
      <c r="N322" s="1">
        <f>International_Education_Costs[[#This Row],[Total_Cost]]/International_Education_Costs[[#This Row],[Duration_Years]]</f>
        <v>18508.75</v>
      </c>
      <c r="O322" s="1">
        <f>International_Education_Costs[[#This Row],[Rent_USD]] * 12 * International_Education_Costs[[#This Row],[Duration_Years]]</f>
        <v>40800</v>
      </c>
      <c r="P322" s="1">
        <f>International_Education_Costs[[#This Row],[Total_Cost]]-International_Education_Costs[[#This Row],[Tuition_USD]]</f>
        <v>43435</v>
      </c>
      <c r="Q322" s="2">
        <f>International_Education_Costs[[#This Row],[Tuition_USD]]/International_Education_Costs[[#This Row],[Total_Cost]]</f>
        <v>0.41331802525832378</v>
      </c>
    </row>
    <row r="323" spans="1:17" x14ac:dyDescent="0.25">
      <c r="A323" t="s">
        <v>21</v>
      </c>
      <c r="B323" t="s">
        <v>328</v>
      </c>
      <c r="C323" t="s">
        <v>596</v>
      </c>
      <c r="D323" t="s">
        <v>15</v>
      </c>
      <c r="E323" t="s">
        <v>16</v>
      </c>
      <c r="F323">
        <v>2</v>
      </c>
      <c r="G323" s="1">
        <v>20800</v>
      </c>
      <c r="H323">
        <v>56.8</v>
      </c>
      <c r="I323" s="1">
        <v>850</v>
      </c>
      <c r="J323" s="1">
        <v>235</v>
      </c>
      <c r="K323" s="1">
        <v>600</v>
      </c>
      <c r="L323">
        <v>1.35</v>
      </c>
      <c r="M3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42635</v>
      </c>
      <c r="N323" s="1">
        <f>International_Education_Costs[[#This Row],[Total_Cost]]/International_Education_Costs[[#This Row],[Duration_Years]]</f>
        <v>21317.5</v>
      </c>
      <c r="O323" s="1">
        <f>International_Education_Costs[[#This Row],[Rent_USD]] * 12 * International_Education_Costs[[#This Row],[Duration_Years]]</f>
        <v>20400</v>
      </c>
      <c r="P323" s="1">
        <f>International_Education_Costs[[#This Row],[Total_Cost]]-International_Education_Costs[[#This Row],[Tuition_USD]]</f>
        <v>21835</v>
      </c>
      <c r="Q323" s="2">
        <f>International_Education_Costs[[#This Row],[Tuition_USD]]/International_Education_Costs[[#This Row],[Total_Cost]]</f>
        <v>0.48786208514131579</v>
      </c>
    </row>
    <row r="324" spans="1:17" x14ac:dyDescent="0.25">
      <c r="A324" t="s">
        <v>21</v>
      </c>
      <c r="B324" t="s">
        <v>597</v>
      </c>
      <c r="C324" t="s">
        <v>598</v>
      </c>
      <c r="D324" t="s">
        <v>15</v>
      </c>
      <c r="E324" t="s">
        <v>75</v>
      </c>
      <c r="F324">
        <v>4</v>
      </c>
      <c r="G324" s="1">
        <v>30000</v>
      </c>
      <c r="H324">
        <v>58.9</v>
      </c>
      <c r="I324" s="1">
        <v>950</v>
      </c>
      <c r="J324" s="1">
        <v>235</v>
      </c>
      <c r="K324" s="1">
        <v>600</v>
      </c>
      <c r="L324">
        <v>1.35</v>
      </c>
      <c r="M3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78235</v>
      </c>
      <c r="N324" s="1">
        <f>International_Education_Costs[[#This Row],[Total_Cost]]/International_Education_Costs[[#This Row],[Duration_Years]]</f>
        <v>19558.75</v>
      </c>
      <c r="O324" s="1">
        <f>International_Education_Costs[[#This Row],[Rent_USD]] * 12 * International_Education_Costs[[#This Row],[Duration_Years]]</f>
        <v>45600</v>
      </c>
      <c r="P324" s="1">
        <f>International_Education_Costs[[#This Row],[Total_Cost]]-International_Education_Costs[[#This Row],[Tuition_USD]]</f>
        <v>48235</v>
      </c>
      <c r="Q324" s="2">
        <f>International_Education_Costs[[#This Row],[Tuition_USD]]/International_Education_Costs[[#This Row],[Total_Cost]]</f>
        <v>0.38346008819582028</v>
      </c>
    </row>
    <row r="325" spans="1:17" x14ac:dyDescent="0.25">
      <c r="A325" t="s">
        <v>21</v>
      </c>
      <c r="B325" t="s">
        <v>597</v>
      </c>
      <c r="C325" t="s">
        <v>598</v>
      </c>
      <c r="D325" t="s">
        <v>15</v>
      </c>
      <c r="E325" t="s">
        <v>16</v>
      </c>
      <c r="F325">
        <v>2</v>
      </c>
      <c r="G325" s="1">
        <v>20500</v>
      </c>
      <c r="H325">
        <v>58.9</v>
      </c>
      <c r="I325" s="1">
        <v>950</v>
      </c>
      <c r="J325" s="1">
        <v>235</v>
      </c>
      <c r="K325" s="1">
        <v>600</v>
      </c>
      <c r="L325">
        <v>1.35</v>
      </c>
      <c r="M3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44735</v>
      </c>
      <c r="N325" s="1">
        <f>International_Education_Costs[[#This Row],[Total_Cost]]/International_Education_Costs[[#This Row],[Duration_Years]]</f>
        <v>22367.5</v>
      </c>
      <c r="O325" s="1">
        <f>International_Education_Costs[[#This Row],[Rent_USD]] * 12 * International_Education_Costs[[#This Row],[Duration_Years]]</f>
        <v>22800</v>
      </c>
      <c r="P325" s="1">
        <f>International_Education_Costs[[#This Row],[Total_Cost]]-International_Education_Costs[[#This Row],[Tuition_USD]]</f>
        <v>24235</v>
      </c>
      <c r="Q325" s="2">
        <f>International_Education_Costs[[#This Row],[Tuition_USD]]/International_Education_Costs[[#This Row],[Total_Cost]]</f>
        <v>0.45825416340672853</v>
      </c>
    </row>
    <row r="326" spans="1:17" x14ac:dyDescent="0.25">
      <c r="A326" t="s">
        <v>21</v>
      </c>
      <c r="B326" t="s">
        <v>599</v>
      </c>
      <c r="C326" t="s">
        <v>600</v>
      </c>
      <c r="D326" t="s">
        <v>15</v>
      </c>
      <c r="E326" t="s">
        <v>75</v>
      </c>
      <c r="F326">
        <v>4</v>
      </c>
      <c r="G326" s="1">
        <v>29400</v>
      </c>
      <c r="H326">
        <v>57.2</v>
      </c>
      <c r="I326" s="1">
        <v>900</v>
      </c>
      <c r="J326" s="1">
        <v>235</v>
      </c>
      <c r="K326" s="1">
        <v>600</v>
      </c>
      <c r="L326">
        <v>1.35</v>
      </c>
      <c r="M3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75235</v>
      </c>
      <c r="N326" s="1">
        <f>International_Education_Costs[[#This Row],[Total_Cost]]/International_Education_Costs[[#This Row],[Duration_Years]]</f>
        <v>18808.75</v>
      </c>
      <c r="O326" s="1">
        <f>International_Education_Costs[[#This Row],[Rent_USD]] * 12 * International_Education_Costs[[#This Row],[Duration_Years]]</f>
        <v>43200</v>
      </c>
      <c r="P326" s="1">
        <f>International_Education_Costs[[#This Row],[Total_Cost]]-International_Education_Costs[[#This Row],[Tuition_USD]]</f>
        <v>45835</v>
      </c>
      <c r="Q326" s="2">
        <f>International_Education_Costs[[#This Row],[Tuition_USD]]/International_Education_Costs[[#This Row],[Total_Cost]]</f>
        <v>0.3907755698810394</v>
      </c>
    </row>
    <row r="327" spans="1:17" x14ac:dyDescent="0.25">
      <c r="A327" t="s">
        <v>21</v>
      </c>
      <c r="B327" t="s">
        <v>599</v>
      </c>
      <c r="C327" t="s">
        <v>600</v>
      </c>
      <c r="D327" t="s">
        <v>15</v>
      </c>
      <c r="E327" t="s">
        <v>16</v>
      </c>
      <c r="F327">
        <v>2</v>
      </c>
      <c r="G327" s="1">
        <v>20200</v>
      </c>
      <c r="H327">
        <v>57.2</v>
      </c>
      <c r="I327" s="1">
        <v>900</v>
      </c>
      <c r="J327" s="1">
        <v>235</v>
      </c>
      <c r="K327" s="1">
        <v>600</v>
      </c>
      <c r="L327">
        <v>1.35</v>
      </c>
      <c r="M3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43235</v>
      </c>
      <c r="N327" s="1">
        <f>International_Education_Costs[[#This Row],[Total_Cost]]/International_Education_Costs[[#This Row],[Duration_Years]]</f>
        <v>21617.5</v>
      </c>
      <c r="O327" s="1">
        <f>International_Education_Costs[[#This Row],[Rent_USD]] * 12 * International_Education_Costs[[#This Row],[Duration_Years]]</f>
        <v>21600</v>
      </c>
      <c r="P327" s="1">
        <f>International_Education_Costs[[#This Row],[Total_Cost]]-International_Education_Costs[[#This Row],[Tuition_USD]]</f>
        <v>23035</v>
      </c>
      <c r="Q327" s="2">
        <f>International_Education_Costs[[#This Row],[Tuition_USD]]/International_Education_Costs[[#This Row],[Total_Cost]]</f>
        <v>0.46721406268069848</v>
      </c>
    </row>
    <row r="328" spans="1:17" x14ac:dyDescent="0.25">
      <c r="A328" t="s">
        <v>21</v>
      </c>
      <c r="B328" t="s">
        <v>601</v>
      </c>
      <c r="C328" t="s">
        <v>602</v>
      </c>
      <c r="D328" t="s">
        <v>15</v>
      </c>
      <c r="E328" t="s">
        <v>75</v>
      </c>
      <c r="F328">
        <v>4</v>
      </c>
      <c r="G328" s="1">
        <v>28800</v>
      </c>
      <c r="H328">
        <v>56.5</v>
      </c>
      <c r="I328" s="1">
        <v>850</v>
      </c>
      <c r="J328" s="1">
        <v>235</v>
      </c>
      <c r="K328" s="1">
        <v>600</v>
      </c>
      <c r="L328">
        <v>1.35</v>
      </c>
      <c r="M3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72235</v>
      </c>
      <c r="N328" s="1">
        <f>International_Education_Costs[[#This Row],[Total_Cost]]/International_Education_Costs[[#This Row],[Duration_Years]]</f>
        <v>18058.75</v>
      </c>
      <c r="O328" s="1">
        <f>International_Education_Costs[[#This Row],[Rent_USD]] * 12 * International_Education_Costs[[#This Row],[Duration_Years]]</f>
        <v>40800</v>
      </c>
      <c r="P328" s="1">
        <f>International_Education_Costs[[#This Row],[Total_Cost]]-International_Education_Costs[[#This Row],[Tuition_USD]]</f>
        <v>43435</v>
      </c>
      <c r="Q328" s="2">
        <f>International_Education_Costs[[#This Row],[Tuition_USD]]/International_Education_Costs[[#This Row],[Total_Cost]]</f>
        <v>0.39869869176991762</v>
      </c>
    </row>
    <row r="329" spans="1:17" x14ac:dyDescent="0.25">
      <c r="A329" t="s">
        <v>21</v>
      </c>
      <c r="B329" t="s">
        <v>601</v>
      </c>
      <c r="C329" t="s">
        <v>602</v>
      </c>
      <c r="D329" t="s">
        <v>15</v>
      </c>
      <c r="E329" t="s">
        <v>16</v>
      </c>
      <c r="F329">
        <v>2</v>
      </c>
      <c r="G329" s="1">
        <v>19900</v>
      </c>
      <c r="H329">
        <v>56.5</v>
      </c>
      <c r="I329" s="1">
        <v>850</v>
      </c>
      <c r="J329" s="1">
        <v>235</v>
      </c>
      <c r="K329" s="1">
        <v>600</v>
      </c>
      <c r="L329">
        <v>1.35</v>
      </c>
      <c r="M3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41735</v>
      </c>
      <c r="N329" s="1">
        <f>International_Education_Costs[[#This Row],[Total_Cost]]/International_Education_Costs[[#This Row],[Duration_Years]]</f>
        <v>20867.5</v>
      </c>
      <c r="O329" s="1">
        <f>International_Education_Costs[[#This Row],[Rent_USD]] * 12 * International_Education_Costs[[#This Row],[Duration_Years]]</f>
        <v>20400</v>
      </c>
      <c r="P329" s="1">
        <f>International_Education_Costs[[#This Row],[Total_Cost]]-International_Education_Costs[[#This Row],[Tuition_USD]]</f>
        <v>21835</v>
      </c>
      <c r="Q329" s="2">
        <f>International_Education_Costs[[#This Row],[Tuition_USD]]/International_Education_Costs[[#This Row],[Total_Cost]]</f>
        <v>0.47681801844974242</v>
      </c>
    </row>
    <row r="330" spans="1:17" x14ac:dyDescent="0.25">
      <c r="A330" t="s">
        <v>21</v>
      </c>
      <c r="B330" t="s">
        <v>603</v>
      </c>
      <c r="C330" t="s">
        <v>604</v>
      </c>
      <c r="D330" t="s">
        <v>15</v>
      </c>
      <c r="E330" t="s">
        <v>75</v>
      </c>
      <c r="F330">
        <v>4</v>
      </c>
      <c r="G330" s="1">
        <v>28200</v>
      </c>
      <c r="H330">
        <v>56.2</v>
      </c>
      <c r="I330" s="1">
        <v>800</v>
      </c>
      <c r="J330" s="1">
        <v>235</v>
      </c>
      <c r="K330" s="1">
        <v>600</v>
      </c>
      <c r="L330">
        <v>1.35</v>
      </c>
      <c r="M3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69235</v>
      </c>
      <c r="N330" s="1">
        <f>International_Education_Costs[[#This Row],[Total_Cost]]/International_Education_Costs[[#This Row],[Duration_Years]]</f>
        <v>17308.75</v>
      </c>
      <c r="O330" s="1">
        <f>International_Education_Costs[[#This Row],[Rent_USD]] * 12 * International_Education_Costs[[#This Row],[Duration_Years]]</f>
        <v>38400</v>
      </c>
      <c r="P330" s="1">
        <f>International_Education_Costs[[#This Row],[Total_Cost]]-International_Education_Costs[[#This Row],[Tuition_USD]]</f>
        <v>41035</v>
      </c>
      <c r="Q330" s="2">
        <f>International_Education_Costs[[#This Row],[Tuition_USD]]/International_Education_Costs[[#This Row],[Total_Cost]]</f>
        <v>0.4073084422618618</v>
      </c>
    </row>
    <row r="331" spans="1:17" x14ac:dyDescent="0.25">
      <c r="A331" t="s">
        <v>21</v>
      </c>
      <c r="B331" t="s">
        <v>603</v>
      </c>
      <c r="C331" t="s">
        <v>604</v>
      </c>
      <c r="D331" t="s">
        <v>15</v>
      </c>
      <c r="E331" t="s">
        <v>16</v>
      </c>
      <c r="F331">
        <v>2</v>
      </c>
      <c r="G331" s="1">
        <v>19600</v>
      </c>
      <c r="H331">
        <v>56.2</v>
      </c>
      <c r="I331" s="1">
        <v>800</v>
      </c>
      <c r="J331" s="1">
        <v>235</v>
      </c>
      <c r="K331" s="1">
        <v>600</v>
      </c>
      <c r="L331">
        <v>1.35</v>
      </c>
      <c r="M3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40235</v>
      </c>
      <c r="N331" s="1">
        <f>International_Education_Costs[[#This Row],[Total_Cost]]/International_Education_Costs[[#This Row],[Duration_Years]]</f>
        <v>20117.5</v>
      </c>
      <c r="O331" s="1">
        <f>International_Education_Costs[[#This Row],[Rent_USD]] * 12 * International_Education_Costs[[#This Row],[Duration_Years]]</f>
        <v>19200</v>
      </c>
      <c r="P331" s="1">
        <f>International_Education_Costs[[#This Row],[Total_Cost]]-International_Education_Costs[[#This Row],[Tuition_USD]]</f>
        <v>20635</v>
      </c>
      <c r="Q331" s="2">
        <f>International_Education_Costs[[#This Row],[Tuition_USD]]/International_Education_Costs[[#This Row],[Total_Cost]]</f>
        <v>0.4871380638747359</v>
      </c>
    </row>
    <row r="332" spans="1:17" x14ac:dyDescent="0.25">
      <c r="A332" t="s">
        <v>21</v>
      </c>
      <c r="B332" t="s">
        <v>605</v>
      </c>
      <c r="C332" t="s">
        <v>606</v>
      </c>
      <c r="D332" t="s">
        <v>15</v>
      </c>
      <c r="E332" t="s">
        <v>75</v>
      </c>
      <c r="F332">
        <v>4</v>
      </c>
      <c r="G332" s="1">
        <v>27600</v>
      </c>
      <c r="H332">
        <v>55.8</v>
      </c>
      <c r="I332" s="1">
        <v>800</v>
      </c>
      <c r="J332" s="1">
        <v>235</v>
      </c>
      <c r="K332" s="1">
        <v>600</v>
      </c>
      <c r="L332">
        <v>1.35</v>
      </c>
      <c r="M3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68635</v>
      </c>
      <c r="N332" s="1">
        <f>International_Education_Costs[[#This Row],[Total_Cost]]/International_Education_Costs[[#This Row],[Duration_Years]]</f>
        <v>17158.75</v>
      </c>
      <c r="O332" s="1">
        <f>International_Education_Costs[[#This Row],[Rent_USD]] * 12 * International_Education_Costs[[#This Row],[Duration_Years]]</f>
        <v>38400</v>
      </c>
      <c r="P332" s="1">
        <f>International_Education_Costs[[#This Row],[Total_Cost]]-International_Education_Costs[[#This Row],[Tuition_USD]]</f>
        <v>41035</v>
      </c>
      <c r="Q332" s="2">
        <f>International_Education_Costs[[#This Row],[Tuition_USD]]/International_Education_Costs[[#This Row],[Total_Cost]]</f>
        <v>0.40212719458002477</v>
      </c>
    </row>
    <row r="333" spans="1:17" x14ac:dyDescent="0.25">
      <c r="A333" t="s">
        <v>21</v>
      </c>
      <c r="B333" t="s">
        <v>605</v>
      </c>
      <c r="C333" t="s">
        <v>606</v>
      </c>
      <c r="D333" t="s">
        <v>15</v>
      </c>
      <c r="E333" t="s">
        <v>16</v>
      </c>
      <c r="F333">
        <v>2</v>
      </c>
      <c r="G333" s="1">
        <v>19300</v>
      </c>
      <c r="H333">
        <v>55.8</v>
      </c>
      <c r="I333" s="1">
        <v>800</v>
      </c>
      <c r="J333" s="1">
        <v>235</v>
      </c>
      <c r="K333" s="1">
        <v>600</v>
      </c>
      <c r="L333">
        <v>1.35</v>
      </c>
      <c r="M3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39935</v>
      </c>
      <c r="N333" s="1">
        <f>International_Education_Costs[[#This Row],[Total_Cost]]/International_Education_Costs[[#This Row],[Duration_Years]]</f>
        <v>19967.5</v>
      </c>
      <c r="O333" s="1">
        <f>International_Education_Costs[[#This Row],[Rent_USD]] * 12 * International_Education_Costs[[#This Row],[Duration_Years]]</f>
        <v>19200</v>
      </c>
      <c r="P333" s="1">
        <f>International_Education_Costs[[#This Row],[Total_Cost]]-International_Education_Costs[[#This Row],[Tuition_USD]]</f>
        <v>20635</v>
      </c>
      <c r="Q333" s="2">
        <f>International_Education_Costs[[#This Row],[Tuition_USD]]/International_Education_Costs[[#This Row],[Total_Cost]]</f>
        <v>0.48328533867534745</v>
      </c>
    </row>
    <row r="334" spans="1:17" x14ac:dyDescent="0.25">
      <c r="A334" t="s">
        <v>21</v>
      </c>
      <c r="B334" t="s">
        <v>607</v>
      </c>
      <c r="C334" t="s">
        <v>608</v>
      </c>
      <c r="D334" t="s">
        <v>15</v>
      </c>
      <c r="E334" t="s">
        <v>75</v>
      </c>
      <c r="F334">
        <v>4</v>
      </c>
      <c r="G334" s="1">
        <v>27000</v>
      </c>
      <c r="H334">
        <v>55.5</v>
      </c>
      <c r="I334" s="1">
        <v>750</v>
      </c>
      <c r="J334" s="1">
        <v>235</v>
      </c>
      <c r="K334" s="1">
        <v>600</v>
      </c>
      <c r="L334">
        <v>1.35</v>
      </c>
      <c r="M3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65635</v>
      </c>
      <c r="N334" s="1">
        <f>International_Education_Costs[[#This Row],[Total_Cost]]/International_Education_Costs[[#This Row],[Duration_Years]]</f>
        <v>16408.75</v>
      </c>
      <c r="O334" s="1">
        <f>International_Education_Costs[[#This Row],[Rent_USD]] * 12 * International_Education_Costs[[#This Row],[Duration_Years]]</f>
        <v>36000</v>
      </c>
      <c r="P334" s="1">
        <f>International_Education_Costs[[#This Row],[Total_Cost]]-International_Education_Costs[[#This Row],[Tuition_USD]]</f>
        <v>38635</v>
      </c>
      <c r="Q334" s="2">
        <f>International_Education_Costs[[#This Row],[Tuition_USD]]/International_Education_Costs[[#This Row],[Total_Cost]]</f>
        <v>0.41136588710291766</v>
      </c>
    </row>
    <row r="335" spans="1:17" x14ac:dyDescent="0.25">
      <c r="A335" t="s">
        <v>21</v>
      </c>
      <c r="B335" t="s">
        <v>607</v>
      </c>
      <c r="C335" t="s">
        <v>608</v>
      </c>
      <c r="D335" t="s">
        <v>15</v>
      </c>
      <c r="E335" t="s">
        <v>16</v>
      </c>
      <c r="F335">
        <v>2</v>
      </c>
      <c r="G335" s="1">
        <v>19000</v>
      </c>
      <c r="H335">
        <v>55.5</v>
      </c>
      <c r="I335" s="1">
        <v>750</v>
      </c>
      <c r="J335" s="1">
        <v>235</v>
      </c>
      <c r="K335" s="1">
        <v>600</v>
      </c>
      <c r="L335">
        <v>1.35</v>
      </c>
      <c r="M3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38435</v>
      </c>
      <c r="N335" s="1">
        <f>International_Education_Costs[[#This Row],[Total_Cost]]/International_Education_Costs[[#This Row],[Duration_Years]]</f>
        <v>19217.5</v>
      </c>
      <c r="O335" s="1">
        <f>International_Education_Costs[[#This Row],[Rent_USD]] * 12 * International_Education_Costs[[#This Row],[Duration_Years]]</f>
        <v>18000</v>
      </c>
      <c r="P335" s="1">
        <f>International_Education_Costs[[#This Row],[Total_Cost]]-International_Education_Costs[[#This Row],[Tuition_USD]]</f>
        <v>19435</v>
      </c>
      <c r="Q335" s="2">
        <f>International_Education_Costs[[#This Row],[Tuition_USD]]/International_Education_Costs[[#This Row],[Total_Cost]]</f>
        <v>0.49434109535579551</v>
      </c>
    </row>
    <row r="336" spans="1:17" x14ac:dyDescent="0.25">
      <c r="A336" t="s">
        <v>25</v>
      </c>
      <c r="B336" t="s">
        <v>26</v>
      </c>
      <c r="C336" t="s">
        <v>27</v>
      </c>
      <c r="D336" t="s">
        <v>15</v>
      </c>
      <c r="E336" t="s">
        <v>75</v>
      </c>
      <c r="F336">
        <v>3</v>
      </c>
      <c r="G336" s="1">
        <v>42500</v>
      </c>
      <c r="H336">
        <v>72.8</v>
      </c>
      <c r="I336" s="1">
        <v>1800</v>
      </c>
      <c r="J336" s="1">
        <v>450</v>
      </c>
      <c r="K336" s="1">
        <v>650</v>
      </c>
      <c r="L336">
        <v>1.52</v>
      </c>
      <c r="M3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109700</v>
      </c>
      <c r="N336" s="1">
        <f>International_Education_Costs[[#This Row],[Total_Cost]]/International_Education_Costs[[#This Row],[Duration_Years]]</f>
        <v>36566.666666666664</v>
      </c>
      <c r="O336" s="1">
        <f>International_Education_Costs[[#This Row],[Rent_USD]] * 12 * International_Education_Costs[[#This Row],[Duration_Years]]</f>
        <v>64800</v>
      </c>
      <c r="P336" s="1">
        <f>International_Education_Costs[[#This Row],[Total_Cost]]-International_Education_Costs[[#This Row],[Tuition_USD]]</f>
        <v>67200</v>
      </c>
      <c r="Q336" s="2">
        <f>International_Education_Costs[[#This Row],[Tuition_USD]]/International_Education_Costs[[#This Row],[Total_Cost]]</f>
        <v>0.38742023701002737</v>
      </c>
    </row>
    <row r="337" spans="1:17" x14ac:dyDescent="0.25">
      <c r="A337" t="s">
        <v>25</v>
      </c>
      <c r="B337" t="s">
        <v>26</v>
      </c>
      <c r="C337" t="s">
        <v>27</v>
      </c>
      <c r="D337" t="s">
        <v>15</v>
      </c>
      <c r="E337" t="s">
        <v>16</v>
      </c>
      <c r="F337">
        <v>2</v>
      </c>
      <c r="G337" s="1">
        <v>45800</v>
      </c>
      <c r="H337">
        <v>72.8</v>
      </c>
      <c r="I337" s="1">
        <v>1800</v>
      </c>
      <c r="J337" s="1">
        <v>450</v>
      </c>
      <c r="K337" s="1">
        <v>650</v>
      </c>
      <c r="L337">
        <v>1.52</v>
      </c>
      <c r="M3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90750</v>
      </c>
      <c r="N337" s="1">
        <f>International_Education_Costs[[#This Row],[Total_Cost]]/International_Education_Costs[[#This Row],[Duration_Years]]</f>
        <v>45375</v>
      </c>
      <c r="O337" s="1">
        <f>International_Education_Costs[[#This Row],[Rent_USD]] * 12 * International_Education_Costs[[#This Row],[Duration_Years]]</f>
        <v>43200</v>
      </c>
      <c r="P337" s="1">
        <f>International_Education_Costs[[#This Row],[Total_Cost]]-International_Education_Costs[[#This Row],[Tuition_USD]]</f>
        <v>44950</v>
      </c>
      <c r="Q337" s="2">
        <f>International_Education_Costs[[#This Row],[Tuition_USD]]/International_Education_Costs[[#This Row],[Total_Cost]]</f>
        <v>0.50468319559228647</v>
      </c>
    </row>
    <row r="338" spans="1:17" x14ac:dyDescent="0.25">
      <c r="A338" t="s">
        <v>25</v>
      </c>
      <c r="B338" t="s">
        <v>26</v>
      </c>
      <c r="C338" t="s">
        <v>27</v>
      </c>
      <c r="D338" t="s">
        <v>15</v>
      </c>
      <c r="E338" t="s">
        <v>122</v>
      </c>
      <c r="F338">
        <v>4</v>
      </c>
      <c r="G338" s="1">
        <v>35000</v>
      </c>
      <c r="H338">
        <v>72.8</v>
      </c>
      <c r="I338" s="1">
        <v>1800</v>
      </c>
      <c r="J338" s="1">
        <v>450</v>
      </c>
      <c r="K338" s="1">
        <v>650</v>
      </c>
      <c r="L338">
        <v>1.52</v>
      </c>
      <c r="M3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124450</v>
      </c>
      <c r="N338" s="1">
        <f>International_Education_Costs[[#This Row],[Total_Cost]]/International_Education_Costs[[#This Row],[Duration_Years]]</f>
        <v>31112.5</v>
      </c>
      <c r="O338" s="1">
        <f>International_Education_Costs[[#This Row],[Rent_USD]] * 12 * International_Education_Costs[[#This Row],[Duration_Years]]</f>
        <v>86400</v>
      </c>
      <c r="P338" s="1">
        <f>International_Education_Costs[[#This Row],[Total_Cost]]-International_Education_Costs[[#This Row],[Tuition_USD]]</f>
        <v>89450</v>
      </c>
      <c r="Q338" s="2">
        <f>International_Education_Costs[[#This Row],[Tuition_USD]]/International_Education_Costs[[#This Row],[Total_Cost]]</f>
        <v>0.28123744475693052</v>
      </c>
    </row>
    <row r="339" spans="1:17" x14ac:dyDescent="0.25">
      <c r="A339" t="s">
        <v>25</v>
      </c>
      <c r="B339" t="s">
        <v>179</v>
      </c>
      <c r="C339" t="s">
        <v>180</v>
      </c>
      <c r="D339" t="s">
        <v>15</v>
      </c>
      <c r="E339" t="s">
        <v>75</v>
      </c>
      <c r="F339">
        <v>3</v>
      </c>
      <c r="G339" s="1">
        <v>41800</v>
      </c>
      <c r="H339">
        <v>74.5</v>
      </c>
      <c r="I339" s="1">
        <v>2000</v>
      </c>
      <c r="J339" s="1">
        <v>450</v>
      </c>
      <c r="K339" s="1">
        <v>650</v>
      </c>
      <c r="L339">
        <v>1.52</v>
      </c>
      <c r="M3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116200</v>
      </c>
      <c r="N339" s="1">
        <f>International_Education_Costs[[#This Row],[Total_Cost]]/International_Education_Costs[[#This Row],[Duration_Years]]</f>
        <v>38733.333333333336</v>
      </c>
      <c r="O339" s="1">
        <f>International_Education_Costs[[#This Row],[Rent_USD]] * 12 * International_Education_Costs[[#This Row],[Duration_Years]]</f>
        <v>72000</v>
      </c>
      <c r="P339" s="1">
        <f>International_Education_Costs[[#This Row],[Total_Cost]]-International_Education_Costs[[#This Row],[Tuition_USD]]</f>
        <v>74400</v>
      </c>
      <c r="Q339" s="2">
        <f>International_Education_Costs[[#This Row],[Tuition_USD]]/International_Education_Costs[[#This Row],[Total_Cost]]</f>
        <v>0.35972461273666095</v>
      </c>
    </row>
    <row r="340" spans="1:17" x14ac:dyDescent="0.25">
      <c r="A340" t="s">
        <v>25</v>
      </c>
      <c r="B340" t="s">
        <v>179</v>
      </c>
      <c r="C340" t="s">
        <v>180</v>
      </c>
      <c r="D340" t="s">
        <v>15</v>
      </c>
      <c r="E340" t="s">
        <v>16</v>
      </c>
      <c r="F340">
        <v>2</v>
      </c>
      <c r="G340" s="1">
        <v>44900</v>
      </c>
      <c r="H340">
        <v>74.5</v>
      </c>
      <c r="I340" s="1">
        <v>2000</v>
      </c>
      <c r="J340" s="1">
        <v>450</v>
      </c>
      <c r="K340" s="1">
        <v>650</v>
      </c>
      <c r="L340">
        <v>1.52</v>
      </c>
      <c r="M3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94650</v>
      </c>
      <c r="N340" s="1">
        <f>International_Education_Costs[[#This Row],[Total_Cost]]/International_Education_Costs[[#This Row],[Duration_Years]]</f>
        <v>47325</v>
      </c>
      <c r="O340" s="1">
        <f>International_Education_Costs[[#This Row],[Rent_USD]] * 12 * International_Education_Costs[[#This Row],[Duration_Years]]</f>
        <v>48000</v>
      </c>
      <c r="P340" s="1">
        <f>International_Education_Costs[[#This Row],[Total_Cost]]-International_Education_Costs[[#This Row],[Tuition_USD]]</f>
        <v>49750</v>
      </c>
      <c r="Q340" s="2">
        <f>International_Education_Costs[[#This Row],[Tuition_USD]]/International_Education_Costs[[#This Row],[Total_Cost]]</f>
        <v>0.47437929212889596</v>
      </c>
    </row>
    <row r="341" spans="1:17" x14ac:dyDescent="0.25">
      <c r="A341" t="s">
        <v>25</v>
      </c>
      <c r="B341" t="s">
        <v>179</v>
      </c>
      <c r="C341" t="s">
        <v>180</v>
      </c>
      <c r="D341" t="s">
        <v>15</v>
      </c>
      <c r="E341" t="s">
        <v>122</v>
      </c>
      <c r="F341">
        <v>4</v>
      </c>
      <c r="G341" s="1">
        <v>34500</v>
      </c>
      <c r="H341">
        <v>74.5</v>
      </c>
      <c r="I341" s="1">
        <v>2000</v>
      </c>
      <c r="J341" s="1">
        <v>450</v>
      </c>
      <c r="K341" s="1">
        <v>650</v>
      </c>
      <c r="L341">
        <v>1.52</v>
      </c>
      <c r="M3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133550</v>
      </c>
      <c r="N341" s="1">
        <f>International_Education_Costs[[#This Row],[Total_Cost]]/International_Education_Costs[[#This Row],[Duration_Years]]</f>
        <v>33387.5</v>
      </c>
      <c r="O341" s="1">
        <f>International_Education_Costs[[#This Row],[Rent_USD]] * 12 * International_Education_Costs[[#This Row],[Duration_Years]]</f>
        <v>96000</v>
      </c>
      <c r="P341" s="1">
        <f>International_Education_Costs[[#This Row],[Total_Cost]]-International_Education_Costs[[#This Row],[Tuition_USD]]</f>
        <v>99050</v>
      </c>
      <c r="Q341" s="2">
        <f>International_Education_Costs[[#This Row],[Tuition_USD]]/International_Education_Costs[[#This Row],[Total_Cost]]</f>
        <v>0.25833021340321977</v>
      </c>
    </row>
    <row r="342" spans="1:17" x14ac:dyDescent="0.25">
      <c r="A342" t="s">
        <v>25</v>
      </c>
      <c r="B342" t="s">
        <v>142</v>
      </c>
      <c r="C342" t="s">
        <v>143</v>
      </c>
      <c r="D342" t="s">
        <v>15</v>
      </c>
      <c r="E342" t="s">
        <v>75</v>
      </c>
      <c r="F342">
        <v>3</v>
      </c>
      <c r="G342" s="1">
        <v>41200</v>
      </c>
      <c r="H342">
        <v>68.900000000000006</v>
      </c>
      <c r="I342" s="1">
        <v>1600</v>
      </c>
      <c r="J342" s="1">
        <v>450</v>
      </c>
      <c r="K342" s="1">
        <v>650</v>
      </c>
      <c r="L342">
        <v>1.52</v>
      </c>
      <c r="M3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101200</v>
      </c>
      <c r="N342" s="1">
        <f>International_Education_Costs[[#This Row],[Total_Cost]]/International_Education_Costs[[#This Row],[Duration_Years]]</f>
        <v>33733.333333333336</v>
      </c>
      <c r="O342" s="1">
        <f>International_Education_Costs[[#This Row],[Rent_USD]] * 12 * International_Education_Costs[[#This Row],[Duration_Years]]</f>
        <v>57600</v>
      </c>
      <c r="P342" s="1">
        <f>International_Education_Costs[[#This Row],[Total_Cost]]-International_Education_Costs[[#This Row],[Tuition_USD]]</f>
        <v>60000</v>
      </c>
      <c r="Q342" s="2">
        <f>International_Education_Costs[[#This Row],[Tuition_USD]]/International_Education_Costs[[#This Row],[Total_Cost]]</f>
        <v>0.40711462450592883</v>
      </c>
    </row>
    <row r="343" spans="1:17" x14ac:dyDescent="0.25">
      <c r="A343" t="s">
        <v>25</v>
      </c>
      <c r="B343" t="s">
        <v>142</v>
      </c>
      <c r="C343" t="s">
        <v>143</v>
      </c>
      <c r="D343" t="s">
        <v>15</v>
      </c>
      <c r="E343" t="s">
        <v>16</v>
      </c>
      <c r="F343">
        <v>2</v>
      </c>
      <c r="G343" s="1">
        <v>44200</v>
      </c>
      <c r="H343">
        <v>68.900000000000006</v>
      </c>
      <c r="I343" s="1">
        <v>1600</v>
      </c>
      <c r="J343" s="1">
        <v>450</v>
      </c>
      <c r="K343" s="1">
        <v>650</v>
      </c>
      <c r="L343">
        <v>1.52</v>
      </c>
      <c r="M3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84350</v>
      </c>
      <c r="N343" s="1">
        <f>International_Education_Costs[[#This Row],[Total_Cost]]/International_Education_Costs[[#This Row],[Duration_Years]]</f>
        <v>42175</v>
      </c>
      <c r="O343" s="1">
        <f>International_Education_Costs[[#This Row],[Rent_USD]] * 12 * International_Education_Costs[[#This Row],[Duration_Years]]</f>
        <v>38400</v>
      </c>
      <c r="P343" s="1">
        <f>International_Education_Costs[[#This Row],[Total_Cost]]-International_Education_Costs[[#This Row],[Tuition_USD]]</f>
        <v>40150</v>
      </c>
      <c r="Q343" s="2">
        <f>International_Education_Costs[[#This Row],[Tuition_USD]]/International_Education_Costs[[#This Row],[Total_Cost]]</f>
        <v>0.5240071132187315</v>
      </c>
    </row>
    <row r="344" spans="1:17" x14ac:dyDescent="0.25">
      <c r="A344" t="s">
        <v>25</v>
      </c>
      <c r="B344" t="s">
        <v>142</v>
      </c>
      <c r="C344" t="s">
        <v>143</v>
      </c>
      <c r="D344" t="s">
        <v>15</v>
      </c>
      <c r="E344" t="s">
        <v>122</v>
      </c>
      <c r="F344">
        <v>4</v>
      </c>
      <c r="G344" s="1">
        <v>34000</v>
      </c>
      <c r="H344">
        <v>68.900000000000006</v>
      </c>
      <c r="I344" s="1">
        <v>1600</v>
      </c>
      <c r="J344" s="1">
        <v>450</v>
      </c>
      <c r="K344" s="1">
        <v>650</v>
      </c>
      <c r="L344">
        <v>1.52</v>
      </c>
      <c r="M3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113850</v>
      </c>
      <c r="N344" s="1">
        <f>International_Education_Costs[[#This Row],[Total_Cost]]/International_Education_Costs[[#This Row],[Duration_Years]]</f>
        <v>28462.5</v>
      </c>
      <c r="O344" s="1">
        <f>International_Education_Costs[[#This Row],[Rent_USD]] * 12 * International_Education_Costs[[#This Row],[Duration_Years]]</f>
        <v>76800</v>
      </c>
      <c r="P344" s="1">
        <f>International_Education_Costs[[#This Row],[Total_Cost]]-International_Education_Costs[[#This Row],[Tuition_USD]]</f>
        <v>79850</v>
      </c>
      <c r="Q344" s="2">
        <f>International_Education_Costs[[#This Row],[Tuition_USD]]/International_Education_Costs[[#This Row],[Total_Cost]]</f>
        <v>0.29863855950812473</v>
      </c>
    </row>
    <row r="345" spans="1:17" x14ac:dyDescent="0.25">
      <c r="A345" t="s">
        <v>25</v>
      </c>
      <c r="B345" t="s">
        <v>609</v>
      </c>
      <c r="C345" t="s">
        <v>610</v>
      </c>
      <c r="D345" t="s">
        <v>15</v>
      </c>
      <c r="E345" t="s">
        <v>75</v>
      </c>
      <c r="F345">
        <v>3</v>
      </c>
      <c r="G345" s="1">
        <v>40500</v>
      </c>
      <c r="H345">
        <v>69.2</v>
      </c>
      <c r="I345" s="1">
        <v>1500</v>
      </c>
      <c r="J345" s="1">
        <v>450</v>
      </c>
      <c r="K345" s="1">
        <v>650</v>
      </c>
      <c r="L345">
        <v>1.52</v>
      </c>
      <c r="M3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96900</v>
      </c>
      <c r="N345" s="1">
        <f>International_Education_Costs[[#This Row],[Total_Cost]]/International_Education_Costs[[#This Row],[Duration_Years]]</f>
        <v>32300</v>
      </c>
      <c r="O345" s="1">
        <f>International_Education_Costs[[#This Row],[Rent_USD]] * 12 * International_Education_Costs[[#This Row],[Duration_Years]]</f>
        <v>54000</v>
      </c>
      <c r="P345" s="1">
        <f>International_Education_Costs[[#This Row],[Total_Cost]]-International_Education_Costs[[#This Row],[Tuition_USD]]</f>
        <v>56400</v>
      </c>
      <c r="Q345" s="2">
        <f>International_Education_Costs[[#This Row],[Tuition_USD]]/International_Education_Costs[[#This Row],[Total_Cost]]</f>
        <v>0.41795665634674922</v>
      </c>
    </row>
    <row r="346" spans="1:17" x14ac:dyDescent="0.25">
      <c r="A346" t="s">
        <v>25</v>
      </c>
      <c r="B346" t="s">
        <v>609</v>
      </c>
      <c r="C346" t="s">
        <v>610</v>
      </c>
      <c r="D346" t="s">
        <v>15</v>
      </c>
      <c r="E346" t="s">
        <v>16</v>
      </c>
      <c r="F346">
        <v>2</v>
      </c>
      <c r="G346" s="1">
        <v>43500</v>
      </c>
      <c r="H346">
        <v>69.2</v>
      </c>
      <c r="I346" s="1">
        <v>1500</v>
      </c>
      <c r="J346" s="1">
        <v>450</v>
      </c>
      <c r="K346" s="1">
        <v>650</v>
      </c>
      <c r="L346">
        <v>1.52</v>
      </c>
      <c r="M3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81250</v>
      </c>
      <c r="N346" s="1">
        <f>International_Education_Costs[[#This Row],[Total_Cost]]/International_Education_Costs[[#This Row],[Duration_Years]]</f>
        <v>40625</v>
      </c>
      <c r="O346" s="1">
        <f>International_Education_Costs[[#This Row],[Rent_USD]] * 12 * International_Education_Costs[[#This Row],[Duration_Years]]</f>
        <v>36000</v>
      </c>
      <c r="P346" s="1">
        <f>International_Education_Costs[[#This Row],[Total_Cost]]-International_Education_Costs[[#This Row],[Tuition_USD]]</f>
        <v>37750</v>
      </c>
      <c r="Q346" s="2">
        <f>International_Education_Costs[[#This Row],[Tuition_USD]]/International_Education_Costs[[#This Row],[Total_Cost]]</f>
        <v>0.53538461538461535</v>
      </c>
    </row>
    <row r="347" spans="1:17" x14ac:dyDescent="0.25">
      <c r="A347" t="s">
        <v>25</v>
      </c>
      <c r="B347" t="s">
        <v>609</v>
      </c>
      <c r="C347" t="s">
        <v>610</v>
      </c>
      <c r="D347" t="s">
        <v>15</v>
      </c>
      <c r="E347" t="s">
        <v>122</v>
      </c>
      <c r="F347">
        <v>4</v>
      </c>
      <c r="G347" s="1">
        <v>33500</v>
      </c>
      <c r="H347">
        <v>69.2</v>
      </c>
      <c r="I347" s="1">
        <v>1500</v>
      </c>
      <c r="J347" s="1">
        <v>450</v>
      </c>
      <c r="K347" s="1">
        <v>650</v>
      </c>
      <c r="L347">
        <v>1.52</v>
      </c>
      <c r="M3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108550</v>
      </c>
      <c r="N347" s="1">
        <f>International_Education_Costs[[#This Row],[Total_Cost]]/International_Education_Costs[[#This Row],[Duration_Years]]</f>
        <v>27137.5</v>
      </c>
      <c r="O347" s="1">
        <f>International_Education_Costs[[#This Row],[Rent_USD]] * 12 * International_Education_Costs[[#This Row],[Duration_Years]]</f>
        <v>72000</v>
      </c>
      <c r="P347" s="1">
        <f>International_Education_Costs[[#This Row],[Total_Cost]]-International_Education_Costs[[#This Row],[Tuition_USD]]</f>
        <v>75050</v>
      </c>
      <c r="Q347" s="2">
        <f>International_Education_Costs[[#This Row],[Tuition_USD]]/International_Education_Costs[[#This Row],[Total_Cost]]</f>
        <v>0.30861354214647629</v>
      </c>
    </row>
    <row r="348" spans="1:17" x14ac:dyDescent="0.25">
      <c r="A348" t="s">
        <v>25</v>
      </c>
      <c r="B348" t="s">
        <v>179</v>
      </c>
      <c r="C348" t="s">
        <v>611</v>
      </c>
      <c r="D348" t="s">
        <v>15</v>
      </c>
      <c r="E348" t="s">
        <v>75</v>
      </c>
      <c r="F348">
        <v>3</v>
      </c>
      <c r="G348" s="1">
        <v>40200</v>
      </c>
      <c r="H348">
        <v>74.5</v>
      </c>
      <c r="I348" s="1">
        <v>1900</v>
      </c>
      <c r="J348" s="1">
        <v>450</v>
      </c>
      <c r="K348" s="1">
        <v>650</v>
      </c>
      <c r="L348">
        <v>1.52</v>
      </c>
      <c r="M3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111000</v>
      </c>
      <c r="N348" s="1">
        <f>International_Education_Costs[[#This Row],[Total_Cost]]/International_Education_Costs[[#This Row],[Duration_Years]]</f>
        <v>37000</v>
      </c>
      <c r="O348" s="1">
        <f>International_Education_Costs[[#This Row],[Rent_USD]] * 12 * International_Education_Costs[[#This Row],[Duration_Years]]</f>
        <v>68400</v>
      </c>
      <c r="P348" s="1">
        <f>International_Education_Costs[[#This Row],[Total_Cost]]-International_Education_Costs[[#This Row],[Tuition_USD]]</f>
        <v>70800</v>
      </c>
      <c r="Q348" s="2">
        <f>International_Education_Costs[[#This Row],[Tuition_USD]]/International_Education_Costs[[#This Row],[Total_Cost]]</f>
        <v>0.36216216216216218</v>
      </c>
    </row>
    <row r="349" spans="1:17" x14ac:dyDescent="0.25">
      <c r="A349" t="s">
        <v>25</v>
      </c>
      <c r="B349" t="s">
        <v>179</v>
      </c>
      <c r="C349" t="s">
        <v>611</v>
      </c>
      <c r="D349" t="s">
        <v>15</v>
      </c>
      <c r="E349" t="s">
        <v>16</v>
      </c>
      <c r="F349">
        <v>2</v>
      </c>
      <c r="G349" s="1">
        <v>43200</v>
      </c>
      <c r="H349">
        <v>74.5</v>
      </c>
      <c r="I349" s="1">
        <v>1900</v>
      </c>
      <c r="J349" s="1">
        <v>450</v>
      </c>
      <c r="K349" s="1">
        <v>650</v>
      </c>
      <c r="L349">
        <v>1.52</v>
      </c>
      <c r="M3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90550</v>
      </c>
      <c r="N349" s="1">
        <f>International_Education_Costs[[#This Row],[Total_Cost]]/International_Education_Costs[[#This Row],[Duration_Years]]</f>
        <v>45275</v>
      </c>
      <c r="O349" s="1">
        <f>International_Education_Costs[[#This Row],[Rent_USD]] * 12 * International_Education_Costs[[#This Row],[Duration_Years]]</f>
        <v>45600</v>
      </c>
      <c r="P349" s="1">
        <f>International_Education_Costs[[#This Row],[Total_Cost]]-International_Education_Costs[[#This Row],[Tuition_USD]]</f>
        <v>47350</v>
      </c>
      <c r="Q349" s="2">
        <f>International_Education_Costs[[#This Row],[Tuition_USD]]/International_Education_Costs[[#This Row],[Total_Cost]]</f>
        <v>0.47708448371065709</v>
      </c>
    </row>
    <row r="350" spans="1:17" x14ac:dyDescent="0.25">
      <c r="A350" t="s">
        <v>25</v>
      </c>
      <c r="B350" t="s">
        <v>179</v>
      </c>
      <c r="C350" t="s">
        <v>611</v>
      </c>
      <c r="D350" t="s">
        <v>15</v>
      </c>
      <c r="E350" t="s">
        <v>122</v>
      </c>
      <c r="F350">
        <v>4</v>
      </c>
      <c r="G350" s="1">
        <v>33200</v>
      </c>
      <c r="H350">
        <v>74.5</v>
      </c>
      <c r="I350" s="1">
        <v>1900</v>
      </c>
      <c r="J350" s="1">
        <v>450</v>
      </c>
      <c r="K350" s="1">
        <v>650</v>
      </c>
      <c r="L350">
        <v>1.52</v>
      </c>
      <c r="M3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127450</v>
      </c>
      <c r="N350" s="1">
        <f>International_Education_Costs[[#This Row],[Total_Cost]]/International_Education_Costs[[#This Row],[Duration_Years]]</f>
        <v>31862.5</v>
      </c>
      <c r="O350" s="1">
        <f>International_Education_Costs[[#This Row],[Rent_USD]] * 12 * International_Education_Costs[[#This Row],[Duration_Years]]</f>
        <v>91200</v>
      </c>
      <c r="P350" s="1">
        <f>International_Education_Costs[[#This Row],[Total_Cost]]-International_Education_Costs[[#This Row],[Tuition_USD]]</f>
        <v>94250</v>
      </c>
      <c r="Q350" s="2">
        <f>International_Education_Costs[[#This Row],[Tuition_USD]]/International_Education_Costs[[#This Row],[Total_Cost]]</f>
        <v>0.26049431149470381</v>
      </c>
    </row>
    <row r="351" spans="1:17" x14ac:dyDescent="0.25">
      <c r="A351" t="s">
        <v>25</v>
      </c>
      <c r="B351" t="s">
        <v>26</v>
      </c>
      <c r="C351" t="s">
        <v>612</v>
      </c>
      <c r="D351" t="s">
        <v>15</v>
      </c>
      <c r="E351" t="s">
        <v>75</v>
      </c>
      <c r="F351">
        <v>3</v>
      </c>
      <c r="G351" s="1">
        <v>39800</v>
      </c>
      <c r="H351">
        <v>72.8</v>
      </c>
      <c r="I351" s="1">
        <v>1700</v>
      </c>
      <c r="J351" s="1">
        <v>450</v>
      </c>
      <c r="K351" s="1">
        <v>650</v>
      </c>
      <c r="L351">
        <v>1.52</v>
      </c>
      <c r="M3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103400</v>
      </c>
      <c r="N351" s="1">
        <f>International_Education_Costs[[#This Row],[Total_Cost]]/International_Education_Costs[[#This Row],[Duration_Years]]</f>
        <v>34466.666666666664</v>
      </c>
      <c r="O351" s="1">
        <f>International_Education_Costs[[#This Row],[Rent_USD]] * 12 * International_Education_Costs[[#This Row],[Duration_Years]]</f>
        <v>61200</v>
      </c>
      <c r="P351" s="1">
        <f>International_Education_Costs[[#This Row],[Total_Cost]]-International_Education_Costs[[#This Row],[Tuition_USD]]</f>
        <v>63600</v>
      </c>
      <c r="Q351" s="2">
        <f>International_Education_Costs[[#This Row],[Tuition_USD]]/International_Education_Costs[[#This Row],[Total_Cost]]</f>
        <v>0.38491295938104447</v>
      </c>
    </row>
    <row r="352" spans="1:17" x14ac:dyDescent="0.25">
      <c r="A352" t="s">
        <v>25</v>
      </c>
      <c r="B352" t="s">
        <v>26</v>
      </c>
      <c r="C352" t="s">
        <v>612</v>
      </c>
      <c r="D352" t="s">
        <v>15</v>
      </c>
      <c r="E352" t="s">
        <v>16</v>
      </c>
      <c r="F352">
        <v>2</v>
      </c>
      <c r="G352" s="1">
        <v>42800</v>
      </c>
      <c r="H352">
        <v>72.8</v>
      </c>
      <c r="I352" s="1">
        <v>1700</v>
      </c>
      <c r="J352" s="1">
        <v>450</v>
      </c>
      <c r="K352" s="1">
        <v>650</v>
      </c>
      <c r="L352">
        <v>1.52</v>
      </c>
      <c r="M3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85350</v>
      </c>
      <c r="N352" s="1">
        <f>International_Education_Costs[[#This Row],[Total_Cost]]/International_Education_Costs[[#This Row],[Duration_Years]]</f>
        <v>42675</v>
      </c>
      <c r="O352" s="1">
        <f>International_Education_Costs[[#This Row],[Rent_USD]] * 12 * International_Education_Costs[[#This Row],[Duration_Years]]</f>
        <v>40800</v>
      </c>
      <c r="P352" s="1">
        <f>International_Education_Costs[[#This Row],[Total_Cost]]-International_Education_Costs[[#This Row],[Tuition_USD]]</f>
        <v>42550</v>
      </c>
      <c r="Q352" s="2">
        <f>International_Education_Costs[[#This Row],[Tuition_USD]]/International_Education_Costs[[#This Row],[Total_Cost]]</f>
        <v>0.50146455770357357</v>
      </c>
    </row>
    <row r="353" spans="1:17" x14ac:dyDescent="0.25">
      <c r="A353" t="s">
        <v>25</v>
      </c>
      <c r="B353" t="s">
        <v>26</v>
      </c>
      <c r="C353" t="s">
        <v>612</v>
      </c>
      <c r="D353" t="s">
        <v>15</v>
      </c>
      <c r="E353" t="s">
        <v>122</v>
      </c>
      <c r="F353">
        <v>4</v>
      </c>
      <c r="G353" s="1">
        <v>32800</v>
      </c>
      <c r="H353">
        <v>72.8</v>
      </c>
      <c r="I353" s="1">
        <v>1700</v>
      </c>
      <c r="J353" s="1">
        <v>450</v>
      </c>
      <c r="K353" s="1">
        <v>650</v>
      </c>
      <c r="L353">
        <v>1.52</v>
      </c>
      <c r="M3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117450</v>
      </c>
      <c r="N353" s="1">
        <f>International_Education_Costs[[#This Row],[Total_Cost]]/International_Education_Costs[[#This Row],[Duration_Years]]</f>
        <v>29362.5</v>
      </c>
      <c r="O353" s="1">
        <f>International_Education_Costs[[#This Row],[Rent_USD]] * 12 * International_Education_Costs[[#This Row],[Duration_Years]]</f>
        <v>81600</v>
      </c>
      <c r="P353" s="1">
        <f>International_Education_Costs[[#This Row],[Total_Cost]]-International_Education_Costs[[#This Row],[Tuition_USD]]</f>
        <v>84650</v>
      </c>
      <c r="Q353" s="2">
        <f>International_Education_Costs[[#This Row],[Tuition_USD]]/International_Education_Costs[[#This Row],[Total_Cost]]</f>
        <v>0.27926777352064708</v>
      </c>
    </row>
    <row r="354" spans="1:17" x14ac:dyDescent="0.25">
      <c r="A354" t="s">
        <v>25</v>
      </c>
      <c r="B354" t="s">
        <v>224</v>
      </c>
      <c r="C354" t="s">
        <v>225</v>
      </c>
      <c r="D354" t="s">
        <v>15</v>
      </c>
      <c r="E354" t="s">
        <v>75</v>
      </c>
      <c r="F354">
        <v>3</v>
      </c>
      <c r="G354" s="1">
        <v>39200</v>
      </c>
      <c r="H354">
        <v>67.5</v>
      </c>
      <c r="I354" s="1">
        <v>1400</v>
      </c>
      <c r="J354" s="1">
        <v>450</v>
      </c>
      <c r="K354" s="1">
        <v>650</v>
      </c>
      <c r="L354">
        <v>1.52</v>
      </c>
      <c r="M3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92000</v>
      </c>
      <c r="N354" s="1">
        <f>International_Education_Costs[[#This Row],[Total_Cost]]/International_Education_Costs[[#This Row],[Duration_Years]]</f>
        <v>30666.666666666668</v>
      </c>
      <c r="O354" s="1">
        <f>International_Education_Costs[[#This Row],[Rent_USD]] * 12 * International_Education_Costs[[#This Row],[Duration_Years]]</f>
        <v>50400</v>
      </c>
      <c r="P354" s="1">
        <f>International_Education_Costs[[#This Row],[Total_Cost]]-International_Education_Costs[[#This Row],[Tuition_USD]]</f>
        <v>52800</v>
      </c>
      <c r="Q354" s="2">
        <f>International_Education_Costs[[#This Row],[Tuition_USD]]/International_Education_Costs[[#This Row],[Total_Cost]]</f>
        <v>0.42608695652173911</v>
      </c>
    </row>
    <row r="355" spans="1:17" x14ac:dyDescent="0.25">
      <c r="A355" t="s">
        <v>25</v>
      </c>
      <c r="B355" t="s">
        <v>224</v>
      </c>
      <c r="C355" t="s">
        <v>225</v>
      </c>
      <c r="D355" t="s">
        <v>15</v>
      </c>
      <c r="E355" t="s">
        <v>16</v>
      </c>
      <c r="F355">
        <v>2</v>
      </c>
      <c r="G355" s="1">
        <v>42200</v>
      </c>
      <c r="H355">
        <v>67.5</v>
      </c>
      <c r="I355" s="1">
        <v>1400</v>
      </c>
      <c r="J355" s="1">
        <v>450</v>
      </c>
      <c r="K355" s="1">
        <v>650</v>
      </c>
      <c r="L355">
        <v>1.52</v>
      </c>
      <c r="M3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77550</v>
      </c>
      <c r="N355" s="1">
        <f>International_Education_Costs[[#This Row],[Total_Cost]]/International_Education_Costs[[#This Row],[Duration_Years]]</f>
        <v>38775</v>
      </c>
      <c r="O355" s="1">
        <f>International_Education_Costs[[#This Row],[Rent_USD]] * 12 * International_Education_Costs[[#This Row],[Duration_Years]]</f>
        <v>33600</v>
      </c>
      <c r="P355" s="1">
        <f>International_Education_Costs[[#This Row],[Total_Cost]]-International_Education_Costs[[#This Row],[Tuition_USD]]</f>
        <v>35350</v>
      </c>
      <c r="Q355" s="2">
        <f>International_Education_Costs[[#This Row],[Tuition_USD]]/International_Education_Costs[[#This Row],[Total_Cost]]</f>
        <v>0.54416505480335264</v>
      </c>
    </row>
    <row r="356" spans="1:17" x14ac:dyDescent="0.25">
      <c r="A356" t="s">
        <v>25</v>
      </c>
      <c r="B356" t="s">
        <v>224</v>
      </c>
      <c r="C356" t="s">
        <v>225</v>
      </c>
      <c r="D356" t="s">
        <v>15</v>
      </c>
      <c r="E356" t="s">
        <v>122</v>
      </c>
      <c r="F356">
        <v>4</v>
      </c>
      <c r="G356" s="1">
        <v>32200</v>
      </c>
      <c r="H356">
        <v>67.5</v>
      </c>
      <c r="I356" s="1">
        <v>1400</v>
      </c>
      <c r="J356" s="1">
        <v>450</v>
      </c>
      <c r="K356" s="1">
        <v>650</v>
      </c>
      <c r="L356">
        <v>1.52</v>
      </c>
      <c r="M3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102450</v>
      </c>
      <c r="N356" s="1">
        <f>International_Education_Costs[[#This Row],[Total_Cost]]/International_Education_Costs[[#This Row],[Duration_Years]]</f>
        <v>25612.5</v>
      </c>
      <c r="O356" s="1">
        <f>International_Education_Costs[[#This Row],[Rent_USD]] * 12 * International_Education_Costs[[#This Row],[Duration_Years]]</f>
        <v>67200</v>
      </c>
      <c r="P356" s="1">
        <f>International_Education_Costs[[#This Row],[Total_Cost]]-International_Education_Costs[[#This Row],[Tuition_USD]]</f>
        <v>70250</v>
      </c>
      <c r="Q356" s="2">
        <f>International_Education_Costs[[#This Row],[Tuition_USD]]/International_Education_Costs[[#This Row],[Total_Cost]]</f>
        <v>0.31429965836993656</v>
      </c>
    </row>
    <row r="357" spans="1:17" x14ac:dyDescent="0.25">
      <c r="A357" t="s">
        <v>25</v>
      </c>
      <c r="B357" t="s">
        <v>226</v>
      </c>
      <c r="C357" t="s">
        <v>227</v>
      </c>
      <c r="D357" t="s">
        <v>15</v>
      </c>
      <c r="E357" t="s">
        <v>75</v>
      </c>
      <c r="F357">
        <v>3</v>
      </c>
      <c r="G357" s="1">
        <v>38800</v>
      </c>
      <c r="H357">
        <v>68.2</v>
      </c>
      <c r="I357" s="1">
        <v>1500</v>
      </c>
      <c r="J357" s="1">
        <v>450</v>
      </c>
      <c r="K357" s="1">
        <v>650</v>
      </c>
      <c r="L357">
        <v>1.52</v>
      </c>
      <c r="M3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95200</v>
      </c>
      <c r="N357" s="1">
        <f>International_Education_Costs[[#This Row],[Total_Cost]]/International_Education_Costs[[#This Row],[Duration_Years]]</f>
        <v>31733.333333333332</v>
      </c>
      <c r="O357" s="1">
        <f>International_Education_Costs[[#This Row],[Rent_USD]] * 12 * International_Education_Costs[[#This Row],[Duration_Years]]</f>
        <v>54000</v>
      </c>
      <c r="P357" s="1">
        <f>International_Education_Costs[[#This Row],[Total_Cost]]-International_Education_Costs[[#This Row],[Tuition_USD]]</f>
        <v>56400</v>
      </c>
      <c r="Q357" s="2">
        <f>International_Education_Costs[[#This Row],[Tuition_USD]]/International_Education_Costs[[#This Row],[Total_Cost]]</f>
        <v>0.40756302521008403</v>
      </c>
    </row>
    <row r="358" spans="1:17" x14ac:dyDescent="0.25">
      <c r="A358" t="s">
        <v>25</v>
      </c>
      <c r="B358" t="s">
        <v>226</v>
      </c>
      <c r="C358" t="s">
        <v>227</v>
      </c>
      <c r="D358" t="s">
        <v>15</v>
      </c>
      <c r="E358" t="s">
        <v>16</v>
      </c>
      <c r="F358">
        <v>2</v>
      </c>
      <c r="G358" s="1">
        <v>41800</v>
      </c>
      <c r="H358">
        <v>68.2</v>
      </c>
      <c r="I358" s="1">
        <v>1500</v>
      </c>
      <c r="J358" s="1">
        <v>450</v>
      </c>
      <c r="K358" s="1">
        <v>650</v>
      </c>
      <c r="L358">
        <v>1.52</v>
      </c>
      <c r="M3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79550</v>
      </c>
      <c r="N358" s="1">
        <f>International_Education_Costs[[#This Row],[Total_Cost]]/International_Education_Costs[[#This Row],[Duration_Years]]</f>
        <v>39775</v>
      </c>
      <c r="O358" s="1">
        <f>International_Education_Costs[[#This Row],[Rent_USD]] * 12 * International_Education_Costs[[#This Row],[Duration_Years]]</f>
        <v>36000</v>
      </c>
      <c r="P358" s="1">
        <f>International_Education_Costs[[#This Row],[Total_Cost]]-International_Education_Costs[[#This Row],[Tuition_USD]]</f>
        <v>37750</v>
      </c>
      <c r="Q358" s="2">
        <f>International_Education_Costs[[#This Row],[Tuition_USD]]/International_Education_Costs[[#This Row],[Total_Cost]]</f>
        <v>0.52545568824638589</v>
      </c>
    </row>
    <row r="359" spans="1:17" x14ac:dyDescent="0.25">
      <c r="A359" t="s">
        <v>25</v>
      </c>
      <c r="B359" t="s">
        <v>226</v>
      </c>
      <c r="C359" t="s">
        <v>227</v>
      </c>
      <c r="D359" t="s">
        <v>15</v>
      </c>
      <c r="E359" t="s">
        <v>122</v>
      </c>
      <c r="F359">
        <v>4</v>
      </c>
      <c r="G359" s="1">
        <v>31800</v>
      </c>
      <c r="H359">
        <v>68.2</v>
      </c>
      <c r="I359" s="1">
        <v>1500</v>
      </c>
      <c r="J359" s="1">
        <v>450</v>
      </c>
      <c r="K359" s="1">
        <v>650</v>
      </c>
      <c r="L359">
        <v>1.52</v>
      </c>
      <c r="M3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106850</v>
      </c>
      <c r="N359" s="1">
        <f>International_Education_Costs[[#This Row],[Total_Cost]]/International_Education_Costs[[#This Row],[Duration_Years]]</f>
        <v>26712.5</v>
      </c>
      <c r="O359" s="1">
        <f>International_Education_Costs[[#This Row],[Rent_USD]] * 12 * International_Education_Costs[[#This Row],[Duration_Years]]</f>
        <v>72000</v>
      </c>
      <c r="P359" s="1">
        <f>International_Education_Costs[[#This Row],[Total_Cost]]-International_Education_Costs[[#This Row],[Tuition_USD]]</f>
        <v>75050</v>
      </c>
      <c r="Q359" s="2">
        <f>International_Education_Costs[[#This Row],[Tuition_USD]]/International_Education_Costs[[#This Row],[Total_Cost]]</f>
        <v>0.29761347683668693</v>
      </c>
    </row>
    <row r="360" spans="1:17" x14ac:dyDescent="0.25">
      <c r="A360" t="s">
        <v>25</v>
      </c>
      <c r="B360" t="s">
        <v>609</v>
      </c>
      <c r="C360" t="s">
        <v>613</v>
      </c>
      <c r="D360" t="s">
        <v>15</v>
      </c>
      <c r="E360" t="s">
        <v>75</v>
      </c>
      <c r="F360">
        <v>3</v>
      </c>
      <c r="G360" s="1">
        <v>38200</v>
      </c>
      <c r="H360">
        <v>69.2</v>
      </c>
      <c r="I360" s="1">
        <v>1400</v>
      </c>
      <c r="J360" s="1">
        <v>450</v>
      </c>
      <c r="K360" s="1">
        <v>650</v>
      </c>
      <c r="L360">
        <v>1.52</v>
      </c>
      <c r="M3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91000</v>
      </c>
      <c r="N360" s="1">
        <f>International_Education_Costs[[#This Row],[Total_Cost]]/International_Education_Costs[[#This Row],[Duration_Years]]</f>
        <v>30333.333333333332</v>
      </c>
      <c r="O360" s="1">
        <f>International_Education_Costs[[#This Row],[Rent_USD]] * 12 * International_Education_Costs[[#This Row],[Duration_Years]]</f>
        <v>50400</v>
      </c>
      <c r="P360" s="1">
        <f>International_Education_Costs[[#This Row],[Total_Cost]]-International_Education_Costs[[#This Row],[Tuition_USD]]</f>
        <v>52800</v>
      </c>
      <c r="Q360" s="2">
        <f>International_Education_Costs[[#This Row],[Tuition_USD]]/International_Education_Costs[[#This Row],[Total_Cost]]</f>
        <v>0.41978021978021979</v>
      </c>
    </row>
    <row r="361" spans="1:17" x14ac:dyDescent="0.25">
      <c r="A361" t="s">
        <v>25</v>
      </c>
      <c r="B361" t="s">
        <v>609</v>
      </c>
      <c r="C361" t="s">
        <v>613</v>
      </c>
      <c r="D361" t="s">
        <v>15</v>
      </c>
      <c r="E361" t="s">
        <v>16</v>
      </c>
      <c r="F361">
        <v>2</v>
      </c>
      <c r="G361" s="1">
        <v>41200</v>
      </c>
      <c r="H361">
        <v>69.2</v>
      </c>
      <c r="I361" s="1">
        <v>1400</v>
      </c>
      <c r="J361" s="1">
        <v>450</v>
      </c>
      <c r="K361" s="1">
        <v>650</v>
      </c>
      <c r="L361">
        <v>1.52</v>
      </c>
      <c r="M3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76550</v>
      </c>
      <c r="N361" s="1">
        <f>International_Education_Costs[[#This Row],[Total_Cost]]/International_Education_Costs[[#This Row],[Duration_Years]]</f>
        <v>38275</v>
      </c>
      <c r="O361" s="1">
        <f>International_Education_Costs[[#This Row],[Rent_USD]] * 12 * International_Education_Costs[[#This Row],[Duration_Years]]</f>
        <v>33600</v>
      </c>
      <c r="P361" s="1">
        <f>International_Education_Costs[[#This Row],[Total_Cost]]-International_Education_Costs[[#This Row],[Tuition_USD]]</f>
        <v>35350</v>
      </c>
      <c r="Q361" s="2">
        <f>International_Education_Costs[[#This Row],[Tuition_USD]]/International_Education_Costs[[#This Row],[Total_Cost]]</f>
        <v>0.53821032005225344</v>
      </c>
    </row>
    <row r="362" spans="1:17" x14ac:dyDescent="0.25">
      <c r="A362" t="s">
        <v>25</v>
      </c>
      <c r="B362" t="s">
        <v>609</v>
      </c>
      <c r="C362" t="s">
        <v>613</v>
      </c>
      <c r="D362" t="s">
        <v>15</v>
      </c>
      <c r="E362" t="s">
        <v>122</v>
      </c>
      <c r="F362">
        <v>4</v>
      </c>
      <c r="G362" s="1">
        <v>31200</v>
      </c>
      <c r="H362">
        <v>69.2</v>
      </c>
      <c r="I362" s="1">
        <v>1400</v>
      </c>
      <c r="J362" s="1">
        <v>450</v>
      </c>
      <c r="K362" s="1">
        <v>650</v>
      </c>
      <c r="L362">
        <v>1.52</v>
      </c>
      <c r="M3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101450</v>
      </c>
      <c r="N362" s="1">
        <f>International_Education_Costs[[#This Row],[Total_Cost]]/International_Education_Costs[[#This Row],[Duration_Years]]</f>
        <v>25362.5</v>
      </c>
      <c r="O362" s="1">
        <f>International_Education_Costs[[#This Row],[Rent_USD]] * 12 * International_Education_Costs[[#This Row],[Duration_Years]]</f>
        <v>67200</v>
      </c>
      <c r="P362" s="1">
        <f>International_Education_Costs[[#This Row],[Total_Cost]]-International_Education_Costs[[#This Row],[Tuition_USD]]</f>
        <v>70250</v>
      </c>
      <c r="Q362" s="2">
        <f>International_Education_Costs[[#This Row],[Tuition_USD]]/International_Education_Costs[[#This Row],[Total_Cost]]</f>
        <v>0.30754066042385414</v>
      </c>
    </row>
    <row r="363" spans="1:17" x14ac:dyDescent="0.25">
      <c r="A363" t="s">
        <v>25</v>
      </c>
      <c r="B363" t="s">
        <v>179</v>
      </c>
      <c r="C363" t="s">
        <v>614</v>
      </c>
      <c r="D363" t="s">
        <v>15</v>
      </c>
      <c r="E363" t="s">
        <v>75</v>
      </c>
      <c r="F363">
        <v>3</v>
      </c>
      <c r="G363" s="1">
        <v>37800</v>
      </c>
      <c r="H363">
        <v>74.5</v>
      </c>
      <c r="I363" s="1">
        <v>1800</v>
      </c>
      <c r="J363" s="1">
        <v>450</v>
      </c>
      <c r="K363" s="1">
        <v>650</v>
      </c>
      <c r="L363">
        <v>1.52</v>
      </c>
      <c r="M3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105000</v>
      </c>
      <c r="N363" s="1">
        <f>International_Education_Costs[[#This Row],[Total_Cost]]/International_Education_Costs[[#This Row],[Duration_Years]]</f>
        <v>35000</v>
      </c>
      <c r="O363" s="1">
        <f>International_Education_Costs[[#This Row],[Rent_USD]] * 12 * International_Education_Costs[[#This Row],[Duration_Years]]</f>
        <v>64800</v>
      </c>
      <c r="P363" s="1">
        <f>International_Education_Costs[[#This Row],[Total_Cost]]-International_Education_Costs[[#This Row],[Tuition_USD]]</f>
        <v>67200</v>
      </c>
      <c r="Q363" s="2">
        <f>International_Education_Costs[[#This Row],[Tuition_USD]]/International_Education_Costs[[#This Row],[Total_Cost]]</f>
        <v>0.36</v>
      </c>
    </row>
    <row r="364" spans="1:17" x14ac:dyDescent="0.25">
      <c r="A364" t="s">
        <v>25</v>
      </c>
      <c r="B364" t="s">
        <v>179</v>
      </c>
      <c r="C364" t="s">
        <v>614</v>
      </c>
      <c r="D364" t="s">
        <v>15</v>
      </c>
      <c r="E364" t="s">
        <v>16</v>
      </c>
      <c r="F364">
        <v>2</v>
      </c>
      <c r="G364" s="1">
        <v>40800</v>
      </c>
      <c r="H364">
        <v>74.5</v>
      </c>
      <c r="I364" s="1">
        <v>1800</v>
      </c>
      <c r="J364" s="1">
        <v>450</v>
      </c>
      <c r="K364" s="1">
        <v>650</v>
      </c>
      <c r="L364">
        <v>1.52</v>
      </c>
      <c r="M3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85750</v>
      </c>
      <c r="N364" s="1">
        <f>International_Education_Costs[[#This Row],[Total_Cost]]/International_Education_Costs[[#This Row],[Duration_Years]]</f>
        <v>42875</v>
      </c>
      <c r="O364" s="1">
        <f>International_Education_Costs[[#This Row],[Rent_USD]] * 12 * International_Education_Costs[[#This Row],[Duration_Years]]</f>
        <v>43200</v>
      </c>
      <c r="P364" s="1">
        <f>International_Education_Costs[[#This Row],[Total_Cost]]-International_Education_Costs[[#This Row],[Tuition_USD]]</f>
        <v>44950</v>
      </c>
      <c r="Q364" s="2">
        <f>International_Education_Costs[[#This Row],[Tuition_USD]]/International_Education_Costs[[#This Row],[Total_Cost]]</f>
        <v>0.47580174927113705</v>
      </c>
    </row>
    <row r="365" spans="1:17" x14ac:dyDescent="0.25">
      <c r="A365" t="s">
        <v>25</v>
      </c>
      <c r="B365" t="s">
        <v>179</v>
      </c>
      <c r="C365" t="s">
        <v>614</v>
      </c>
      <c r="D365" t="s">
        <v>15</v>
      </c>
      <c r="E365" t="s">
        <v>122</v>
      </c>
      <c r="F365">
        <v>4</v>
      </c>
      <c r="G365" s="1">
        <v>30800</v>
      </c>
      <c r="H365">
        <v>74.5</v>
      </c>
      <c r="I365" s="1">
        <v>1800</v>
      </c>
      <c r="J365" s="1">
        <v>450</v>
      </c>
      <c r="K365" s="1">
        <v>650</v>
      </c>
      <c r="L365">
        <v>1.52</v>
      </c>
      <c r="M3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120250</v>
      </c>
      <c r="N365" s="1">
        <f>International_Education_Costs[[#This Row],[Total_Cost]]/International_Education_Costs[[#This Row],[Duration_Years]]</f>
        <v>30062.5</v>
      </c>
      <c r="O365" s="1">
        <f>International_Education_Costs[[#This Row],[Rent_USD]] * 12 * International_Education_Costs[[#This Row],[Duration_Years]]</f>
        <v>86400</v>
      </c>
      <c r="P365" s="1">
        <f>International_Education_Costs[[#This Row],[Total_Cost]]-International_Education_Costs[[#This Row],[Tuition_USD]]</f>
        <v>89450</v>
      </c>
      <c r="Q365" s="2">
        <f>International_Education_Costs[[#This Row],[Tuition_USD]]/International_Education_Costs[[#This Row],[Total_Cost]]</f>
        <v>0.25613305613305615</v>
      </c>
    </row>
    <row r="366" spans="1:17" x14ac:dyDescent="0.25">
      <c r="A366" t="s">
        <v>25</v>
      </c>
      <c r="B366" t="s">
        <v>26</v>
      </c>
      <c r="C366" t="s">
        <v>615</v>
      </c>
      <c r="D366" t="s">
        <v>15</v>
      </c>
      <c r="E366" t="s">
        <v>75</v>
      </c>
      <c r="F366">
        <v>3</v>
      </c>
      <c r="G366" s="1">
        <v>37200</v>
      </c>
      <c r="H366">
        <v>72.8</v>
      </c>
      <c r="I366" s="1">
        <v>1600</v>
      </c>
      <c r="J366" s="1">
        <v>450</v>
      </c>
      <c r="K366" s="1">
        <v>650</v>
      </c>
      <c r="L366">
        <v>1.52</v>
      </c>
      <c r="M3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97200</v>
      </c>
      <c r="N366" s="1">
        <f>International_Education_Costs[[#This Row],[Total_Cost]]/International_Education_Costs[[#This Row],[Duration_Years]]</f>
        <v>32400</v>
      </c>
      <c r="O366" s="1">
        <f>International_Education_Costs[[#This Row],[Rent_USD]] * 12 * International_Education_Costs[[#This Row],[Duration_Years]]</f>
        <v>57600</v>
      </c>
      <c r="P366" s="1">
        <f>International_Education_Costs[[#This Row],[Total_Cost]]-International_Education_Costs[[#This Row],[Tuition_USD]]</f>
        <v>60000</v>
      </c>
      <c r="Q366" s="2">
        <f>International_Education_Costs[[#This Row],[Tuition_USD]]/International_Education_Costs[[#This Row],[Total_Cost]]</f>
        <v>0.38271604938271603</v>
      </c>
    </row>
    <row r="367" spans="1:17" x14ac:dyDescent="0.25">
      <c r="A367" t="s">
        <v>25</v>
      </c>
      <c r="B367" t="s">
        <v>26</v>
      </c>
      <c r="C367" t="s">
        <v>615</v>
      </c>
      <c r="D367" t="s">
        <v>15</v>
      </c>
      <c r="E367" t="s">
        <v>16</v>
      </c>
      <c r="F367">
        <v>2</v>
      </c>
      <c r="G367" s="1">
        <v>40200</v>
      </c>
      <c r="H367">
        <v>72.8</v>
      </c>
      <c r="I367" s="1">
        <v>1600</v>
      </c>
      <c r="J367" s="1">
        <v>450</v>
      </c>
      <c r="K367" s="1">
        <v>650</v>
      </c>
      <c r="L367">
        <v>1.52</v>
      </c>
      <c r="M3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80350</v>
      </c>
      <c r="N367" s="1">
        <f>International_Education_Costs[[#This Row],[Total_Cost]]/International_Education_Costs[[#This Row],[Duration_Years]]</f>
        <v>40175</v>
      </c>
      <c r="O367" s="1">
        <f>International_Education_Costs[[#This Row],[Rent_USD]] * 12 * International_Education_Costs[[#This Row],[Duration_Years]]</f>
        <v>38400</v>
      </c>
      <c r="P367" s="1">
        <f>International_Education_Costs[[#This Row],[Total_Cost]]-International_Education_Costs[[#This Row],[Tuition_USD]]</f>
        <v>40150</v>
      </c>
      <c r="Q367" s="2">
        <f>International_Education_Costs[[#This Row],[Tuition_USD]]/International_Education_Costs[[#This Row],[Total_Cost]]</f>
        <v>0.50031113876789046</v>
      </c>
    </row>
    <row r="368" spans="1:17" x14ac:dyDescent="0.25">
      <c r="A368" t="s">
        <v>25</v>
      </c>
      <c r="B368" t="s">
        <v>26</v>
      </c>
      <c r="C368" t="s">
        <v>615</v>
      </c>
      <c r="D368" t="s">
        <v>15</v>
      </c>
      <c r="E368" t="s">
        <v>122</v>
      </c>
      <c r="F368">
        <v>4</v>
      </c>
      <c r="G368" s="1">
        <v>30200</v>
      </c>
      <c r="H368">
        <v>72.8</v>
      </c>
      <c r="I368" s="1">
        <v>1600</v>
      </c>
      <c r="J368" s="1">
        <v>450</v>
      </c>
      <c r="K368" s="1">
        <v>650</v>
      </c>
      <c r="L368">
        <v>1.52</v>
      </c>
      <c r="M3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110050</v>
      </c>
      <c r="N368" s="1">
        <f>International_Education_Costs[[#This Row],[Total_Cost]]/International_Education_Costs[[#This Row],[Duration_Years]]</f>
        <v>27512.5</v>
      </c>
      <c r="O368" s="1">
        <f>International_Education_Costs[[#This Row],[Rent_USD]] * 12 * International_Education_Costs[[#This Row],[Duration_Years]]</f>
        <v>76800</v>
      </c>
      <c r="P368" s="1">
        <f>International_Education_Costs[[#This Row],[Total_Cost]]-International_Education_Costs[[#This Row],[Tuition_USD]]</f>
        <v>79850</v>
      </c>
      <c r="Q368" s="2">
        <f>International_Education_Costs[[#This Row],[Tuition_USD]]/International_Education_Costs[[#This Row],[Total_Cost]]</f>
        <v>0.27442071785552019</v>
      </c>
    </row>
    <row r="369" spans="1:17" x14ac:dyDescent="0.25">
      <c r="A369" t="s">
        <v>25</v>
      </c>
      <c r="B369" t="s">
        <v>234</v>
      </c>
      <c r="C369" t="s">
        <v>235</v>
      </c>
      <c r="D369" t="s">
        <v>15</v>
      </c>
      <c r="E369" t="s">
        <v>75</v>
      </c>
      <c r="F369">
        <v>3</v>
      </c>
      <c r="G369" s="1">
        <v>36800</v>
      </c>
      <c r="H369">
        <v>65.8</v>
      </c>
      <c r="I369" s="1">
        <v>1300</v>
      </c>
      <c r="J369" s="1">
        <v>450</v>
      </c>
      <c r="K369" s="1">
        <v>650</v>
      </c>
      <c r="L369">
        <v>1.52</v>
      </c>
      <c r="M3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86000</v>
      </c>
      <c r="N369" s="1">
        <f>International_Education_Costs[[#This Row],[Total_Cost]]/International_Education_Costs[[#This Row],[Duration_Years]]</f>
        <v>28666.666666666668</v>
      </c>
      <c r="O369" s="1">
        <f>International_Education_Costs[[#This Row],[Rent_USD]] * 12 * International_Education_Costs[[#This Row],[Duration_Years]]</f>
        <v>46800</v>
      </c>
      <c r="P369" s="1">
        <f>International_Education_Costs[[#This Row],[Total_Cost]]-International_Education_Costs[[#This Row],[Tuition_USD]]</f>
        <v>49200</v>
      </c>
      <c r="Q369" s="2">
        <f>International_Education_Costs[[#This Row],[Tuition_USD]]/International_Education_Costs[[#This Row],[Total_Cost]]</f>
        <v>0.42790697674418604</v>
      </c>
    </row>
    <row r="370" spans="1:17" x14ac:dyDescent="0.25">
      <c r="A370" t="s">
        <v>25</v>
      </c>
      <c r="B370" t="s">
        <v>234</v>
      </c>
      <c r="C370" t="s">
        <v>235</v>
      </c>
      <c r="D370" t="s">
        <v>15</v>
      </c>
      <c r="E370" t="s">
        <v>16</v>
      </c>
      <c r="F370">
        <v>2</v>
      </c>
      <c r="G370" s="1">
        <v>39800</v>
      </c>
      <c r="H370">
        <v>65.8</v>
      </c>
      <c r="I370" s="1">
        <v>1300</v>
      </c>
      <c r="J370" s="1">
        <v>450</v>
      </c>
      <c r="K370" s="1">
        <v>650</v>
      </c>
      <c r="L370">
        <v>1.52</v>
      </c>
      <c r="M3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72750</v>
      </c>
      <c r="N370" s="1">
        <f>International_Education_Costs[[#This Row],[Total_Cost]]/International_Education_Costs[[#This Row],[Duration_Years]]</f>
        <v>36375</v>
      </c>
      <c r="O370" s="1">
        <f>International_Education_Costs[[#This Row],[Rent_USD]] * 12 * International_Education_Costs[[#This Row],[Duration_Years]]</f>
        <v>31200</v>
      </c>
      <c r="P370" s="1">
        <f>International_Education_Costs[[#This Row],[Total_Cost]]-International_Education_Costs[[#This Row],[Tuition_USD]]</f>
        <v>32950</v>
      </c>
      <c r="Q370" s="2">
        <f>International_Education_Costs[[#This Row],[Tuition_USD]]/International_Education_Costs[[#This Row],[Total_Cost]]</f>
        <v>0.54707903780068734</v>
      </c>
    </row>
    <row r="371" spans="1:17" x14ac:dyDescent="0.25">
      <c r="A371" t="s">
        <v>25</v>
      </c>
      <c r="B371" t="s">
        <v>234</v>
      </c>
      <c r="C371" t="s">
        <v>235</v>
      </c>
      <c r="D371" t="s">
        <v>15</v>
      </c>
      <c r="E371" t="s">
        <v>122</v>
      </c>
      <c r="F371">
        <v>4</v>
      </c>
      <c r="G371" s="1">
        <v>29800</v>
      </c>
      <c r="H371">
        <v>65.8</v>
      </c>
      <c r="I371" s="1">
        <v>1300</v>
      </c>
      <c r="J371" s="1">
        <v>450</v>
      </c>
      <c r="K371" s="1">
        <v>650</v>
      </c>
      <c r="L371">
        <v>1.52</v>
      </c>
      <c r="M3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95250</v>
      </c>
      <c r="N371" s="1">
        <f>International_Education_Costs[[#This Row],[Total_Cost]]/International_Education_Costs[[#This Row],[Duration_Years]]</f>
        <v>23812.5</v>
      </c>
      <c r="O371" s="1">
        <f>International_Education_Costs[[#This Row],[Rent_USD]] * 12 * International_Education_Costs[[#This Row],[Duration_Years]]</f>
        <v>62400</v>
      </c>
      <c r="P371" s="1">
        <f>International_Education_Costs[[#This Row],[Total_Cost]]-International_Education_Costs[[#This Row],[Tuition_USD]]</f>
        <v>65450</v>
      </c>
      <c r="Q371" s="2">
        <f>International_Education_Costs[[#This Row],[Tuition_USD]]/International_Education_Costs[[#This Row],[Total_Cost]]</f>
        <v>0.31286089238845144</v>
      </c>
    </row>
    <row r="372" spans="1:17" x14ac:dyDescent="0.25">
      <c r="A372" t="s">
        <v>25</v>
      </c>
      <c r="B372" t="s">
        <v>232</v>
      </c>
      <c r="C372" t="s">
        <v>233</v>
      </c>
      <c r="D372" t="s">
        <v>15</v>
      </c>
      <c r="E372" t="s">
        <v>75</v>
      </c>
      <c r="F372">
        <v>3</v>
      </c>
      <c r="G372" s="1">
        <v>36200</v>
      </c>
      <c r="H372">
        <v>66.2</v>
      </c>
      <c r="I372" s="1">
        <v>1300</v>
      </c>
      <c r="J372" s="1">
        <v>450</v>
      </c>
      <c r="K372" s="1">
        <v>650</v>
      </c>
      <c r="L372">
        <v>1.52</v>
      </c>
      <c r="M3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85400</v>
      </c>
      <c r="N372" s="1">
        <f>International_Education_Costs[[#This Row],[Total_Cost]]/International_Education_Costs[[#This Row],[Duration_Years]]</f>
        <v>28466.666666666668</v>
      </c>
      <c r="O372" s="1">
        <f>International_Education_Costs[[#This Row],[Rent_USD]] * 12 * International_Education_Costs[[#This Row],[Duration_Years]]</f>
        <v>46800</v>
      </c>
      <c r="P372" s="1">
        <f>International_Education_Costs[[#This Row],[Total_Cost]]-International_Education_Costs[[#This Row],[Tuition_USD]]</f>
        <v>49200</v>
      </c>
      <c r="Q372" s="2">
        <f>International_Education_Costs[[#This Row],[Tuition_USD]]/International_Education_Costs[[#This Row],[Total_Cost]]</f>
        <v>0.42388758782201408</v>
      </c>
    </row>
    <row r="373" spans="1:17" x14ac:dyDescent="0.25">
      <c r="A373" t="s">
        <v>25</v>
      </c>
      <c r="B373" t="s">
        <v>232</v>
      </c>
      <c r="C373" t="s">
        <v>233</v>
      </c>
      <c r="D373" t="s">
        <v>15</v>
      </c>
      <c r="E373" t="s">
        <v>16</v>
      </c>
      <c r="F373">
        <v>2</v>
      </c>
      <c r="G373" s="1">
        <v>39200</v>
      </c>
      <c r="H373">
        <v>66.2</v>
      </c>
      <c r="I373" s="1">
        <v>1300</v>
      </c>
      <c r="J373" s="1">
        <v>450</v>
      </c>
      <c r="K373" s="1">
        <v>650</v>
      </c>
      <c r="L373">
        <v>1.52</v>
      </c>
      <c r="M3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72150</v>
      </c>
      <c r="N373" s="1">
        <f>International_Education_Costs[[#This Row],[Total_Cost]]/International_Education_Costs[[#This Row],[Duration_Years]]</f>
        <v>36075</v>
      </c>
      <c r="O373" s="1">
        <f>International_Education_Costs[[#This Row],[Rent_USD]] * 12 * International_Education_Costs[[#This Row],[Duration_Years]]</f>
        <v>31200</v>
      </c>
      <c r="P373" s="1">
        <f>International_Education_Costs[[#This Row],[Total_Cost]]-International_Education_Costs[[#This Row],[Tuition_USD]]</f>
        <v>32950</v>
      </c>
      <c r="Q373" s="2">
        <f>International_Education_Costs[[#This Row],[Tuition_USD]]/International_Education_Costs[[#This Row],[Total_Cost]]</f>
        <v>0.54331254331254331</v>
      </c>
    </row>
    <row r="374" spans="1:17" x14ac:dyDescent="0.25">
      <c r="A374" t="s">
        <v>25</v>
      </c>
      <c r="B374" t="s">
        <v>232</v>
      </c>
      <c r="C374" t="s">
        <v>233</v>
      </c>
      <c r="D374" t="s">
        <v>15</v>
      </c>
      <c r="E374" t="s">
        <v>122</v>
      </c>
      <c r="F374">
        <v>4</v>
      </c>
      <c r="G374" s="1">
        <v>29200</v>
      </c>
      <c r="H374">
        <v>66.2</v>
      </c>
      <c r="I374" s="1">
        <v>1300</v>
      </c>
      <c r="J374" s="1">
        <v>450</v>
      </c>
      <c r="K374" s="1">
        <v>650</v>
      </c>
      <c r="L374">
        <v>1.52</v>
      </c>
      <c r="M3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94650</v>
      </c>
      <c r="N374" s="1">
        <f>International_Education_Costs[[#This Row],[Total_Cost]]/International_Education_Costs[[#This Row],[Duration_Years]]</f>
        <v>23662.5</v>
      </c>
      <c r="O374" s="1">
        <f>International_Education_Costs[[#This Row],[Rent_USD]] * 12 * International_Education_Costs[[#This Row],[Duration_Years]]</f>
        <v>62400</v>
      </c>
      <c r="P374" s="1">
        <f>International_Education_Costs[[#This Row],[Total_Cost]]-International_Education_Costs[[#This Row],[Tuition_USD]]</f>
        <v>65450</v>
      </c>
      <c r="Q374" s="2">
        <f>International_Education_Costs[[#This Row],[Tuition_USD]]/International_Education_Costs[[#This Row],[Total_Cost]]</f>
        <v>0.30850501848917061</v>
      </c>
    </row>
    <row r="375" spans="1:17" x14ac:dyDescent="0.25">
      <c r="A375" t="s">
        <v>25</v>
      </c>
      <c r="B375" t="s">
        <v>230</v>
      </c>
      <c r="C375" t="s">
        <v>231</v>
      </c>
      <c r="D375" t="s">
        <v>15</v>
      </c>
      <c r="E375" t="s">
        <v>75</v>
      </c>
      <c r="F375">
        <v>3</v>
      </c>
      <c r="G375" s="1">
        <v>35800</v>
      </c>
      <c r="H375">
        <v>64.5</v>
      </c>
      <c r="I375" s="1">
        <v>1200</v>
      </c>
      <c r="J375" s="1">
        <v>450</v>
      </c>
      <c r="K375" s="1">
        <v>650</v>
      </c>
      <c r="L375">
        <v>1.52</v>
      </c>
      <c r="M3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81400</v>
      </c>
      <c r="N375" s="1">
        <f>International_Education_Costs[[#This Row],[Total_Cost]]/International_Education_Costs[[#This Row],[Duration_Years]]</f>
        <v>27133.333333333332</v>
      </c>
      <c r="O375" s="1">
        <f>International_Education_Costs[[#This Row],[Rent_USD]] * 12 * International_Education_Costs[[#This Row],[Duration_Years]]</f>
        <v>43200</v>
      </c>
      <c r="P375" s="1">
        <f>International_Education_Costs[[#This Row],[Total_Cost]]-International_Education_Costs[[#This Row],[Tuition_USD]]</f>
        <v>45600</v>
      </c>
      <c r="Q375" s="2">
        <f>International_Education_Costs[[#This Row],[Tuition_USD]]/International_Education_Costs[[#This Row],[Total_Cost]]</f>
        <v>0.43980343980343978</v>
      </c>
    </row>
    <row r="376" spans="1:17" x14ac:dyDescent="0.25">
      <c r="A376" t="s">
        <v>25</v>
      </c>
      <c r="B376" t="s">
        <v>230</v>
      </c>
      <c r="C376" t="s">
        <v>231</v>
      </c>
      <c r="D376" t="s">
        <v>15</v>
      </c>
      <c r="E376" t="s">
        <v>16</v>
      </c>
      <c r="F376">
        <v>2</v>
      </c>
      <c r="G376" s="1">
        <v>38800</v>
      </c>
      <c r="H376">
        <v>64.5</v>
      </c>
      <c r="I376" s="1">
        <v>1200</v>
      </c>
      <c r="J376" s="1">
        <v>450</v>
      </c>
      <c r="K376" s="1">
        <v>650</v>
      </c>
      <c r="L376">
        <v>1.52</v>
      </c>
      <c r="M3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69350</v>
      </c>
      <c r="N376" s="1">
        <f>International_Education_Costs[[#This Row],[Total_Cost]]/International_Education_Costs[[#This Row],[Duration_Years]]</f>
        <v>34675</v>
      </c>
      <c r="O376" s="1">
        <f>International_Education_Costs[[#This Row],[Rent_USD]] * 12 * International_Education_Costs[[#This Row],[Duration_Years]]</f>
        <v>28800</v>
      </c>
      <c r="P376" s="1">
        <f>International_Education_Costs[[#This Row],[Total_Cost]]-International_Education_Costs[[#This Row],[Tuition_USD]]</f>
        <v>30550</v>
      </c>
      <c r="Q376" s="2">
        <f>International_Education_Costs[[#This Row],[Tuition_USD]]/International_Education_Costs[[#This Row],[Total_Cost]]</f>
        <v>0.55948089401586154</v>
      </c>
    </row>
    <row r="377" spans="1:17" x14ac:dyDescent="0.25">
      <c r="A377" t="s">
        <v>25</v>
      </c>
      <c r="B377" t="s">
        <v>230</v>
      </c>
      <c r="C377" t="s">
        <v>231</v>
      </c>
      <c r="D377" t="s">
        <v>15</v>
      </c>
      <c r="E377" t="s">
        <v>122</v>
      </c>
      <c r="F377">
        <v>4</v>
      </c>
      <c r="G377" s="1">
        <v>28800</v>
      </c>
      <c r="H377">
        <v>64.5</v>
      </c>
      <c r="I377" s="1">
        <v>1200</v>
      </c>
      <c r="J377" s="1">
        <v>450</v>
      </c>
      <c r="K377" s="1">
        <v>650</v>
      </c>
      <c r="L377">
        <v>1.52</v>
      </c>
      <c r="M3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89450</v>
      </c>
      <c r="N377" s="1">
        <f>International_Education_Costs[[#This Row],[Total_Cost]]/International_Education_Costs[[#This Row],[Duration_Years]]</f>
        <v>22362.5</v>
      </c>
      <c r="O377" s="1">
        <f>International_Education_Costs[[#This Row],[Rent_USD]] * 12 * International_Education_Costs[[#This Row],[Duration_Years]]</f>
        <v>57600</v>
      </c>
      <c r="P377" s="1">
        <f>International_Education_Costs[[#This Row],[Total_Cost]]-International_Education_Costs[[#This Row],[Tuition_USD]]</f>
        <v>60650</v>
      </c>
      <c r="Q377" s="2">
        <f>International_Education_Costs[[#This Row],[Tuition_USD]]/International_Education_Costs[[#This Row],[Total_Cost]]</f>
        <v>0.3219675796534377</v>
      </c>
    </row>
    <row r="378" spans="1:17" x14ac:dyDescent="0.25">
      <c r="A378" t="s">
        <v>25</v>
      </c>
      <c r="B378" t="s">
        <v>228</v>
      </c>
      <c r="C378" t="s">
        <v>229</v>
      </c>
      <c r="D378" t="s">
        <v>15</v>
      </c>
      <c r="E378" t="s">
        <v>75</v>
      </c>
      <c r="F378">
        <v>3</v>
      </c>
      <c r="G378" s="1">
        <v>35200</v>
      </c>
      <c r="H378">
        <v>68.5</v>
      </c>
      <c r="I378" s="1">
        <v>1400</v>
      </c>
      <c r="J378" s="1">
        <v>450</v>
      </c>
      <c r="K378" s="1">
        <v>650</v>
      </c>
      <c r="L378">
        <v>1.52</v>
      </c>
      <c r="M3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88000</v>
      </c>
      <c r="N378" s="1">
        <f>International_Education_Costs[[#This Row],[Total_Cost]]/International_Education_Costs[[#This Row],[Duration_Years]]</f>
        <v>29333.333333333332</v>
      </c>
      <c r="O378" s="1">
        <f>International_Education_Costs[[#This Row],[Rent_USD]] * 12 * International_Education_Costs[[#This Row],[Duration_Years]]</f>
        <v>50400</v>
      </c>
      <c r="P378" s="1">
        <f>International_Education_Costs[[#This Row],[Total_Cost]]-International_Education_Costs[[#This Row],[Tuition_USD]]</f>
        <v>52800</v>
      </c>
      <c r="Q378" s="2">
        <f>International_Education_Costs[[#This Row],[Tuition_USD]]/International_Education_Costs[[#This Row],[Total_Cost]]</f>
        <v>0.4</v>
      </c>
    </row>
    <row r="379" spans="1:17" x14ac:dyDescent="0.25">
      <c r="A379" t="s">
        <v>25</v>
      </c>
      <c r="B379" t="s">
        <v>228</v>
      </c>
      <c r="C379" t="s">
        <v>229</v>
      </c>
      <c r="D379" t="s">
        <v>15</v>
      </c>
      <c r="E379" t="s">
        <v>16</v>
      </c>
      <c r="F379">
        <v>2</v>
      </c>
      <c r="G379" s="1">
        <v>38200</v>
      </c>
      <c r="H379">
        <v>68.5</v>
      </c>
      <c r="I379" s="1">
        <v>1400</v>
      </c>
      <c r="J379" s="1">
        <v>450</v>
      </c>
      <c r="K379" s="1">
        <v>650</v>
      </c>
      <c r="L379">
        <v>1.52</v>
      </c>
      <c r="M3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73550</v>
      </c>
      <c r="N379" s="1">
        <f>International_Education_Costs[[#This Row],[Total_Cost]]/International_Education_Costs[[#This Row],[Duration_Years]]</f>
        <v>36775</v>
      </c>
      <c r="O379" s="1">
        <f>International_Education_Costs[[#This Row],[Rent_USD]] * 12 * International_Education_Costs[[#This Row],[Duration_Years]]</f>
        <v>33600</v>
      </c>
      <c r="P379" s="1">
        <f>International_Education_Costs[[#This Row],[Total_Cost]]-International_Education_Costs[[#This Row],[Tuition_USD]]</f>
        <v>35350</v>
      </c>
      <c r="Q379" s="2">
        <f>International_Education_Costs[[#This Row],[Tuition_USD]]/International_Education_Costs[[#This Row],[Total_Cost]]</f>
        <v>0.51937457511896667</v>
      </c>
    </row>
    <row r="380" spans="1:17" x14ac:dyDescent="0.25">
      <c r="A380" t="s">
        <v>25</v>
      </c>
      <c r="B380" t="s">
        <v>228</v>
      </c>
      <c r="C380" t="s">
        <v>229</v>
      </c>
      <c r="D380" t="s">
        <v>15</v>
      </c>
      <c r="E380" t="s">
        <v>122</v>
      </c>
      <c r="F380">
        <v>4</v>
      </c>
      <c r="G380" s="1">
        <v>28200</v>
      </c>
      <c r="H380">
        <v>68.5</v>
      </c>
      <c r="I380" s="1">
        <v>1400</v>
      </c>
      <c r="J380" s="1">
        <v>450</v>
      </c>
      <c r="K380" s="1">
        <v>650</v>
      </c>
      <c r="L380">
        <v>1.52</v>
      </c>
      <c r="M3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98450</v>
      </c>
      <c r="N380" s="1">
        <f>International_Education_Costs[[#This Row],[Total_Cost]]/International_Education_Costs[[#This Row],[Duration_Years]]</f>
        <v>24612.5</v>
      </c>
      <c r="O380" s="1">
        <f>International_Education_Costs[[#This Row],[Rent_USD]] * 12 * International_Education_Costs[[#This Row],[Duration_Years]]</f>
        <v>67200</v>
      </c>
      <c r="P380" s="1">
        <f>International_Education_Costs[[#This Row],[Total_Cost]]-International_Education_Costs[[#This Row],[Tuition_USD]]</f>
        <v>70250</v>
      </c>
      <c r="Q380" s="2">
        <f>International_Education_Costs[[#This Row],[Tuition_USD]]/International_Education_Costs[[#This Row],[Total_Cost]]</f>
        <v>0.28643981716607414</v>
      </c>
    </row>
    <row r="381" spans="1:17" x14ac:dyDescent="0.25">
      <c r="A381" t="s">
        <v>25</v>
      </c>
      <c r="B381" t="s">
        <v>142</v>
      </c>
      <c r="C381" t="s">
        <v>616</v>
      </c>
      <c r="D381" t="s">
        <v>15</v>
      </c>
      <c r="E381" t="s">
        <v>75</v>
      </c>
      <c r="F381">
        <v>3</v>
      </c>
      <c r="G381" s="1">
        <v>34800</v>
      </c>
      <c r="H381">
        <v>68.900000000000006</v>
      </c>
      <c r="I381" s="1">
        <v>1500</v>
      </c>
      <c r="J381" s="1">
        <v>450</v>
      </c>
      <c r="K381" s="1">
        <v>650</v>
      </c>
      <c r="L381">
        <v>1.52</v>
      </c>
      <c r="M3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91200</v>
      </c>
      <c r="N381" s="1">
        <f>International_Education_Costs[[#This Row],[Total_Cost]]/International_Education_Costs[[#This Row],[Duration_Years]]</f>
        <v>30400</v>
      </c>
      <c r="O381" s="1">
        <f>International_Education_Costs[[#This Row],[Rent_USD]] * 12 * International_Education_Costs[[#This Row],[Duration_Years]]</f>
        <v>54000</v>
      </c>
      <c r="P381" s="1">
        <f>International_Education_Costs[[#This Row],[Total_Cost]]-International_Education_Costs[[#This Row],[Tuition_USD]]</f>
        <v>56400</v>
      </c>
      <c r="Q381" s="2">
        <f>International_Education_Costs[[#This Row],[Tuition_USD]]/International_Education_Costs[[#This Row],[Total_Cost]]</f>
        <v>0.38157894736842107</v>
      </c>
    </row>
    <row r="382" spans="1:17" x14ac:dyDescent="0.25">
      <c r="A382" t="s">
        <v>25</v>
      </c>
      <c r="B382" t="s">
        <v>142</v>
      </c>
      <c r="C382" t="s">
        <v>616</v>
      </c>
      <c r="D382" t="s">
        <v>15</v>
      </c>
      <c r="E382" t="s">
        <v>16</v>
      </c>
      <c r="F382">
        <v>2</v>
      </c>
      <c r="G382" s="1">
        <v>37800</v>
      </c>
      <c r="H382">
        <v>68.900000000000006</v>
      </c>
      <c r="I382" s="1">
        <v>1500</v>
      </c>
      <c r="J382" s="1">
        <v>450</v>
      </c>
      <c r="K382" s="1">
        <v>650</v>
      </c>
      <c r="L382">
        <v>1.52</v>
      </c>
      <c r="M3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75550</v>
      </c>
      <c r="N382" s="1">
        <f>International_Education_Costs[[#This Row],[Total_Cost]]/International_Education_Costs[[#This Row],[Duration_Years]]</f>
        <v>37775</v>
      </c>
      <c r="O382" s="1">
        <f>International_Education_Costs[[#This Row],[Rent_USD]] * 12 * International_Education_Costs[[#This Row],[Duration_Years]]</f>
        <v>36000</v>
      </c>
      <c r="P382" s="1">
        <f>International_Education_Costs[[#This Row],[Total_Cost]]-International_Education_Costs[[#This Row],[Tuition_USD]]</f>
        <v>37750</v>
      </c>
      <c r="Q382" s="2">
        <f>International_Education_Costs[[#This Row],[Tuition_USD]]/International_Education_Costs[[#This Row],[Total_Cost]]</f>
        <v>0.50033090668431501</v>
      </c>
    </row>
    <row r="383" spans="1:17" x14ac:dyDescent="0.25">
      <c r="A383" t="s">
        <v>25</v>
      </c>
      <c r="B383" t="s">
        <v>142</v>
      </c>
      <c r="C383" t="s">
        <v>616</v>
      </c>
      <c r="D383" t="s">
        <v>15</v>
      </c>
      <c r="E383" t="s">
        <v>122</v>
      </c>
      <c r="F383">
        <v>4</v>
      </c>
      <c r="G383" s="1">
        <v>27800</v>
      </c>
      <c r="H383">
        <v>68.900000000000006</v>
      </c>
      <c r="I383" s="1">
        <v>1500</v>
      </c>
      <c r="J383" s="1">
        <v>450</v>
      </c>
      <c r="K383" s="1">
        <v>650</v>
      </c>
      <c r="L383">
        <v>1.52</v>
      </c>
      <c r="M3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102850</v>
      </c>
      <c r="N383" s="1">
        <f>International_Education_Costs[[#This Row],[Total_Cost]]/International_Education_Costs[[#This Row],[Duration_Years]]</f>
        <v>25712.5</v>
      </c>
      <c r="O383" s="1">
        <f>International_Education_Costs[[#This Row],[Rent_USD]] * 12 * International_Education_Costs[[#This Row],[Duration_Years]]</f>
        <v>72000</v>
      </c>
      <c r="P383" s="1">
        <f>International_Education_Costs[[#This Row],[Total_Cost]]-International_Education_Costs[[#This Row],[Tuition_USD]]</f>
        <v>75050</v>
      </c>
      <c r="Q383" s="2">
        <f>International_Education_Costs[[#This Row],[Tuition_USD]]/International_Education_Costs[[#This Row],[Total_Cost]]</f>
        <v>0.2702965483714147</v>
      </c>
    </row>
    <row r="384" spans="1:17" x14ac:dyDescent="0.25">
      <c r="A384" t="s">
        <v>25</v>
      </c>
      <c r="B384" t="s">
        <v>238</v>
      </c>
      <c r="C384" t="s">
        <v>239</v>
      </c>
      <c r="D384" t="s">
        <v>15</v>
      </c>
      <c r="E384" t="s">
        <v>75</v>
      </c>
      <c r="F384">
        <v>3</v>
      </c>
      <c r="G384" s="1">
        <v>34200</v>
      </c>
      <c r="H384">
        <v>65.2</v>
      </c>
      <c r="I384" s="1">
        <v>1200</v>
      </c>
      <c r="J384" s="1">
        <v>450</v>
      </c>
      <c r="K384" s="1">
        <v>650</v>
      </c>
      <c r="L384">
        <v>1.52</v>
      </c>
      <c r="M3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79800</v>
      </c>
      <c r="N384" s="1">
        <f>International_Education_Costs[[#This Row],[Total_Cost]]/International_Education_Costs[[#This Row],[Duration_Years]]</f>
        <v>26600</v>
      </c>
      <c r="O384" s="1">
        <f>International_Education_Costs[[#This Row],[Rent_USD]] * 12 * International_Education_Costs[[#This Row],[Duration_Years]]</f>
        <v>43200</v>
      </c>
      <c r="P384" s="1">
        <f>International_Education_Costs[[#This Row],[Total_Cost]]-International_Education_Costs[[#This Row],[Tuition_USD]]</f>
        <v>45600</v>
      </c>
      <c r="Q384" s="2">
        <f>International_Education_Costs[[#This Row],[Tuition_USD]]/International_Education_Costs[[#This Row],[Total_Cost]]</f>
        <v>0.42857142857142855</v>
      </c>
    </row>
    <row r="385" spans="1:17" x14ac:dyDescent="0.25">
      <c r="A385" t="s">
        <v>25</v>
      </c>
      <c r="B385" t="s">
        <v>238</v>
      </c>
      <c r="C385" t="s">
        <v>239</v>
      </c>
      <c r="D385" t="s">
        <v>15</v>
      </c>
      <c r="E385" t="s">
        <v>16</v>
      </c>
      <c r="F385">
        <v>2</v>
      </c>
      <c r="G385" s="1">
        <v>37200</v>
      </c>
      <c r="H385">
        <v>65.2</v>
      </c>
      <c r="I385" s="1">
        <v>1200</v>
      </c>
      <c r="J385" s="1">
        <v>450</v>
      </c>
      <c r="K385" s="1">
        <v>650</v>
      </c>
      <c r="L385">
        <v>1.52</v>
      </c>
      <c r="M3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67750</v>
      </c>
      <c r="N385" s="1">
        <f>International_Education_Costs[[#This Row],[Total_Cost]]/International_Education_Costs[[#This Row],[Duration_Years]]</f>
        <v>33875</v>
      </c>
      <c r="O385" s="1">
        <f>International_Education_Costs[[#This Row],[Rent_USD]] * 12 * International_Education_Costs[[#This Row],[Duration_Years]]</f>
        <v>28800</v>
      </c>
      <c r="P385" s="1">
        <f>International_Education_Costs[[#This Row],[Total_Cost]]-International_Education_Costs[[#This Row],[Tuition_USD]]</f>
        <v>30550</v>
      </c>
      <c r="Q385" s="2">
        <f>International_Education_Costs[[#This Row],[Tuition_USD]]/International_Education_Costs[[#This Row],[Total_Cost]]</f>
        <v>0.54907749077490775</v>
      </c>
    </row>
    <row r="386" spans="1:17" x14ac:dyDescent="0.25">
      <c r="A386" t="s">
        <v>25</v>
      </c>
      <c r="B386" t="s">
        <v>238</v>
      </c>
      <c r="C386" t="s">
        <v>239</v>
      </c>
      <c r="D386" t="s">
        <v>15</v>
      </c>
      <c r="E386" t="s">
        <v>122</v>
      </c>
      <c r="F386">
        <v>4</v>
      </c>
      <c r="G386" s="1">
        <v>27200</v>
      </c>
      <c r="H386">
        <v>65.2</v>
      </c>
      <c r="I386" s="1">
        <v>1200</v>
      </c>
      <c r="J386" s="1">
        <v>450</v>
      </c>
      <c r="K386" s="1">
        <v>650</v>
      </c>
      <c r="L386">
        <v>1.52</v>
      </c>
      <c r="M3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87850</v>
      </c>
      <c r="N386" s="1">
        <f>International_Education_Costs[[#This Row],[Total_Cost]]/International_Education_Costs[[#This Row],[Duration_Years]]</f>
        <v>21962.5</v>
      </c>
      <c r="O386" s="1">
        <f>International_Education_Costs[[#This Row],[Rent_USD]] * 12 * International_Education_Costs[[#This Row],[Duration_Years]]</f>
        <v>57600</v>
      </c>
      <c r="P386" s="1">
        <f>International_Education_Costs[[#This Row],[Total_Cost]]-International_Education_Costs[[#This Row],[Tuition_USD]]</f>
        <v>60650</v>
      </c>
      <c r="Q386" s="2">
        <f>International_Education_Costs[[#This Row],[Tuition_USD]]/International_Education_Costs[[#This Row],[Total_Cost]]</f>
        <v>0.30961866818440525</v>
      </c>
    </row>
    <row r="387" spans="1:17" x14ac:dyDescent="0.25">
      <c r="A387" t="s">
        <v>25</v>
      </c>
      <c r="B387" t="s">
        <v>243</v>
      </c>
      <c r="C387" t="s">
        <v>244</v>
      </c>
      <c r="D387" t="s">
        <v>15</v>
      </c>
      <c r="E387" t="s">
        <v>75</v>
      </c>
      <c r="F387">
        <v>3</v>
      </c>
      <c r="G387" s="1">
        <v>33800</v>
      </c>
      <c r="H387">
        <v>63.8</v>
      </c>
      <c r="I387" s="1">
        <v>1100</v>
      </c>
      <c r="J387" s="1">
        <v>450</v>
      </c>
      <c r="K387" s="1">
        <v>650</v>
      </c>
      <c r="L387">
        <v>1.52</v>
      </c>
      <c r="M3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75800</v>
      </c>
      <c r="N387" s="1">
        <f>International_Education_Costs[[#This Row],[Total_Cost]]/International_Education_Costs[[#This Row],[Duration_Years]]</f>
        <v>25266.666666666668</v>
      </c>
      <c r="O387" s="1">
        <f>International_Education_Costs[[#This Row],[Rent_USD]] * 12 * International_Education_Costs[[#This Row],[Duration_Years]]</f>
        <v>39600</v>
      </c>
      <c r="P387" s="1">
        <f>International_Education_Costs[[#This Row],[Total_Cost]]-International_Education_Costs[[#This Row],[Tuition_USD]]</f>
        <v>42000</v>
      </c>
      <c r="Q387" s="2">
        <f>International_Education_Costs[[#This Row],[Tuition_USD]]/International_Education_Costs[[#This Row],[Total_Cost]]</f>
        <v>0.44591029023746703</v>
      </c>
    </row>
    <row r="388" spans="1:17" x14ac:dyDescent="0.25">
      <c r="A388" t="s">
        <v>25</v>
      </c>
      <c r="B388" t="s">
        <v>243</v>
      </c>
      <c r="C388" t="s">
        <v>244</v>
      </c>
      <c r="D388" t="s">
        <v>15</v>
      </c>
      <c r="E388" t="s">
        <v>16</v>
      </c>
      <c r="F388">
        <v>2</v>
      </c>
      <c r="G388" s="1">
        <v>36800</v>
      </c>
      <c r="H388">
        <v>63.8</v>
      </c>
      <c r="I388" s="1">
        <v>1100</v>
      </c>
      <c r="J388" s="1">
        <v>450</v>
      </c>
      <c r="K388" s="1">
        <v>650</v>
      </c>
      <c r="L388">
        <v>1.52</v>
      </c>
      <c r="M3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64950</v>
      </c>
      <c r="N388" s="1">
        <f>International_Education_Costs[[#This Row],[Total_Cost]]/International_Education_Costs[[#This Row],[Duration_Years]]</f>
        <v>32475</v>
      </c>
      <c r="O388" s="1">
        <f>International_Education_Costs[[#This Row],[Rent_USD]] * 12 * International_Education_Costs[[#This Row],[Duration_Years]]</f>
        <v>26400</v>
      </c>
      <c r="P388" s="1">
        <f>International_Education_Costs[[#This Row],[Total_Cost]]-International_Education_Costs[[#This Row],[Tuition_USD]]</f>
        <v>28150</v>
      </c>
      <c r="Q388" s="2">
        <f>International_Education_Costs[[#This Row],[Tuition_USD]]/International_Education_Costs[[#This Row],[Total_Cost]]</f>
        <v>0.56658968437259427</v>
      </c>
    </row>
    <row r="389" spans="1:17" x14ac:dyDescent="0.25">
      <c r="A389" t="s">
        <v>25</v>
      </c>
      <c r="B389" t="s">
        <v>243</v>
      </c>
      <c r="C389" t="s">
        <v>244</v>
      </c>
      <c r="D389" t="s">
        <v>15</v>
      </c>
      <c r="E389" t="s">
        <v>122</v>
      </c>
      <c r="F389">
        <v>4</v>
      </c>
      <c r="G389" s="1">
        <v>26800</v>
      </c>
      <c r="H389">
        <v>63.8</v>
      </c>
      <c r="I389" s="1">
        <v>1100</v>
      </c>
      <c r="J389" s="1">
        <v>450</v>
      </c>
      <c r="K389" s="1">
        <v>650</v>
      </c>
      <c r="L389">
        <v>1.52</v>
      </c>
      <c r="M3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82650</v>
      </c>
      <c r="N389" s="1">
        <f>International_Education_Costs[[#This Row],[Total_Cost]]/International_Education_Costs[[#This Row],[Duration_Years]]</f>
        <v>20662.5</v>
      </c>
      <c r="O389" s="1">
        <f>International_Education_Costs[[#This Row],[Rent_USD]] * 12 * International_Education_Costs[[#This Row],[Duration_Years]]</f>
        <v>52800</v>
      </c>
      <c r="P389" s="1">
        <f>International_Education_Costs[[#This Row],[Total_Cost]]-International_Education_Costs[[#This Row],[Tuition_USD]]</f>
        <v>55850</v>
      </c>
      <c r="Q389" s="2">
        <f>International_Education_Costs[[#This Row],[Tuition_USD]]/International_Education_Costs[[#This Row],[Total_Cost]]</f>
        <v>0.32425892316999394</v>
      </c>
    </row>
    <row r="390" spans="1:17" x14ac:dyDescent="0.25">
      <c r="A390" t="s">
        <v>25</v>
      </c>
      <c r="B390" t="s">
        <v>617</v>
      </c>
      <c r="C390" t="s">
        <v>618</v>
      </c>
      <c r="D390" t="s">
        <v>15</v>
      </c>
      <c r="E390" t="s">
        <v>75</v>
      </c>
      <c r="F390">
        <v>3</v>
      </c>
      <c r="G390" s="1">
        <v>33200</v>
      </c>
      <c r="H390">
        <v>64.2</v>
      </c>
      <c r="I390" s="1">
        <v>1100</v>
      </c>
      <c r="J390" s="1">
        <v>450</v>
      </c>
      <c r="K390" s="1">
        <v>650</v>
      </c>
      <c r="L390">
        <v>1.52</v>
      </c>
      <c r="M3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75200</v>
      </c>
      <c r="N390" s="1">
        <f>International_Education_Costs[[#This Row],[Total_Cost]]/International_Education_Costs[[#This Row],[Duration_Years]]</f>
        <v>25066.666666666668</v>
      </c>
      <c r="O390" s="1">
        <f>International_Education_Costs[[#This Row],[Rent_USD]] * 12 * International_Education_Costs[[#This Row],[Duration_Years]]</f>
        <v>39600</v>
      </c>
      <c r="P390" s="1">
        <f>International_Education_Costs[[#This Row],[Total_Cost]]-International_Education_Costs[[#This Row],[Tuition_USD]]</f>
        <v>42000</v>
      </c>
      <c r="Q390" s="2">
        <f>International_Education_Costs[[#This Row],[Tuition_USD]]/International_Education_Costs[[#This Row],[Total_Cost]]</f>
        <v>0.44148936170212766</v>
      </c>
    </row>
    <row r="391" spans="1:17" x14ac:dyDescent="0.25">
      <c r="A391" t="s">
        <v>25</v>
      </c>
      <c r="B391" t="s">
        <v>617</v>
      </c>
      <c r="C391" t="s">
        <v>618</v>
      </c>
      <c r="D391" t="s">
        <v>15</v>
      </c>
      <c r="E391" t="s">
        <v>16</v>
      </c>
      <c r="F391">
        <v>2</v>
      </c>
      <c r="G391" s="1">
        <v>36200</v>
      </c>
      <c r="H391">
        <v>64.2</v>
      </c>
      <c r="I391" s="1">
        <v>1100</v>
      </c>
      <c r="J391" s="1">
        <v>450</v>
      </c>
      <c r="K391" s="1">
        <v>650</v>
      </c>
      <c r="L391">
        <v>1.52</v>
      </c>
      <c r="M3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64350</v>
      </c>
      <c r="N391" s="1">
        <f>International_Education_Costs[[#This Row],[Total_Cost]]/International_Education_Costs[[#This Row],[Duration_Years]]</f>
        <v>32175</v>
      </c>
      <c r="O391" s="1">
        <f>International_Education_Costs[[#This Row],[Rent_USD]] * 12 * International_Education_Costs[[#This Row],[Duration_Years]]</f>
        <v>26400</v>
      </c>
      <c r="P391" s="1">
        <f>International_Education_Costs[[#This Row],[Total_Cost]]-International_Education_Costs[[#This Row],[Tuition_USD]]</f>
        <v>28150</v>
      </c>
      <c r="Q391" s="2">
        <f>International_Education_Costs[[#This Row],[Tuition_USD]]/International_Education_Costs[[#This Row],[Total_Cost]]</f>
        <v>0.56254856254856256</v>
      </c>
    </row>
    <row r="392" spans="1:17" x14ac:dyDescent="0.25">
      <c r="A392" t="s">
        <v>25</v>
      </c>
      <c r="B392" t="s">
        <v>617</v>
      </c>
      <c r="C392" t="s">
        <v>618</v>
      </c>
      <c r="D392" t="s">
        <v>15</v>
      </c>
      <c r="E392" t="s">
        <v>122</v>
      </c>
      <c r="F392">
        <v>4</v>
      </c>
      <c r="G392" s="1">
        <v>26200</v>
      </c>
      <c r="H392">
        <v>64.2</v>
      </c>
      <c r="I392" s="1">
        <v>1100</v>
      </c>
      <c r="J392" s="1">
        <v>450</v>
      </c>
      <c r="K392" s="1">
        <v>650</v>
      </c>
      <c r="L392">
        <v>1.52</v>
      </c>
      <c r="M3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82050</v>
      </c>
      <c r="N392" s="1">
        <f>International_Education_Costs[[#This Row],[Total_Cost]]/International_Education_Costs[[#This Row],[Duration_Years]]</f>
        <v>20512.5</v>
      </c>
      <c r="O392" s="1">
        <f>International_Education_Costs[[#This Row],[Rent_USD]] * 12 * International_Education_Costs[[#This Row],[Duration_Years]]</f>
        <v>52800</v>
      </c>
      <c r="P392" s="1">
        <f>International_Education_Costs[[#This Row],[Total_Cost]]-International_Education_Costs[[#This Row],[Tuition_USD]]</f>
        <v>55850</v>
      </c>
      <c r="Q392" s="2">
        <f>International_Education_Costs[[#This Row],[Tuition_USD]]/International_Education_Costs[[#This Row],[Total_Cost]]</f>
        <v>0.31931748933577087</v>
      </c>
    </row>
    <row r="393" spans="1:17" x14ac:dyDescent="0.25">
      <c r="A393" t="s">
        <v>25</v>
      </c>
      <c r="B393" t="s">
        <v>619</v>
      </c>
      <c r="C393" t="s">
        <v>620</v>
      </c>
      <c r="D393" t="s">
        <v>15</v>
      </c>
      <c r="E393" t="s">
        <v>75</v>
      </c>
      <c r="F393">
        <v>3</v>
      </c>
      <c r="G393" s="1">
        <v>32800</v>
      </c>
      <c r="H393">
        <v>63.5</v>
      </c>
      <c r="I393" s="1">
        <v>1000</v>
      </c>
      <c r="J393" s="1">
        <v>450</v>
      </c>
      <c r="K393" s="1">
        <v>650</v>
      </c>
      <c r="L393">
        <v>1.52</v>
      </c>
      <c r="M3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71200</v>
      </c>
      <c r="N393" s="1">
        <f>International_Education_Costs[[#This Row],[Total_Cost]]/International_Education_Costs[[#This Row],[Duration_Years]]</f>
        <v>23733.333333333332</v>
      </c>
      <c r="O393" s="1">
        <f>International_Education_Costs[[#This Row],[Rent_USD]] * 12 * International_Education_Costs[[#This Row],[Duration_Years]]</f>
        <v>36000</v>
      </c>
      <c r="P393" s="1">
        <f>International_Education_Costs[[#This Row],[Total_Cost]]-International_Education_Costs[[#This Row],[Tuition_USD]]</f>
        <v>38400</v>
      </c>
      <c r="Q393" s="2">
        <f>International_Education_Costs[[#This Row],[Tuition_USD]]/International_Education_Costs[[#This Row],[Total_Cost]]</f>
        <v>0.4606741573033708</v>
      </c>
    </row>
    <row r="394" spans="1:17" x14ac:dyDescent="0.25">
      <c r="A394" t="s">
        <v>25</v>
      </c>
      <c r="B394" t="s">
        <v>619</v>
      </c>
      <c r="C394" t="s">
        <v>620</v>
      </c>
      <c r="D394" t="s">
        <v>15</v>
      </c>
      <c r="E394" t="s">
        <v>16</v>
      </c>
      <c r="F394">
        <v>2</v>
      </c>
      <c r="G394" s="1">
        <v>35800</v>
      </c>
      <c r="H394">
        <v>63.5</v>
      </c>
      <c r="I394" s="1">
        <v>1000</v>
      </c>
      <c r="J394" s="1">
        <v>450</v>
      </c>
      <c r="K394" s="1">
        <v>650</v>
      </c>
      <c r="L394">
        <v>1.52</v>
      </c>
      <c r="M3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61550</v>
      </c>
      <c r="N394" s="1">
        <f>International_Education_Costs[[#This Row],[Total_Cost]]/International_Education_Costs[[#This Row],[Duration_Years]]</f>
        <v>30775</v>
      </c>
      <c r="O394" s="1">
        <f>International_Education_Costs[[#This Row],[Rent_USD]] * 12 * International_Education_Costs[[#This Row],[Duration_Years]]</f>
        <v>24000</v>
      </c>
      <c r="P394" s="1">
        <f>International_Education_Costs[[#This Row],[Total_Cost]]-International_Education_Costs[[#This Row],[Tuition_USD]]</f>
        <v>25750</v>
      </c>
      <c r="Q394" s="2">
        <f>International_Education_Costs[[#This Row],[Tuition_USD]]/International_Education_Costs[[#This Row],[Total_Cost]]</f>
        <v>0.58164094232331442</v>
      </c>
    </row>
    <row r="395" spans="1:17" x14ac:dyDescent="0.25">
      <c r="A395" t="s">
        <v>25</v>
      </c>
      <c r="B395" t="s">
        <v>619</v>
      </c>
      <c r="C395" t="s">
        <v>620</v>
      </c>
      <c r="D395" t="s">
        <v>15</v>
      </c>
      <c r="E395" t="s">
        <v>122</v>
      </c>
      <c r="F395">
        <v>4</v>
      </c>
      <c r="G395" s="1">
        <v>25800</v>
      </c>
      <c r="H395">
        <v>63.5</v>
      </c>
      <c r="I395" s="1">
        <v>1000</v>
      </c>
      <c r="J395" s="1">
        <v>450</v>
      </c>
      <c r="K395" s="1">
        <v>650</v>
      </c>
      <c r="L395">
        <v>1.52</v>
      </c>
      <c r="M3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76850</v>
      </c>
      <c r="N395" s="1">
        <f>International_Education_Costs[[#This Row],[Total_Cost]]/International_Education_Costs[[#This Row],[Duration_Years]]</f>
        <v>19212.5</v>
      </c>
      <c r="O395" s="1">
        <f>International_Education_Costs[[#This Row],[Rent_USD]] * 12 * International_Education_Costs[[#This Row],[Duration_Years]]</f>
        <v>48000</v>
      </c>
      <c r="P395" s="1">
        <f>International_Education_Costs[[#This Row],[Total_Cost]]-International_Education_Costs[[#This Row],[Tuition_USD]]</f>
        <v>51050</v>
      </c>
      <c r="Q395" s="2">
        <f>International_Education_Costs[[#This Row],[Tuition_USD]]/International_Education_Costs[[#This Row],[Total_Cost]]</f>
        <v>0.33571893298633704</v>
      </c>
    </row>
    <row r="396" spans="1:17" x14ac:dyDescent="0.25">
      <c r="A396" t="s">
        <v>25</v>
      </c>
      <c r="B396" t="s">
        <v>621</v>
      </c>
      <c r="C396" t="s">
        <v>622</v>
      </c>
      <c r="D396" t="s">
        <v>15</v>
      </c>
      <c r="E396" t="s">
        <v>75</v>
      </c>
      <c r="F396">
        <v>3</v>
      </c>
      <c r="G396" s="1">
        <v>32200</v>
      </c>
      <c r="H396">
        <v>63.2</v>
      </c>
      <c r="I396" s="1">
        <v>1000</v>
      </c>
      <c r="J396" s="1">
        <v>450</v>
      </c>
      <c r="K396" s="1">
        <v>650</v>
      </c>
      <c r="L396">
        <v>1.52</v>
      </c>
      <c r="M3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70600</v>
      </c>
      <c r="N396" s="1">
        <f>International_Education_Costs[[#This Row],[Total_Cost]]/International_Education_Costs[[#This Row],[Duration_Years]]</f>
        <v>23533.333333333332</v>
      </c>
      <c r="O396" s="1">
        <f>International_Education_Costs[[#This Row],[Rent_USD]] * 12 * International_Education_Costs[[#This Row],[Duration_Years]]</f>
        <v>36000</v>
      </c>
      <c r="P396" s="1">
        <f>International_Education_Costs[[#This Row],[Total_Cost]]-International_Education_Costs[[#This Row],[Tuition_USD]]</f>
        <v>38400</v>
      </c>
      <c r="Q396" s="2">
        <f>International_Education_Costs[[#This Row],[Tuition_USD]]/International_Education_Costs[[#This Row],[Total_Cost]]</f>
        <v>0.45609065155807366</v>
      </c>
    </row>
    <row r="397" spans="1:17" x14ac:dyDescent="0.25">
      <c r="A397" t="s">
        <v>25</v>
      </c>
      <c r="B397" t="s">
        <v>621</v>
      </c>
      <c r="C397" t="s">
        <v>622</v>
      </c>
      <c r="D397" t="s">
        <v>15</v>
      </c>
      <c r="E397" t="s">
        <v>16</v>
      </c>
      <c r="F397">
        <v>2</v>
      </c>
      <c r="G397" s="1">
        <v>35200</v>
      </c>
      <c r="H397">
        <v>63.2</v>
      </c>
      <c r="I397" s="1">
        <v>1000</v>
      </c>
      <c r="J397" s="1">
        <v>450</v>
      </c>
      <c r="K397" s="1">
        <v>650</v>
      </c>
      <c r="L397">
        <v>1.52</v>
      </c>
      <c r="M3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60950</v>
      </c>
      <c r="N397" s="1">
        <f>International_Education_Costs[[#This Row],[Total_Cost]]/International_Education_Costs[[#This Row],[Duration_Years]]</f>
        <v>30475</v>
      </c>
      <c r="O397" s="1">
        <f>International_Education_Costs[[#This Row],[Rent_USD]] * 12 * International_Education_Costs[[#This Row],[Duration_Years]]</f>
        <v>24000</v>
      </c>
      <c r="P397" s="1">
        <f>International_Education_Costs[[#This Row],[Total_Cost]]-International_Education_Costs[[#This Row],[Tuition_USD]]</f>
        <v>25750</v>
      </c>
      <c r="Q397" s="2">
        <f>International_Education_Costs[[#This Row],[Tuition_USD]]/International_Education_Costs[[#This Row],[Total_Cost]]</f>
        <v>0.57752255947497955</v>
      </c>
    </row>
    <row r="398" spans="1:17" x14ac:dyDescent="0.25">
      <c r="A398" t="s">
        <v>25</v>
      </c>
      <c r="B398" t="s">
        <v>621</v>
      </c>
      <c r="C398" t="s">
        <v>622</v>
      </c>
      <c r="D398" t="s">
        <v>15</v>
      </c>
      <c r="E398" t="s">
        <v>122</v>
      </c>
      <c r="F398">
        <v>4</v>
      </c>
      <c r="G398" s="1">
        <v>25200</v>
      </c>
      <c r="H398">
        <v>63.2</v>
      </c>
      <c r="I398" s="1">
        <v>1000</v>
      </c>
      <c r="J398" s="1">
        <v>450</v>
      </c>
      <c r="K398" s="1">
        <v>650</v>
      </c>
      <c r="L398">
        <v>1.52</v>
      </c>
      <c r="M3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76250</v>
      </c>
      <c r="N398" s="1">
        <f>International_Education_Costs[[#This Row],[Total_Cost]]/International_Education_Costs[[#This Row],[Duration_Years]]</f>
        <v>19062.5</v>
      </c>
      <c r="O398" s="1">
        <f>International_Education_Costs[[#This Row],[Rent_USD]] * 12 * International_Education_Costs[[#This Row],[Duration_Years]]</f>
        <v>48000</v>
      </c>
      <c r="P398" s="1">
        <f>International_Education_Costs[[#This Row],[Total_Cost]]-International_Education_Costs[[#This Row],[Tuition_USD]]</f>
        <v>51050</v>
      </c>
      <c r="Q398" s="2">
        <f>International_Education_Costs[[#This Row],[Tuition_USD]]/International_Education_Costs[[#This Row],[Total_Cost]]</f>
        <v>0.33049180327868855</v>
      </c>
    </row>
    <row r="399" spans="1:17" x14ac:dyDescent="0.25">
      <c r="A399" t="s">
        <v>12</v>
      </c>
      <c r="B399" t="s">
        <v>123</v>
      </c>
      <c r="C399" t="s">
        <v>124</v>
      </c>
      <c r="D399" t="s">
        <v>15</v>
      </c>
      <c r="E399" t="s">
        <v>16</v>
      </c>
      <c r="F399">
        <v>2</v>
      </c>
      <c r="G399" s="1">
        <v>58000</v>
      </c>
      <c r="H399">
        <v>82.1</v>
      </c>
      <c r="I399" s="1">
        <v>2100</v>
      </c>
      <c r="J399" s="1">
        <v>160</v>
      </c>
      <c r="K399" s="1">
        <v>1500</v>
      </c>
      <c r="L399">
        <v>1</v>
      </c>
      <c r="M3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111560</v>
      </c>
      <c r="N399" s="1">
        <f>International_Education_Costs[[#This Row],[Total_Cost]]/International_Education_Costs[[#This Row],[Duration_Years]]</f>
        <v>55780</v>
      </c>
      <c r="O399" s="1">
        <f>International_Education_Costs[[#This Row],[Rent_USD]] * 12 * International_Education_Costs[[#This Row],[Duration_Years]]</f>
        <v>50400</v>
      </c>
      <c r="P399" s="1">
        <f>International_Education_Costs[[#This Row],[Total_Cost]]-International_Education_Costs[[#This Row],[Tuition_USD]]</f>
        <v>53560</v>
      </c>
      <c r="Q399" s="2">
        <f>International_Education_Costs[[#This Row],[Tuition_USD]]/International_Education_Costs[[#This Row],[Total_Cost]]</f>
        <v>0.51989960559340265</v>
      </c>
    </row>
    <row r="400" spans="1:17" x14ac:dyDescent="0.25">
      <c r="A400" t="s">
        <v>17</v>
      </c>
      <c r="B400" t="s">
        <v>18</v>
      </c>
      <c r="C400" t="s">
        <v>19</v>
      </c>
      <c r="D400" t="s">
        <v>20</v>
      </c>
      <c r="E400" t="s">
        <v>16</v>
      </c>
      <c r="F400">
        <v>1</v>
      </c>
      <c r="G400" s="1">
        <v>42000</v>
      </c>
      <c r="H400">
        <v>75.3</v>
      </c>
      <c r="I400" s="1">
        <v>1800</v>
      </c>
      <c r="J400" s="1">
        <v>485</v>
      </c>
      <c r="K400" s="1">
        <v>800</v>
      </c>
      <c r="L400">
        <v>0.79</v>
      </c>
      <c r="M4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64885</v>
      </c>
      <c r="N400" s="1">
        <f>International_Education_Costs[[#This Row],[Total_Cost]]/International_Education_Costs[[#This Row],[Duration_Years]]</f>
        <v>64885</v>
      </c>
      <c r="O400" s="1">
        <f>International_Education_Costs[[#This Row],[Rent_USD]] * 12 * International_Education_Costs[[#This Row],[Duration_Years]]</f>
        <v>21600</v>
      </c>
      <c r="P400" s="1">
        <f>International_Education_Costs[[#This Row],[Total_Cost]]-International_Education_Costs[[#This Row],[Tuition_USD]]</f>
        <v>22885</v>
      </c>
      <c r="Q400" s="2">
        <f>International_Education_Costs[[#This Row],[Tuition_USD]]/International_Education_Costs[[#This Row],[Total_Cost]]</f>
        <v>0.647299067581105</v>
      </c>
    </row>
    <row r="401" spans="1:17" x14ac:dyDescent="0.25">
      <c r="A401" t="s">
        <v>29</v>
      </c>
      <c r="B401" t="s">
        <v>30</v>
      </c>
      <c r="C401" t="s">
        <v>623</v>
      </c>
      <c r="D401" t="s">
        <v>32</v>
      </c>
      <c r="E401" t="s">
        <v>16</v>
      </c>
      <c r="F401">
        <v>2</v>
      </c>
      <c r="G401" s="1">
        <v>0</v>
      </c>
      <c r="H401">
        <v>71.5</v>
      </c>
      <c r="I401" s="1">
        <v>1200</v>
      </c>
      <c r="J401" s="1">
        <v>110</v>
      </c>
      <c r="K401" s="1">
        <v>900</v>
      </c>
      <c r="L401">
        <v>0.92</v>
      </c>
      <c r="M4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30710</v>
      </c>
      <c r="N401" s="1">
        <f>International_Education_Costs[[#This Row],[Total_Cost]]/International_Education_Costs[[#This Row],[Duration_Years]]</f>
        <v>15355</v>
      </c>
      <c r="O401" s="1">
        <f>International_Education_Costs[[#This Row],[Rent_USD]] * 12 * International_Education_Costs[[#This Row],[Duration_Years]]</f>
        <v>28800</v>
      </c>
      <c r="P401" s="1">
        <f>International_Education_Costs[[#This Row],[Total_Cost]]-International_Education_Costs[[#This Row],[Tuition_USD]]</f>
        <v>30710</v>
      </c>
      <c r="Q401" s="2">
        <f>International_Education_Costs[[#This Row],[Tuition_USD]]/International_Education_Costs[[#This Row],[Total_Cost]]</f>
        <v>0</v>
      </c>
    </row>
    <row r="402" spans="1:17" x14ac:dyDescent="0.25">
      <c r="A402" t="s">
        <v>21</v>
      </c>
      <c r="B402" t="s">
        <v>22</v>
      </c>
      <c r="C402" t="s">
        <v>23</v>
      </c>
      <c r="D402" t="s">
        <v>24</v>
      </c>
      <c r="E402" t="s">
        <v>16</v>
      </c>
      <c r="F402">
        <v>2</v>
      </c>
      <c r="G402" s="1">
        <v>45000</v>
      </c>
      <c r="H402">
        <v>73.8</v>
      </c>
      <c r="I402" s="1">
        <v>1700</v>
      </c>
      <c r="J402" s="1">
        <v>235</v>
      </c>
      <c r="K402" s="1">
        <v>750</v>
      </c>
      <c r="L402">
        <v>1.35</v>
      </c>
      <c r="M4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87535</v>
      </c>
      <c r="N402" s="1">
        <f>International_Education_Costs[[#This Row],[Total_Cost]]/International_Education_Costs[[#This Row],[Duration_Years]]</f>
        <v>43767.5</v>
      </c>
      <c r="O402" s="1">
        <f>International_Education_Costs[[#This Row],[Rent_USD]] * 12 * International_Education_Costs[[#This Row],[Duration_Years]]</f>
        <v>40800</v>
      </c>
      <c r="P402" s="1">
        <f>International_Education_Costs[[#This Row],[Total_Cost]]-International_Education_Costs[[#This Row],[Tuition_USD]]</f>
        <v>42535</v>
      </c>
      <c r="Q402" s="2">
        <f>International_Education_Costs[[#This Row],[Tuition_USD]]/International_Education_Costs[[#This Row],[Total_Cost]]</f>
        <v>0.51408008225281321</v>
      </c>
    </row>
    <row r="403" spans="1:17" x14ac:dyDescent="0.25">
      <c r="A403" t="s">
        <v>25</v>
      </c>
      <c r="B403" t="s">
        <v>26</v>
      </c>
      <c r="C403" t="s">
        <v>27</v>
      </c>
      <c r="D403" t="s">
        <v>40</v>
      </c>
      <c r="E403" t="s">
        <v>122</v>
      </c>
      <c r="F403">
        <v>4</v>
      </c>
      <c r="G403" s="1">
        <v>29000</v>
      </c>
      <c r="H403">
        <v>72.400000000000006</v>
      </c>
      <c r="I403" s="1">
        <v>1500</v>
      </c>
      <c r="J403" s="1">
        <v>450</v>
      </c>
      <c r="K403" s="1">
        <v>650</v>
      </c>
      <c r="L403">
        <v>1.52</v>
      </c>
      <c r="M4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104050</v>
      </c>
      <c r="N403" s="1">
        <f>International_Education_Costs[[#This Row],[Total_Cost]]/International_Education_Costs[[#This Row],[Duration_Years]]</f>
        <v>26012.5</v>
      </c>
      <c r="O403" s="1">
        <f>International_Education_Costs[[#This Row],[Rent_USD]] * 12 * International_Education_Costs[[#This Row],[Duration_Years]]</f>
        <v>72000</v>
      </c>
      <c r="P403" s="1">
        <f>International_Education_Costs[[#This Row],[Total_Cost]]-International_Education_Costs[[#This Row],[Tuition_USD]]</f>
        <v>75050</v>
      </c>
      <c r="Q403" s="2">
        <f>International_Education_Costs[[#This Row],[Tuition_USD]]/International_Education_Costs[[#This Row],[Total_Cost]]</f>
        <v>0.27871215761653051</v>
      </c>
    </row>
    <row r="404" spans="1:17" x14ac:dyDescent="0.25">
      <c r="A404" t="s">
        <v>12</v>
      </c>
      <c r="B404" t="s">
        <v>120</v>
      </c>
      <c r="C404" t="s">
        <v>121</v>
      </c>
      <c r="D404" t="s">
        <v>51</v>
      </c>
      <c r="E404" t="s">
        <v>122</v>
      </c>
      <c r="F404">
        <v>5</v>
      </c>
      <c r="G404" s="1">
        <v>52000</v>
      </c>
      <c r="H404">
        <v>84.3</v>
      </c>
      <c r="I404" s="1">
        <v>2300</v>
      </c>
      <c r="J404" s="1">
        <v>160</v>
      </c>
      <c r="K404" s="1">
        <v>1500</v>
      </c>
      <c r="L404">
        <v>1</v>
      </c>
      <c r="M4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197660</v>
      </c>
      <c r="N404" s="1">
        <f>International_Education_Costs[[#This Row],[Total_Cost]]/International_Education_Costs[[#This Row],[Duration_Years]]</f>
        <v>39532</v>
      </c>
      <c r="O404" s="1">
        <f>International_Education_Costs[[#This Row],[Rent_USD]] * 12 * International_Education_Costs[[#This Row],[Duration_Years]]</f>
        <v>138000</v>
      </c>
      <c r="P404" s="1">
        <f>International_Education_Costs[[#This Row],[Total_Cost]]-International_Education_Costs[[#This Row],[Tuition_USD]]</f>
        <v>145660</v>
      </c>
      <c r="Q404" s="2">
        <f>International_Education_Costs[[#This Row],[Tuition_USD]]/International_Education_Costs[[#This Row],[Total_Cost]]</f>
        <v>0.26307801274916526</v>
      </c>
    </row>
    <row r="405" spans="1:17" x14ac:dyDescent="0.25">
      <c r="A405" t="s">
        <v>17</v>
      </c>
      <c r="B405" t="s">
        <v>525</v>
      </c>
      <c r="C405" t="s">
        <v>526</v>
      </c>
      <c r="D405" t="s">
        <v>624</v>
      </c>
      <c r="E405" t="s">
        <v>16</v>
      </c>
      <c r="F405">
        <v>2</v>
      </c>
      <c r="G405" s="1">
        <v>38000</v>
      </c>
      <c r="H405">
        <v>67.8</v>
      </c>
      <c r="I405" s="1">
        <v>1100</v>
      </c>
      <c r="J405" s="1">
        <v>485</v>
      </c>
      <c r="K405" s="1">
        <v>800</v>
      </c>
      <c r="L405">
        <v>0.79</v>
      </c>
      <c r="M4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66485</v>
      </c>
      <c r="N405" s="1">
        <f>International_Education_Costs[[#This Row],[Total_Cost]]/International_Education_Costs[[#This Row],[Duration_Years]]</f>
        <v>33242.5</v>
      </c>
      <c r="O405" s="1">
        <f>International_Education_Costs[[#This Row],[Rent_USD]] * 12 * International_Education_Costs[[#This Row],[Duration_Years]]</f>
        <v>26400</v>
      </c>
      <c r="P405" s="1">
        <f>International_Education_Costs[[#This Row],[Total_Cost]]-International_Education_Costs[[#This Row],[Tuition_USD]]</f>
        <v>28485</v>
      </c>
      <c r="Q405" s="2">
        <f>International_Education_Costs[[#This Row],[Tuition_USD]]/International_Education_Costs[[#This Row],[Total_Cost]]</f>
        <v>0.57155749417161761</v>
      </c>
    </row>
    <row r="406" spans="1:17" x14ac:dyDescent="0.25">
      <c r="A406" t="s">
        <v>29</v>
      </c>
      <c r="B406" t="s">
        <v>181</v>
      </c>
      <c r="C406" t="s">
        <v>625</v>
      </c>
      <c r="D406" t="s">
        <v>15</v>
      </c>
      <c r="E406" t="s">
        <v>75</v>
      </c>
      <c r="F406">
        <v>3</v>
      </c>
      <c r="G406" s="1">
        <v>0</v>
      </c>
      <c r="H406">
        <v>68.900000000000006</v>
      </c>
      <c r="I406" s="1">
        <v>950</v>
      </c>
      <c r="J406" s="1">
        <v>110</v>
      </c>
      <c r="K406" s="1">
        <v>900</v>
      </c>
      <c r="L406">
        <v>0.92</v>
      </c>
      <c r="M4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37010</v>
      </c>
      <c r="N406" s="1">
        <f>International_Education_Costs[[#This Row],[Total_Cost]]/International_Education_Costs[[#This Row],[Duration_Years]]</f>
        <v>12336.666666666666</v>
      </c>
      <c r="O406" s="1">
        <f>International_Education_Costs[[#This Row],[Rent_USD]] * 12 * International_Education_Costs[[#This Row],[Duration_Years]]</f>
        <v>34200</v>
      </c>
      <c r="P406" s="1">
        <f>International_Education_Costs[[#This Row],[Total_Cost]]-International_Education_Costs[[#This Row],[Tuition_USD]]</f>
        <v>37010</v>
      </c>
      <c r="Q406" s="2">
        <f>International_Education_Costs[[#This Row],[Tuition_USD]]/International_Education_Costs[[#This Row],[Total_Cost]]</f>
        <v>0</v>
      </c>
    </row>
    <row r="407" spans="1:17" x14ac:dyDescent="0.25">
      <c r="A407" t="s">
        <v>21</v>
      </c>
      <c r="B407" t="s">
        <v>176</v>
      </c>
      <c r="C407" t="s">
        <v>177</v>
      </c>
      <c r="D407" t="s">
        <v>199</v>
      </c>
      <c r="E407" t="s">
        <v>16</v>
      </c>
      <c r="F407">
        <v>2</v>
      </c>
      <c r="G407" s="1">
        <v>42000</v>
      </c>
      <c r="H407">
        <v>71.2</v>
      </c>
      <c r="I407" s="1">
        <v>1600</v>
      </c>
      <c r="J407" s="1">
        <v>235</v>
      </c>
      <c r="K407" s="1">
        <v>750</v>
      </c>
      <c r="L407">
        <v>1.35</v>
      </c>
      <c r="M4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82135</v>
      </c>
      <c r="N407" s="1">
        <f>International_Education_Costs[[#This Row],[Total_Cost]]/International_Education_Costs[[#This Row],[Duration_Years]]</f>
        <v>41067.5</v>
      </c>
      <c r="O407" s="1">
        <f>International_Education_Costs[[#This Row],[Rent_USD]] * 12 * International_Education_Costs[[#This Row],[Duration_Years]]</f>
        <v>38400</v>
      </c>
      <c r="P407" s="1">
        <f>International_Education_Costs[[#This Row],[Total_Cost]]-International_Education_Costs[[#This Row],[Tuition_USD]]</f>
        <v>40135</v>
      </c>
      <c r="Q407" s="2">
        <f>International_Education_Costs[[#This Row],[Tuition_USD]]/International_Education_Costs[[#This Row],[Total_Cost]]</f>
        <v>0.51135325987703173</v>
      </c>
    </row>
    <row r="408" spans="1:17" x14ac:dyDescent="0.25">
      <c r="A408" t="s">
        <v>25</v>
      </c>
      <c r="B408" t="s">
        <v>179</v>
      </c>
      <c r="C408" t="s">
        <v>180</v>
      </c>
      <c r="D408" t="s">
        <v>626</v>
      </c>
      <c r="E408" t="s">
        <v>122</v>
      </c>
      <c r="F408">
        <v>4</v>
      </c>
      <c r="G408" s="1">
        <v>31000</v>
      </c>
      <c r="H408">
        <v>75.599999999999994</v>
      </c>
      <c r="I408" s="1">
        <v>1700</v>
      </c>
      <c r="J408" s="1">
        <v>450</v>
      </c>
      <c r="K408" s="1">
        <v>650</v>
      </c>
      <c r="L408">
        <v>1.52</v>
      </c>
      <c r="M4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115650</v>
      </c>
      <c r="N408" s="1">
        <f>International_Education_Costs[[#This Row],[Total_Cost]]/International_Education_Costs[[#This Row],[Duration_Years]]</f>
        <v>28912.5</v>
      </c>
      <c r="O408" s="1">
        <f>International_Education_Costs[[#This Row],[Rent_USD]] * 12 * International_Education_Costs[[#This Row],[Duration_Years]]</f>
        <v>81600</v>
      </c>
      <c r="P408" s="1">
        <f>International_Education_Costs[[#This Row],[Total_Cost]]-International_Education_Costs[[#This Row],[Tuition_USD]]</f>
        <v>84650</v>
      </c>
      <c r="Q408" s="2">
        <f>International_Education_Costs[[#This Row],[Tuition_USD]]/International_Education_Costs[[#This Row],[Total_Cost]]</f>
        <v>0.2680501513186338</v>
      </c>
    </row>
    <row r="409" spans="1:17" x14ac:dyDescent="0.25">
      <c r="A409" t="s">
        <v>12</v>
      </c>
      <c r="B409" t="s">
        <v>171</v>
      </c>
      <c r="C409" t="s">
        <v>172</v>
      </c>
      <c r="D409" t="s">
        <v>99</v>
      </c>
      <c r="E409" t="s">
        <v>16</v>
      </c>
      <c r="F409">
        <v>2</v>
      </c>
      <c r="G409" s="1">
        <v>54000</v>
      </c>
      <c r="H409">
        <v>83.2</v>
      </c>
      <c r="I409" s="1">
        <v>2000</v>
      </c>
      <c r="J409" s="1">
        <v>160</v>
      </c>
      <c r="K409" s="1">
        <v>1500</v>
      </c>
      <c r="L409">
        <v>1</v>
      </c>
      <c r="M4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105160</v>
      </c>
      <c r="N409" s="1">
        <f>International_Education_Costs[[#This Row],[Total_Cost]]/International_Education_Costs[[#This Row],[Duration_Years]]</f>
        <v>52580</v>
      </c>
      <c r="O409" s="1">
        <f>International_Education_Costs[[#This Row],[Rent_USD]] * 12 * International_Education_Costs[[#This Row],[Duration_Years]]</f>
        <v>48000</v>
      </c>
      <c r="P409" s="1">
        <f>International_Education_Costs[[#This Row],[Total_Cost]]-International_Education_Costs[[#This Row],[Tuition_USD]]</f>
        <v>51160</v>
      </c>
      <c r="Q409" s="2">
        <f>International_Education_Costs[[#This Row],[Tuition_USD]]/International_Education_Costs[[#This Row],[Total_Cost]]</f>
        <v>0.5135032331685051</v>
      </c>
    </row>
    <row r="410" spans="1:17" x14ac:dyDescent="0.25">
      <c r="A410" t="s">
        <v>17</v>
      </c>
      <c r="B410" t="s">
        <v>173</v>
      </c>
      <c r="C410" t="s">
        <v>174</v>
      </c>
      <c r="D410" t="s">
        <v>28</v>
      </c>
      <c r="E410" t="s">
        <v>75</v>
      </c>
      <c r="F410">
        <v>3</v>
      </c>
      <c r="G410" s="1">
        <v>35000</v>
      </c>
      <c r="H410">
        <v>65.400000000000006</v>
      </c>
      <c r="I410" s="1">
        <v>900</v>
      </c>
      <c r="J410" s="1">
        <v>485</v>
      </c>
      <c r="K410" s="1">
        <v>800</v>
      </c>
      <c r="L410">
        <v>0.79</v>
      </c>
      <c r="M4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70285</v>
      </c>
      <c r="N410" s="1">
        <f>International_Education_Costs[[#This Row],[Total_Cost]]/International_Education_Costs[[#This Row],[Duration_Years]]</f>
        <v>23428.333333333332</v>
      </c>
      <c r="O410" s="1">
        <f>International_Education_Costs[[#This Row],[Rent_USD]] * 12 * International_Education_Costs[[#This Row],[Duration_Years]]</f>
        <v>32400</v>
      </c>
      <c r="P410" s="1">
        <f>International_Education_Costs[[#This Row],[Total_Cost]]-International_Education_Costs[[#This Row],[Tuition_USD]]</f>
        <v>35285</v>
      </c>
      <c r="Q410" s="2">
        <f>International_Education_Costs[[#This Row],[Tuition_USD]]/International_Education_Costs[[#This Row],[Total_Cost]]</f>
        <v>0.49797254037134525</v>
      </c>
    </row>
    <row r="411" spans="1:17" x14ac:dyDescent="0.25">
      <c r="A411" t="s">
        <v>29</v>
      </c>
      <c r="B411" t="s">
        <v>250</v>
      </c>
      <c r="C411" t="s">
        <v>627</v>
      </c>
      <c r="D411" t="s">
        <v>51</v>
      </c>
      <c r="E411" t="s">
        <v>16</v>
      </c>
      <c r="F411">
        <v>2</v>
      </c>
      <c r="G411" s="1">
        <v>0</v>
      </c>
      <c r="H411">
        <v>69.8</v>
      </c>
      <c r="I411" s="1">
        <v>1100</v>
      </c>
      <c r="J411" s="1">
        <v>110</v>
      </c>
      <c r="K411" s="1">
        <v>900</v>
      </c>
      <c r="L411">
        <v>0.92</v>
      </c>
      <c r="M4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28310</v>
      </c>
      <c r="N411" s="1">
        <f>International_Education_Costs[[#This Row],[Total_Cost]]/International_Education_Costs[[#This Row],[Duration_Years]]</f>
        <v>14155</v>
      </c>
      <c r="O411" s="1">
        <f>International_Education_Costs[[#This Row],[Rent_USD]] * 12 * International_Education_Costs[[#This Row],[Duration_Years]]</f>
        <v>26400</v>
      </c>
      <c r="P411" s="1">
        <f>International_Education_Costs[[#This Row],[Total_Cost]]-International_Education_Costs[[#This Row],[Tuition_USD]]</f>
        <v>28310</v>
      </c>
      <c r="Q411" s="2">
        <f>International_Education_Costs[[#This Row],[Tuition_USD]]/International_Education_Costs[[#This Row],[Total_Cost]]</f>
        <v>0</v>
      </c>
    </row>
    <row r="412" spans="1:17" x14ac:dyDescent="0.25">
      <c r="A412" t="s">
        <v>21</v>
      </c>
      <c r="B412" t="s">
        <v>592</v>
      </c>
      <c r="C412" t="s">
        <v>593</v>
      </c>
      <c r="D412" t="s">
        <v>15</v>
      </c>
      <c r="E412" t="s">
        <v>122</v>
      </c>
      <c r="F412">
        <v>4</v>
      </c>
      <c r="G412" s="1">
        <v>38000</v>
      </c>
      <c r="H412">
        <v>68.900000000000006</v>
      </c>
      <c r="I412" s="1">
        <v>1400</v>
      </c>
      <c r="J412" s="1">
        <v>235</v>
      </c>
      <c r="K412" s="1">
        <v>750</v>
      </c>
      <c r="L412">
        <v>1.35</v>
      </c>
      <c r="M4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108435</v>
      </c>
      <c r="N412" s="1">
        <f>International_Education_Costs[[#This Row],[Total_Cost]]/International_Education_Costs[[#This Row],[Duration_Years]]</f>
        <v>27108.75</v>
      </c>
      <c r="O412" s="1">
        <f>International_Education_Costs[[#This Row],[Rent_USD]] * 12 * International_Education_Costs[[#This Row],[Duration_Years]]</f>
        <v>67200</v>
      </c>
      <c r="P412" s="1">
        <f>International_Education_Costs[[#This Row],[Total_Cost]]-International_Education_Costs[[#This Row],[Tuition_USD]]</f>
        <v>70435</v>
      </c>
      <c r="Q412" s="2">
        <f>International_Education_Costs[[#This Row],[Tuition_USD]]/International_Education_Costs[[#This Row],[Total_Cost]]</f>
        <v>0.35044035597362477</v>
      </c>
    </row>
    <row r="413" spans="1:17" x14ac:dyDescent="0.25">
      <c r="A413" t="s">
        <v>25</v>
      </c>
      <c r="B413" t="s">
        <v>609</v>
      </c>
      <c r="C413" t="s">
        <v>610</v>
      </c>
      <c r="D413" t="s">
        <v>20</v>
      </c>
      <c r="E413" t="s">
        <v>16</v>
      </c>
      <c r="F413">
        <v>2</v>
      </c>
      <c r="G413" s="1">
        <v>32000</v>
      </c>
      <c r="H413">
        <v>68.7</v>
      </c>
      <c r="I413" s="1">
        <v>1200</v>
      </c>
      <c r="J413" s="1">
        <v>450</v>
      </c>
      <c r="K413" s="1">
        <v>650</v>
      </c>
      <c r="L413">
        <v>1.52</v>
      </c>
      <c r="M4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62550</v>
      </c>
      <c r="N413" s="1">
        <f>International_Education_Costs[[#This Row],[Total_Cost]]/International_Education_Costs[[#This Row],[Duration_Years]]</f>
        <v>31275</v>
      </c>
      <c r="O413" s="1">
        <f>International_Education_Costs[[#This Row],[Rent_USD]] * 12 * International_Education_Costs[[#This Row],[Duration_Years]]</f>
        <v>28800</v>
      </c>
      <c r="P413" s="1">
        <f>International_Education_Costs[[#This Row],[Total_Cost]]-International_Education_Costs[[#This Row],[Tuition_USD]]</f>
        <v>30550</v>
      </c>
      <c r="Q413" s="2">
        <f>International_Education_Costs[[#This Row],[Tuition_USD]]/International_Education_Costs[[#This Row],[Total_Cost]]</f>
        <v>0.51159072741806555</v>
      </c>
    </row>
    <row r="414" spans="1:17" x14ac:dyDescent="0.25">
      <c r="A414" t="s">
        <v>12</v>
      </c>
      <c r="B414" t="s">
        <v>357</v>
      </c>
      <c r="C414" t="s">
        <v>358</v>
      </c>
      <c r="D414" t="s">
        <v>175</v>
      </c>
      <c r="E414" t="s">
        <v>16</v>
      </c>
      <c r="F414">
        <v>2</v>
      </c>
      <c r="G414" s="1">
        <v>62000</v>
      </c>
      <c r="H414">
        <v>100</v>
      </c>
      <c r="I414" s="1">
        <v>2500</v>
      </c>
      <c r="J414" s="1">
        <v>160</v>
      </c>
      <c r="K414" s="1">
        <v>1500</v>
      </c>
      <c r="L414">
        <v>1</v>
      </c>
      <c r="M4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125160</v>
      </c>
      <c r="N414" s="1">
        <f>International_Education_Costs[[#This Row],[Total_Cost]]/International_Education_Costs[[#This Row],[Duration_Years]]</f>
        <v>62580</v>
      </c>
      <c r="O414" s="1">
        <f>International_Education_Costs[[#This Row],[Rent_USD]] * 12 * International_Education_Costs[[#This Row],[Duration_Years]]</f>
        <v>60000</v>
      </c>
      <c r="P414" s="1">
        <f>International_Education_Costs[[#This Row],[Total_Cost]]-International_Education_Costs[[#This Row],[Tuition_USD]]</f>
        <v>63160</v>
      </c>
      <c r="Q414" s="2">
        <f>International_Education_Costs[[#This Row],[Tuition_USD]]/International_Education_Costs[[#This Row],[Total_Cost]]</f>
        <v>0.49536593160754233</v>
      </c>
    </row>
    <row r="415" spans="1:17" x14ac:dyDescent="0.25">
      <c r="A415" t="s">
        <v>17</v>
      </c>
      <c r="B415" t="s">
        <v>126</v>
      </c>
      <c r="C415" t="s">
        <v>127</v>
      </c>
      <c r="D415" t="s">
        <v>15</v>
      </c>
      <c r="E415" t="s">
        <v>122</v>
      </c>
      <c r="F415">
        <v>4</v>
      </c>
      <c r="G415" s="1">
        <v>40000</v>
      </c>
      <c r="H415">
        <v>71.5</v>
      </c>
      <c r="I415" s="1">
        <v>1400</v>
      </c>
      <c r="J415" s="1">
        <v>485</v>
      </c>
      <c r="K415" s="1">
        <v>800</v>
      </c>
      <c r="L415">
        <v>0.79</v>
      </c>
      <c r="M4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110885</v>
      </c>
      <c r="N415" s="1">
        <f>International_Education_Costs[[#This Row],[Total_Cost]]/International_Education_Costs[[#This Row],[Duration_Years]]</f>
        <v>27721.25</v>
      </c>
      <c r="O415" s="1">
        <f>International_Education_Costs[[#This Row],[Rent_USD]] * 12 * International_Education_Costs[[#This Row],[Duration_Years]]</f>
        <v>67200</v>
      </c>
      <c r="P415" s="1">
        <f>International_Education_Costs[[#This Row],[Total_Cost]]-International_Education_Costs[[#This Row],[Tuition_USD]]</f>
        <v>70885</v>
      </c>
      <c r="Q415" s="2">
        <f>International_Education_Costs[[#This Row],[Tuition_USD]]/International_Education_Costs[[#This Row],[Total_Cost]]</f>
        <v>0.36073409388104793</v>
      </c>
    </row>
    <row r="416" spans="1:17" x14ac:dyDescent="0.25">
      <c r="A416" t="s">
        <v>29</v>
      </c>
      <c r="B416" t="s">
        <v>246</v>
      </c>
      <c r="C416" t="s">
        <v>247</v>
      </c>
      <c r="D416" t="s">
        <v>32</v>
      </c>
      <c r="E416" t="s">
        <v>75</v>
      </c>
      <c r="F416">
        <v>3</v>
      </c>
      <c r="G416" s="1">
        <v>0</v>
      </c>
      <c r="H416">
        <v>65.400000000000006</v>
      </c>
      <c r="I416" s="1">
        <v>800</v>
      </c>
      <c r="J416" s="1">
        <v>110</v>
      </c>
      <c r="K416" s="1">
        <v>900</v>
      </c>
      <c r="L416">
        <v>0.92</v>
      </c>
      <c r="M4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31610</v>
      </c>
      <c r="N416" s="1">
        <f>International_Education_Costs[[#This Row],[Total_Cost]]/International_Education_Costs[[#This Row],[Duration_Years]]</f>
        <v>10536.666666666666</v>
      </c>
      <c r="O416" s="1">
        <f>International_Education_Costs[[#This Row],[Rent_USD]] * 12 * International_Education_Costs[[#This Row],[Duration_Years]]</f>
        <v>28800</v>
      </c>
      <c r="P416" s="1">
        <f>International_Education_Costs[[#This Row],[Total_Cost]]-International_Education_Costs[[#This Row],[Tuition_USD]]</f>
        <v>31610</v>
      </c>
      <c r="Q416" s="2">
        <f>International_Education_Costs[[#This Row],[Tuition_USD]]/International_Education_Costs[[#This Row],[Total_Cost]]</f>
        <v>0</v>
      </c>
    </row>
    <row r="417" spans="1:17" x14ac:dyDescent="0.25">
      <c r="A417" t="s">
        <v>21</v>
      </c>
      <c r="B417" t="s">
        <v>100</v>
      </c>
      <c r="C417" t="s">
        <v>101</v>
      </c>
      <c r="D417" t="s">
        <v>40</v>
      </c>
      <c r="E417" t="s">
        <v>16</v>
      </c>
      <c r="F417">
        <v>2</v>
      </c>
      <c r="G417" s="1">
        <v>40000</v>
      </c>
      <c r="H417">
        <v>67.8</v>
      </c>
      <c r="I417" s="1">
        <v>1300</v>
      </c>
      <c r="J417" s="1">
        <v>235</v>
      </c>
      <c r="K417" s="1">
        <v>750</v>
      </c>
      <c r="L417">
        <v>1.35</v>
      </c>
      <c r="M4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72935</v>
      </c>
      <c r="N417" s="1">
        <f>International_Education_Costs[[#This Row],[Total_Cost]]/International_Education_Costs[[#This Row],[Duration_Years]]</f>
        <v>36467.5</v>
      </c>
      <c r="O417" s="1">
        <f>International_Education_Costs[[#This Row],[Rent_USD]] * 12 * International_Education_Costs[[#This Row],[Duration_Years]]</f>
        <v>31200</v>
      </c>
      <c r="P417" s="1">
        <f>International_Education_Costs[[#This Row],[Total_Cost]]-International_Education_Costs[[#This Row],[Tuition_USD]]</f>
        <v>32935</v>
      </c>
      <c r="Q417" s="2">
        <f>International_Education_Costs[[#This Row],[Tuition_USD]]/International_Education_Costs[[#This Row],[Total_Cost]]</f>
        <v>0.54843353671076989</v>
      </c>
    </row>
    <row r="418" spans="1:17" x14ac:dyDescent="0.25">
      <c r="A418" t="s">
        <v>25</v>
      </c>
      <c r="B418" t="s">
        <v>226</v>
      </c>
      <c r="C418" t="s">
        <v>227</v>
      </c>
      <c r="D418" t="s">
        <v>51</v>
      </c>
      <c r="E418" t="s">
        <v>16</v>
      </c>
      <c r="F418">
        <v>2</v>
      </c>
      <c r="G418" s="1">
        <v>30000</v>
      </c>
      <c r="H418">
        <v>67.2</v>
      </c>
      <c r="I418" s="1">
        <v>1100</v>
      </c>
      <c r="J418" s="1">
        <v>450</v>
      </c>
      <c r="K418" s="1">
        <v>650</v>
      </c>
      <c r="L418">
        <v>1.52</v>
      </c>
      <c r="M4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58150</v>
      </c>
      <c r="N418" s="1">
        <f>International_Education_Costs[[#This Row],[Total_Cost]]/International_Education_Costs[[#This Row],[Duration_Years]]</f>
        <v>29075</v>
      </c>
      <c r="O418" s="1">
        <f>International_Education_Costs[[#This Row],[Rent_USD]] * 12 * International_Education_Costs[[#This Row],[Duration_Years]]</f>
        <v>26400</v>
      </c>
      <c r="P418" s="1">
        <f>International_Education_Costs[[#This Row],[Total_Cost]]-International_Education_Costs[[#This Row],[Tuition_USD]]</f>
        <v>28150</v>
      </c>
      <c r="Q418" s="2">
        <f>International_Education_Costs[[#This Row],[Tuition_USD]]/International_Education_Costs[[#This Row],[Total_Cost]]</f>
        <v>0.51590713671539123</v>
      </c>
    </row>
    <row r="419" spans="1:17" x14ac:dyDescent="0.25">
      <c r="A419" t="s">
        <v>12</v>
      </c>
      <c r="B419" t="s">
        <v>91</v>
      </c>
      <c r="C419" t="s">
        <v>92</v>
      </c>
      <c r="D419" t="s">
        <v>28</v>
      </c>
      <c r="E419" t="s">
        <v>122</v>
      </c>
      <c r="F419">
        <v>5</v>
      </c>
      <c r="G419" s="1">
        <v>48000</v>
      </c>
      <c r="H419">
        <v>71.2</v>
      </c>
      <c r="I419" s="1">
        <v>1700</v>
      </c>
      <c r="J419" s="1">
        <v>160</v>
      </c>
      <c r="K419" s="1">
        <v>1500</v>
      </c>
      <c r="L419">
        <v>1</v>
      </c>
      <c r="M4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157660</v>
      </c>
      <c r="N419" s="1">
        <f>International_Education_Costs[[#This Row],[Total_Cost]]/International_Education_Costs[[#This Row],[Duration_Years]]</f>
        <v>31532</v>
      </c>
      <c r="O419" s="1">
        <f>International_Education_Costs[[#This Row],[Rent_USD]] * 12 * International_Education_Costs[[#This Row],[Duration_Years]]</f>
        <v>102000</v>
      </c>
      <c r="P419" s="1">
        <f>International_Education_Costs[[#This Row],[Total_Cost]]-International_Education_Costs[[#This Row],[Tuition_USD]]</f>
        <v>109660</v>
      </c>
      <c r="Q419" s="2">
        <f>International_Education_Costs[[#This Row],[Tuition_USD]]/International_Education_Costs[[#This Row],[Total_Cost]]</f>
        <v>0.30445261956108083</v>
      </c>
    </row>
    <row r="420" spans="1:17" x14ac:dyDescent="0.25">
      <c r="A420" t="s">
        <v>17</v>
      </c>
      <c r="B420" t="s">
        <v>97</v>
      </c>
      <c r="C420" t="s">
        <v>98</v>
      </c>
      <c r="D420" t="s">
        <v>20</v>
      </c>
      <c r="E420" t="s">
        <v>16</v>
      </c>
      <c r="F420">
        <v>2</v>
      </c>
      <c r="G420" s="1">
        <v>36000</v>
      </c>
      <c r="H420">
        <v>68.900000000000006</v>
      </c>
      <c r="I420" s="1">
        <v>1200</v>
      </c>
      <c r="J420" s="1">
        <v>485</v>
      </c>
      <c r="K420" s="1">
        <v>800</v>
      </c>
      <c r="L420">
        <v>0.79</v>
      </c>
      <c r="M4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66885</v>
      </c>
      <c r="N420" s="1">
        <f>International_Education_Costs[[#This Row],[Total_Cost]]/International_Education_Costs[[#This Row],[Duration_Years]]</f>
        <v>33442.5</v>
      </c>
      <c r="O420" s="1">
        <f>International_Education_Costs[[#This Row],[Rent_USD]] * 12 * International_Education_Costs[[#This Row],[Duration_Years]]</f>
        <v>28800</v>
      </c>
      <c r="P420" s="1">
        <f>International_Education_Costs[[#This Row],[Total_Cost]]-International_Education_Costs[[#This Row],[Tuition_USD]]</f>
        <v>30885</v>
      </c>
      <c r="Q420" s="2">
        <f>International_Education_Costs[[#This Row],[Tuition_USD]]/International_Education_Costs[[#This Row],[Total_Cost]]</f>
        <v>0.53823727293115053</v>
      </c>
    </row>
    <row r="421" spans="1:17" x14ac:dyDescent="0.25">
      <c r="A421" t="s">
        <v>29</v>
      </c>
      <c r="B421" t="s">
        <v>628</v>
      </c>
      <c r="C421" t="s">
        <v>629</v>
      </c>
      <c r="D421" t="s">
        <v>15</v>
      </c>
      <c r="E421" t="s">
        <v>16</v>
      </c>
      <c r="F421">
        <v>2</v>
      </c>
      <c r="G421" s="1">
        <v>0</v>
      </c>
      <c r="H421">
        <v>72.3</v>
      </c>
      <c r="I421" s="1">
        <v>1300</v>
      </c>
      <c r="J421" s="1">
        <v>110</v>
      </c>
      <c r="K421" s="1">
        <v>900</v>
      </c>
      <c r="L421">
        <v>0.92</v>
      </c>
      <c r="M4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33110</v>
      </c>
      <c r="N421" s="1">
        <f>International_Education_Costs[[#This Row],[Total_Cost]]/International_Education_Costs[[#This Row],[Duration_Years]]</f>
        <v>16555</v>
      </c>
      <c r="O421" s="1">
        <f>International_Education_Costs[[#This Row],[Rent_USD]] * 12 * International_Education_Costs[[#This Row],[Duration_Years]]</f>
        <v>31200</v>
      </c>
      <c r="P421" s="1">
        <f>International_Education_Costs[[#This Row],[Total_Cost]]-International_Education_Costs[[#This Row],[Tuition_USD]]</f>
        <v>33110</v>
      </c>
      <c r="Q421" s="2">
        <f>International_Education_Costs[[#This Row],[Tuition_USD]]/International_Education_Costs[[#This Row],[Total_Cost]]</f>
        <v>0</v>
      </c>
    </row>
    <row r="422" spans="1:17" x14ac:dyDescent="0.25">
      <c r="A422" t="s">
        <v>21</v>
      </c>
      <c r="B422" t="s">
        <v>333</v>
      </c>
      <c r="C422" t="s">
        <v>334</v>
      </c>
      <c r="D422" t="s">
        <v>99</v>
      </c>
      <c r="E422" t="s">
        <v>75</v>
      </c>
      <c r="F422">
        <v>4</v>
      </c>
      <c r="G422" s="1">
        <v>35000</v>
      </c>
      <c r="H422">
        <v>65.400000000000006</v>
      </c>
      <c r="I422" s="1">
        <v>1200</v>
      </c>
      <c r="J422" s="1">
        <v>235</v>
      </c>
      <c r="K422" s="1">
        <v>750</v>
      </c>
      <c r="L422">
        <v>1.35</v>
      </c>
      <c r="M4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95835</v>
      </c>
      <c r="N422" s="1">
        <f>International_Education_Costs[[#This Row],[Total_Cost]]/International_Education_Costs[[#This Row],[Duration_Years]]</f>
        <v>23958.75</v>
      </c>
      <c r="O422" s="1">
        <f>International_Education_Costs[[#This Row],[Rent_USD]] * 12 * International_Education_Costs[[#This Row],[Duration_Years]]</f>
        <v>57600</v>
      </c>
      <c r="P422" s="1">
        <f>International_Education_Costs[[#This Row],[Total_Cost]]-International_Education_Costs[[#This Row],[Tuition_USD]]</f>
        <v>60835</v>
      </c>
      <c r="Q422" s="2">
        <f>International_Education_Costs[[#This Row],[Tuition_USD]]/International_Education_Costs[[#This Row],[Total_Cost]]</f>
        <v>0.36521103980800335</v>
      </c>
    </row>
    <row r="423" spans="1:17" x14ac:dyDescent="0.25">
      <c r="A423" t="s">
        <v>25</v>
      </c>
      <c r="B423" t="s">
        <v>224</v>
      </c>
      <c r="C423" t="s">
        <v>225</v>
      </c>
      <c r="D423" t="s">
        <v>624</v>
      </c>
      <c r="E423" t="s">
        <v>122</v>
      </c>
      <c r="F423">
        <v>4</v>
      </c>
      <c r="G423" s="1">
        <v>28000</v>
      </c>
      <c r="H423">
        <v>64.5</v>
      </c>
      <c r="I423" s="1">
        <v>1000</v>
      </c>
      <c r="J423" s="1">
        <v>450</v>
      </c>
      <c r="K423" s="1">
        <v>650</v>
      </c>
      <c r="L423">
        <v>1.52</v>
      </c>
      <c r="M4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79050</v>
      </c>
      <c r="N423" s="1">
        <f>International_Education_Costs[[#This Row],[Total_Cost]]/International_Education_Costs[[#This Row],[Duration_Years]]</f>
        <v>19762.5</v>
      </c>
      <c r="O423" s="1">
        <f>International_Education_Costs[[#This Row],[Rent_USD]] * 12 * International_Education_Costs[[#This Row],[Duration_Years]]</f>
        <v>48000</v>
      </c>
      <c r="P423" s="1">
        <f>International_Education_Costs[[#This Row],[Total_Cost]]-International_Education_Costs[[#This Row],[Tuition_USD]]</f>
        <v>51050</v>
      </c>
      <c r="Q423" s="2">
        <f>International_Education_Costs[[#This Row],[Tuition_USD]]/International_Education_Costs[[#This Row],[Total_Cost]]</f>
        <v>0.35420619860847563</v>
      </c>
    </row>
    <row r="424" spans="1:17" x14ac:dyDescent="0.25">
      <c r="A424" t="s">
        <v>12</v>
      </c>
      <c r="B424" t="s">
        <v>506</v>
      </c>
      <c r="C424" t="s">
        <v>507</v>
      </c>
      <c r="D424" t="s">
        <v>15</v>
      </c>
      <c r="E424" t="s">
        <v>16</v>
      </c>
      <c r="F424">
        <v>2</v>
      </c>
      <c r="G424" s="1">
        <v>52000</v>
      </c>
      <c r="H424">
        <v>79.8</v>
      </c>
      <c r="I424" s="1">
        <v>2200</v>
      </c>
      <c r="J424" s="1">
        <v>160</v>
      </c>
      <c r="K424" s="1">
        <v>1500</v>
      </c>
      <c r="L424">
        <v>1</v>
      </c>
      <c r="M4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107960</v>
      </c>
      <c r="N424" s="1">
        <f>International_Education_Costs[[#This Row],[Total_Cost]]/International_Education_Costs[[#This Row],[Duration_Years]]</f>
        <v>53980</v>
      </c>
      <c r="O424" s="1">
        <f>International_Education_Costs[[#This Row],[Rent_USD]] * 12 * International_Education_Costs[[#This Row],[Duration_Years]]</f>
        <v>52800</v>
      </c>
      <c r="P424" s="1">
        <f>International_Education_Costs[[#This Row],[Total_Cost]]-International_Education_Costs[[#This Row],[Tuition_USD]]</f>
        <v>55960</v>
      </c>
      <c r="Q424" s="2">
        <f>International_Education_Costs[[#This Row],[Tuition_USD]]/International_Education_Costs[[#This Row],[Total_Cost]]</f>
        <v>0.48165987402741756</v>
      </c>
    </row>
    <row r="425" spans="1:17" x14ac:dyDescent="0.25">
      <c r="A425" t="s">
        <v>17</v>
      </c>
      <c r="B425" t="s">
        <v>154</v>
      </c>
      <c r="C425" t="s">
        <v>155</v>
      </c>
      <c r="D425" t="s">
        <v>51</v>
      </c>
      <c r="E425" t="s">
        <v>75</v>
      </c>
      <c r="F425">
        <v>3</v>
      </c>
      <c r="G425" s="1">
        <v>34000</v>
      </c>
      <c r="H425">
        <v>64.5</v>
      </c>
      <c r="I425" s="1">
        <v>950</v>
      </c>
      <c r="J425" s="1">
        <v>485</v>
      </c>
      <c r="K425" s="1">
        <v>800</v>
      </c>
      <c r="L425">
        <v>0.79</v>
      </c>
      <c r="M4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71085</v>
      </c>
      <c r="N425" s="1">
        <f>International_Education_Costs[[#This Row],[Total_Cost]]/International_Education_Costs[[#This Row],[Duration_Years]]</f>
        <v>23695</v>
      </c>
      <c r="O425" s="1">
        <f>International_Education_Costs[[#This Row],[Rent_USD]] * 12 * International_Education_Costs[[#This Row],[Duration_Years]]</f>
        <v>34200</v>
      </c>
      <c r="P425" s="1">
        <f>International_Education_Costs[[#This Row],[Total_Cost]]-International_Education_Costs[[#This Row],[Tuition_USD]]</f>
        <v>37085</v>
      </c>
      <c r="Q425" s="2">
        <f>International_Education_Costs[[#This Row],[Tuition_USD]]/International_Education_Costs[[#This Row],[Total_Cost]]</f>
        <v>0.47830062601111345</v>
      </c>
    </row>
    <row r="426" spans="1:17" x14ac:dyDescent="0.25">
      <c r="A426" t="s">
        <v>29</v>
      </c>
      <c r="B426" t="s">
        <v>248</v>
      </c>
      <c r="C426" t="s">
        <v>249</v>
      </c>
      <c r="D426" t="s">
        <v>28</v>
      </c>
      <c r="E426" t="s">
        <v>16</v>
      </c>
      <c r="F426">
        <v>2</v>
      </c>
      <c r="G426" s="1">
        <v>0</v>
      </c>
      <c r="H426">
        <v>68.7</v>
      </c>
      <c r="I426" s="1">
        <v>1100</v>
      </c>
      <c r="J426" s="1">
        <v>110</v>
      </c>
      <c r="K426" s="1">
        <v>900</v>
      </c>
      <c r="L426">
        <v>0.92</v>
      </c>
      <c r="M4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28310</v>
      </c>
      <c r="N426" s="1">
        <f>International_Education_Costs[[#This Row],[Total_Cost]]/International_Education_Costs[[#This Row],[Duration_Years]]</f>
        <v>14155</v>
      </c>
      <c r="O426" s="1">
        <f>International_Education_Costs[[#This Row],[Rent_USD]] * 12 * International_Education_Costs[[#This Row],[Duration_Years]]</f>
        <v>26400</v>
      </c>
      <c r="P426" s="1">
        <f>International_Education_Costs[[#This Row],[Total_Cost]]-International_Education_Costs[[#This Row],[Tuition_USD]]</f>
        <v>28310</v>
      </c>
      <c r="Q426" s="2">
        <f>International_Education_Costs[[#This Row],[Tuition_USD]]/International_Education_Costs[[#This Row],[Total_Cost]]</f>
        <v>0</v>
      </c>
    </row>
    <row r="427" spans="1:17" x14ac:dyDescent="0.25">
      <c r="A427" t="s">
        <v>21</v>
      </c>
      <c r="B427" t="s">
        <v>152</v>
      </c>
      <c r="C427" t="s">
        <v>153</v>
      </c>
      <c r="D427" t="s">
        <v>20</v>
      </c>
      <c r="E427" t="s">
        <v>16</v>
      </c>
      <c r="F427">
        <v>2</v>
      </c>
      <c r="G427" s="1">
        <v>37000</v>
      </c>
      <c r="H427">
        <v>64.3</v>
      </c>
      <c r="I427" s="1">
        <v>1100</v>
      </c>
      <c r="J427" s="1">
        <v>235</v>
      </c>
      <c r="K427" s="1">
        <v>750</v>
      </c>
      <c r="L427">
        <v>1.35</v>
      </c>
      <c r="M4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65135</v>
      </c>
      <c r="N427" s="1">
        <f>International_Education_Costs[[#This Row],[Total_Cost]]/International_Education_Costs[[#This Row],[Duration_Years]]</f>
        <v>32567.5</v>
      </c>
      <c r="O427" s="1">
        <f>International_Education_Costs[[#This Row],[Rent_USD]] * 12 * International_Education_Costs[[#This Row],[Duration_Years]]</f>
        <v>26400</v>
      </c>
      <c r="P427" s="1">
        <f>International_Education_Costs[[#This Row],[Total_Cost]]-International_Education_Costs[[#This Row],[Tuition_USD]]</f>
        <v>28135</v>
      </c>
      <c r="Q427" s="2">
        <f>International_Education_Costs[[#This Row],[Tuition_USD]]/International_Education_Costs[[#This Row],[Total_Cost]]</f>
        <v>0.56805097106010594</v>
      </c>
    </row>
    <row r="428" spans="1:17" x14ac:dyDescent="0.25">
      <c r="A428" t="s">
        <v>25</v>
      </c>
      <c r="B428" t="s">
        <v>142</v>
      </c>
      <c r="C428" t="s">
        <v>143</v>
      </c>
      <c r="D428" t="s">
        <v>15</v>
      </c>
      <c r="E428" t="s">
        <v>122</v>
      </c>
      <c r="F428">
        <v>4</v>
      </c>
      <c r="G428" s="1">
        <v>33000</v>
      </c>
      <c r="H428">
        <v>69.8</v>
      </c>
      <c r="I428" s="1">
        <v>1300</v>
      </c>
      <c r="J428" s="1">
        <v>450</v>
      </c>
      <c r="K428" s="1">
        <v>650</v>
      </c>
      <c r="L428">
        <v>1.52</v>
      </c>
      <c r="M4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98450</v>
      </c>
      <c r="N428" s="1">
        <f>International_Education_Costs[[#This Row],[Total_Cost]]/International_Education_Costs[[#This Row],[Duration_Years]]</f>
        <v>24612.5</v>
      </c>
      <c r="O428" s="1">
        <f>International_Education_Costs[[#This Row],[Rent_USD]] * 12 * International_Education_Costs[[#This Row],[Duration_Years]]</f>
        <v>62400</v>
      </c>
      <c r="P428" s="1">
        <f>International_Education_Costs[[#This Row],[Total_Cost]]-International_Education_Costs[[#This Row],[Tuition_USD]]</f>
        <v>65450</v>
      </c>
      <c r="Q428" s="2">
        <f>International_Education_Costs[[#This Row],[Tuition_USD]]/International_Education_Costs[[#This Row],[Total_Cost]]</f>
        <v>0.33519553072625696</v>
      </c>
    </row>
    <row r="429" spans="1:17" x14ac:dyDescent="0.25">
      <c r="A429" t="s">
        <v>12</v>
      </c>
      <c r="B429" t="s">
        <v>94</v>
      </c>
      <c r="C429" t="s">
        <v>95</v>
      </c>
      <c r="D429" t="s">
        <v>99</v>
      </c>
      <c r="E429" t="s">
        <v>16</v>
      </c>
      <c r="F429">
        <v>2</v>
      </c>
      <c r="G429" s="1">
        <v>45000</v>
      </c>
      <c r="H429">
        <v>68.900000000000006</v>
      </c>
      <c r="I429" s="1">
        <v>1600</v>
      </c>
      <c r="J429" s="1">
        <v>160</v>
      </c>
      <c r="K429" s="1">
        <v>1500</v>
      </c>
      <c r="L429">
        <v>1</v>
      </c>
      <c r="M4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86560</v>
      </c>
      <c r="N429" s="1">
        <f>International_Education_Costs[[#This Row],[Total_Cost]]/International_Education_Costs[[#This Row],[Duration_Years]]</f>
        <v>43280</v>
      </c>
      <c r="O429" s="1">
        <f>International_Education_Costs[[#This Row],[Rent_USD]] * 12 * International_Education_Costs[[#This Row],[Duration_Years]]</f>
        <v>38400</v>
      </c>
      <c r="P429" s="1">
        <f>International_Education_Costs[[#This Row],[Total_Cost]]-International_Education_Costs[[#This Row],[Tuition_USD]]</f>
        <v>41560</v>
      </c>
      <c r="Q429" s="2">
        <f>International_Education_Costs[[#This Row],[Tuition_USD]]/International_Education_Costs[[#This Row],[Total_Cost]]</f>
        <v>0.51987060998151569</v>
      </c>
    </row>
    <row r="430" spans="1:17" x14ac:dyDescent="0.25">
      <c r="A430" t="s">
        <v>17</v>
      </c>
      <c r="B430" t="s">
        <v>291</v>
      </c>
      <c r="C430" t="s">
        <v>292</v>
      </c>
      <c r="D430" t="s">
        <v>624</v>
      </c>
      <c r="E430" t="s">
        <v>122</v>
      </c>
      <c r="F430">
        <v>4</v>
      </c>
      <c r="G430" s="1">
        <v>35000</v>
      </c>
      <c r="H430">
        <v>63.2</v>
      </c>
      <c r="I430" s="1">
        <v>900</v>
      </c>
      <c r="J430" s="1">
        <v>485</v>
      </c>
      <c r="K430" s="1">
        <v>800</v>
      </c>
      <c r="L430">
        <v>0.79</v>
      </c>
      <c r="M4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81885</v>
      </c>
      <c r="N430" s="1">
        <f>International_Education_Costs[[#This Row],[Total_Cost]]/International_Education_Costs[[#This Row],[Duration_Years]]</f>
        <v>20471.25</v>
      </c>
      <c r="O430" s="1">
        <f>International_Education_Costs[[#This Row],[Rent_USD]] * 12 * International_Education_Costs[[#This Row],[Duration_Years]]</f>
        <v>43200</v>
      </c>
      <c r="P430" s="1">
        <f>International_Education_Costs[[#This Row],[Total_Cost]]-International_Education_Costs[[#This Row],[Tuition_USD]]</f>
        <v>46885</v>
      </c>
      <c r="Q430" s="2">
        <f>International_Education_Costs[[#This Row],[Tuition_USD]]/International_Education_Costs[[#This Row],[Total_Cost]]</f>
        <v>0.42742871099713015</v>
      </c>
    </row>
    <row r="431" spans="1:17" x14ac:dyDescent="0.25">
      <c r="A431" t="s">
        <v>29</v>
      </c>
      <c r="B431" t="s">
        <v>129</v>
      </c>
      <c r="C431" t="s">
        <v>130</v>
      </c>
      <c r="D431" t="s">
        <v>51</v>
      </c>
      <c r="E431" t="s">
        <v>75</v>
      </c>
      <c r="F431">
        <v>3</v>
      </c>
      <c r="G431" s="1">
        <v>0</v>
      </c>
      <c r="H431">
        <v>67.8</v>
      </c>
      <c r="I431" s="1">
        <v>1000</v>
      </c>
      <c r="J431" s="1">
        <v>110</v>
      </c>
      <c r="K431" s="1">
        <v>900</v>
      </c>
      <c r="L431">
        <v>0.92</v>
      </c>
      <c r="M4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38810</v>
      </c>
      <c r="N431" s="1">
        <f>International_Education_Costs[[#This Row],[Total_Cost]]/International_Education_Costs[[#This Row],[Duration_Years]]</f>
        <v>12936.666666666666</v>
      </c>
      <c r="O431" s="1">
        <f>International_Education_Costs[[#This Row],[Rent_USD]] * 12 * International_Education_Costs[[#This Row],[Duration_Years]]</f>
        <v>36000</v>
      </c>
      <c r="P431" s="1">
        <f>International_Education_Costs[[#This Row],[Total_Cost]]-International_Education_Costs[[#This Row],[Tuition_USD]]</f>
        <v>38810</v>
      </c>
      <c r="Q431" s="2">
        <f>International_Education_Costs[[#This Row],[Tuition_USD]]/International_Education_Costs[[#This Row],[Total_Cost]]</f>
        <v>0</v>
      </c>
    </row>
    <row r="432" spans="1:17" x14ac:dyDescent="0.25">
      <c r="A432" t="s">
        <v>21</v>
      </c>
      <c r="B432" t="s">
        <v>314</v>
      </c>
      <c r="C432" t="s">
        <v>315</v>
      </c>
      <c r="D432" t="s">
        <v>28</v>
      </c>
      <c r="E432" t="s">
        <v>16</v>
      </c>
      <c r="F432">
        <v>2</v>
      </c>
      <c r="G432" s="1">
        <v>36000</v>
      </c>
      <c r="H432">
        <v>63.4</v>
      </c>
      <c r="I432" s="1">
        <v>1000</v>
      </c>
      <c r="J432" s="1">
        <v>235</v>
      </c>
      <c r="K432" s="1">
        <v>750</v>
      </c>
      <c r="L432">
        <v>1.35</v>
      </c>
      <c r="M4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61735</v>
      </c>
      <c r="N432" s="1">
        <f>International_Education_Costs[[#This Row],[Total_Cost]]/International_Education_Costs[[#This Row],[Duration_Years]]</f>
        <v>30867.5</v>
      </c>
      <c r="O432" s="1">
        <f>International_Education_Costs[[#This Row],[Rent_USD]] * 12 * International_Education_Costs[[#This Row],[Duration_Years]]</f>
        <v>24000</v>
      </c>
      <c r="P432" s="1">
        <f>International_Education_Costs[[#This Row],[Total_Cost]]-International_Education_Costs[[#This Row],[Tuition_USD]]</f>
        <v>25735</v>
      </c>
      <c r="Q432" s="2">
        <f>International_Education_Costs[[#This Row],[Tuition_USD]]/International_Education_Costs[[#This Row],[Total_Cost]]</f>
        <v>0.58313760427634243</v>
      </c>
    </row>
    <row r="433" spans="1:17" x14ac:dyDescent="0.25">
      <c r="A433" t="s">
        <v>25</v>
      </c>
      <c r="B433" t="s">
        <v>228</v>
      </c>
      <c r="C433" t="s">
        <v>229</v>
      </c>
      <c r="D433" t="s">
        <v>20</v>
      </c>
      <c r="E433" t="s">
        <v>16</v>
      </c>
      <c r="F433">
        <v>2</v>
      </c>
      <c r="G433" s="1">
        <v>29000</v>
      </c>
      <c r="H433">
        <v>65.400000000000006</v>
      </c>
      <c r="I433" s="1">
        <v>1100</v>
      </c>
      <c r="J433" s="1">
        <v>450</v>
      </c>
      <c r="K433" s="1">
        <v>650</v>
      </c>
      <c r="L433">
        <v>1.52</v>
      </c>
      <c r="M4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57150</v>
      </c>
      <c r="N433" s="1">
        <f>International_Education_Costs[[#This Row],[Total_Cost]]/International_Education_Costs[[#This Row],[Duration_Years]]</f>
        <v>28575</v>
      </c>
      <c r="O433" s="1">
        <f>International_Education_Costs[[#This Row],[Rent_USD]] * 12 * International_Education_Costs[[#This Row],[Duration_Years]]</f>
        <v>26400</v>
      </c>
      <c r="P433" s="1">
        <f>International_Education_Costs[[#This Row],[Total_Cost]]-International_Education_Costs[[#This Row],[Tuition_USD]]</f>
        <v>28150</v>
      </c>
      <c r="Q433" s="2">
        <f>International_Education_Costs[[#This Row],[Tuition_USD]]/International_Education_Costs[[#This Row],[Total_Cost]]</f>
        <v>0.50743657042869639</v>
      </c>
    </row>
    <row r="434" spans="1:17" x14ac:dyDescent="0.25">
      <c r="A434" t="s">
        <v>12</v>
      </c>
      <c r="B434" t="s">
        <v>150</v>
      </c>
      <c r="C434" t="s">
        <v>151</v>
      </c>
      <c r="D434" t="s">
        <v>15</v>
      </c>
      <c r="E434" t="s">
        <v>122</v>
      </c>
      <c r="F434">
        <v>5</v>
      </c>
      <c r="G434" s="1">
        <v>50000</v>
      </c>
      <c r="H434">
        <v>77.8</v>
      </c>
      <c r="I434" s="1">
        <v>2000</v>
      </c>
      <c r="J434" s="1">
        <v>160</v>
      </c>
      <c r="K434" s="1">
        <v>1500</v>
      </c>
      <c r="L434">
        <v>1</v>
      </c>
      <c r="M4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177660</v>
      </c>
      <c r="N434" s="1">
        <f>International_Education_Costs[[#This Row],[Total_Cost]]/International_Education_Costs[[#This Row],[Duration_Years]]</f>
        <v>35532</v>
      </c>
      <c r="O434" s="1">
        <f>International_Education_Costs[[#This Row],[Rent_USD]] * 12 * International_Education_Costs[[#This Row],[Duration_Years]]</f>
        <v>120000</v>
      </c>
      <c r="P434" s="1">
        <f>International_Education_Costs[[#This Row],[Total_Cost]]-International_Education_Costs[[#This Row],[Tuition_USD]]</f>
        <v>127660</v>
      </c>
      <c r="Q434" s="2">
        <f>International_Education_Costs[[#This Row],[Tuition_USD]]/International_Education_Costs[[#This Row],[Total_Cost]]</f>
        <v>0.2814364516492176</v>
      </c>
    </row>
    <row r="435" spans="1:17" x14ac:dyDescent="0.25">
      <c r="A435" t="s">
        <v>17</v>
      </c>
      <c r="B435" t="s">
        <v>295</v>
      </c>
      <c r="C435" t="s">
        <v>296</v>
      </c>
      <c r="D435" t="s">
        <v>28</v>
      </c>
      <c r="E435" t="s">
        <v>16</v>
      </c>
      <c r="F435">
        <v>2</v>
      </c>
      <c r="G435" s="1">
        <v>33000</v>
      </c>
      <c r="H435">
        <v>62.3</v>
      </c>
      <c r="I435" s="1">
        <v>850</v>
      </c>
      <c r="J435" s="1">
        <v>485</v>
      </c>
      <c r="K435" s="1">
        <v>800</v>
      </c>
      <c r="L435">
        <v>0.79</v>
      </c>
      <c r="M4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55485</v>
      </c>
      <c r="N435" s="1">
        <f>International_Education_Costs[[#This Row],[Total_Cost]]/International_Education_Costs[[#This Row],[Duration_Years]]</f>
        <v>27742.5</v>
      </c>
      <c r="O435" s="1">
        <f>International_Education_Costs[[#This Row],[Rent_USD]] * 12 * International_Education_Costs[[#This Row],[Duration_Years]]</f>
        <v>20400</v>
      </c>
      <c r="P435" s="1">
        <f>International_Education_Costs[[#This Row],[Total_Cost]]-International_Education_Costs[[#This Row],[Tuition_USD]]</f>
        <v>22485</v>
      </c>
      <c r="Q435" s="2">
        <f>International_Education_Costs[[#This Row],[Tuition_USD]]/International_Education_Costs[[#This Row],[Total_Cost]]</f>
        <v>0.59475533928088675</v>
      </c>
    </row>
    <row r="436" spans="1:17" x14ac:dyDescent="0.25">
      <c r="A436" t="s">
        <v>29</v>
      </c>
      <c r="B436" t="s">
        <v>630</v>
      </c>
      <c r="C436" t="s">
        <v>631</v>
      </c>
      <c r="D436" t="s">
        <v>99</v>
      </c>
      <c r="E436" t="s">
        <v>16</v>
      </c>
      <c r="F436">
        <v>2</v>
      </c>
      <c r="G436" s="1">
        <v>0</v>
      </c>
      <c r="H436">
        <v>69.8</v>
      </c>
      <c r="I436" s="1">
        <v>1200</v>
      </c>
      <c r="J436" s="1">
        <v>110</v>
      </c>
      <c r="K436" s="1">
        <v>900</v>
      </c>
      <c r="L436">
        <v>0.92</v>
      </c>
      <c r="M4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30710</v>
      </c>
      <c r="N436" s="1">
        <f>International_Education_Costs[[#This Row],[Total_Cost]]/International_Education_Costs[[#This Row],[Duration_Years]]</f>
        <v>15355</v>
      </c>
      <c r="O436" s="1">
        <f>International_Education_Costs[[#This Row],[Rent_USD]] * 12 * International_Education_Costs[[#This Row],[Duration_Years]]</f>
        <v>28800</v>
      </c>
      <c r="P436" s="1">
        <f>International_Education_Costs[[#This Row],[Total_Cost]]-International_Education_Costs[[#This Row],[Tuition_USD]]</f>
        <v>30710</v>
      </c>
      <c r="Q436" s="2">
        <f>International_Education_Costs[[#This Row],[Tuition_USD]]/International_Education_Costs[[#This Row],[Total_Cost]]</f>
        <v>0</v>
      </c>
    </row>
    <row r="437" spans="1:17" x14ac:dyDescent="0.25">
      <c r="A437" t="s">
        <v>21</v>
      </c>
      <c r="B437" t="s">
        <v>318</v>
      </c>
      <c r="C437" t="s">
        <v>319</v>
      </c>
      <c r="D437" t="s">
        <v>51</v>
      </c>
      <c r="E437" t="s">
        <v>75</v>
      </c>
      <c r="F437">
        <v>3</v>
      </c>
      <c r="G437" s="1">
        <v>34000</v>
      </c>
      <c r="H437">
        <v>62.1</v>
      </c>
      <c r="I437" s="1">
        <v>900</v>
      </c>
      <c r="J437" s="1">
        <v>235</v>
      </c>
      <c r="K437" s="1">
        <v>750</v>
      </c>
      <c r="L437">
        <v>1.35</v>
      </c>
      <c r="M4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68885</v>
      </c>
      <c r="N437" s="1">
        <f>International_Education_Costs[[#This Row],[Total_Cost]]/International_Education_Costs[[#This Row],[Duration_Years]]</f>
        <v>22961.666666666668</v>
      </c>
      <c r="O437" s="1">
        <f>International_Education_Costs[[#This Row],[Rent_USD]] * 12 * International_Education_Costs[[#This Row],[Duration_Years]]</f>
        <v>32400</v>
      </c>
      <c r="P437" s="1">
        <f>International_Education_Costs[[#This Row],[Total_Cost]]-International_Education_Costs[[#This Row],[Tuition_USD]]</f>
        <v>34885</v>
      </c>
      <c r="Q437" s="2">
        <f>International_Education_Costs[[#This Row],[Tuition_USD]]/International_Education_Costs[[#This Row],[Total_Cost]]</f>
        <v>0.49357625027219276</v>
      </c>
    </row>
    <row r="438" spans="1:17" x14ac:dyDescent="0.25">
      <c r="A438" t="s">
        <v>25</v>
      </c>
      <c r="B438" t="s">
        <v>232</v>
      </c>
      <c r="C438" t="s">
        <v>233</v>
      </c>
      <c r="D438" t="s">
        <v>624</v>
      </c>
      <c r="E438" t="s">
        <v>16</v>
      </c>
      <c r="F438">
        <v>2</v>
      </c>
      <c r="G438" s="1">
        <v>27000</v>
      </c>
      <c r="H438">
        <v>63.2</v>
      </c>
      <c r="I438" s="1">
        <v>950</v>
      </c>
      <c r="J438" s="1">
        <v>450</v>
      </c>
      <c r="K438" s="1">
        <v>650</v>
      </c>
      <c r="L438">
        <v>1.52</v>
      </c>
      <c r="M4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51550</v>
      </c>
      <c r="N438" s="1">
        <f>International_Education_Costs[[#This Row],[Total_Cost]]/International_Education_Costs[[#This Row],[Duration_Years]]</f>
        <v>25775</v>
      </c>
      <c r="O438" s="1">
        <f>International_Education_Costs[[#This Row],[Rent_USD]] * 12 * International_Education_Costs[[#This Row],[Duration_Years]]</f>
        <v>22800</v>
      </c>
      <c r="P438" s="1">
        <f>International_Education_Costs[[#This Row],[Total_Cost]]-International_Education_Costs[[#This Row],[Tuition_USD]]</f>
        <v>24550</v>
      </c>
      <c r="Q438" s="2">
        <f>International_Education_Costs[[#This Row],[Tuition_USD]]/International_Education_Costs[[#This Row],[Total_Cost]]</f>
        <v>0.52376333656644036</v>
      </c>
    </row>
    <row r="439" spans="1:17" x14ac:dyDescent="0.25">
      <c r="A439" t="s">
        <v>12</v>
      </c>
      <c r="B439" t="s">
        <v>329</v>
      </c>
      <c r="C439" t="s">
        <v>330</v>
      </c>
      <c r="D439" t="s">
        <v>20</v>
      </c>
      <c r="E439" t="s">
        <v>16</v>
      </c>
      <c r="F439">
        <v>2</v>
      </c>
      <c r="G439" s="1">
        <v>56000</v>
      </c>
      <c r="H439">
        <v>65.400000000000006</v>
      </c>
      <c r="I439" s="1">
        <v>1500</v>
      </c>
      <c r="J439" s="1">
        <v>160</v>
      </c>
      <c r="K439" s="1">
        <v>1500</v>
      </c>
      <c r="L439">
        <v>1</v>
      </c>
      <c r="M4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95160</v>
      </c>
      <c r="N439" s="1">
        <f>International_Education_Costs[[#This Row],[Total_Cost]]/International_Education_Costs[[#This Row],[Duration_Years]]</f>
        <v>47580</v>
      </c>
      <c r="O439" s="1">
        <f>International_Education_Costs[[#This Row],[Rent_USD]] * 12 * International_Education_Costs[[#This Row],[Duration_Years]]</f>
        <v>36000</v>
      </c>
      <c r="P439" s="1">
        <f>International_Education_Costs[[#This Row],[Total_Cost]]-International_Education_Costs[[#This Row],[Tuition_USD]]</f>
        <v>39160</v>
      </c>
      <c r="Q439" s="2">
        <f>International_Education_Costs[[#This Row],[Tuition_USD]]/International_Education_Costs[[#This Row],[Total_Cost]]</f>
        <v>0.58848255569567043</v>
      </c>
    </row>
    <row r="440" spans="1:17" x14ac:dyDescent="0.25">
      <c r="A440" t="s">
        <v>17</v>
      </c>
      <c r="B440" t="s">
        <v>302</v>
      </c>
      <c r="C440" t="s">
        <v>303</v>
      </c>
      <c r="D440" t="s">
        <v>15</v>
      </c>
      <c r="E440" t="s">
        <v>122</v>
      </c>
      <c r="F440">
        <v>4</v>
      </c>
      <c r="G440" s="1">
        <v>34000</v>
      </c>
      <c r="H440">
        <v>61.2</v>
      </c>
      <c r="I440" s="1">
        <v>800</v>
      </c>
      <c r="J440" s="1">
        <v>485</v>
      </c>
      <c r="K440" s="1">
        <v>800</v>
      </c>
      <c r="L440">
        <v>0.79</v>
      </c>
      <c r="M4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76085</v>
      </c>
      <c r="N440" s="1">
        <f>International_Education_Costs[[#This Row],[Total_Cost]]/International_Education_Costs[[#This Row],[Duration_Years]]</f>
        <v>19021.25</v>
      </c>
      <c r="O440" s="1">
        <f>International_Education_Costs[[#This Row],[Rent_USD]] * 12 * International_Education_Costs[[#This Row],[Duration_Years]]</f>
        <v>38400</v>
      </c>
      <c r="P440" s="1">
        <f>International_Education_Costs[[#This Row],[Total_Cost]]-International_Education_Costs[[#This Row],[Tuition_USD]]</f>
        <v>42085</v>
      </c>
      <c r="Q440" s="2">
        <f>International_Education_Costs[[#This Row],[Tuition_USD]]/International_Education_Costs[[#This Row],[Total_Cost]]</f>
        <v>0.44686863376486824</v>
      </c>
    </row>
    <row r="441" spans="1:17" x14ac:dyDescent="0.25">
      <c r="A441" t="s">
        <v>29</v>
      </c>
      <c r="B441" t="s">
        <v>632</v>
      </c>
      <c r="C441" t="s">
        <v>633</v>
      </c>
      <c r="D441" t="s">
        <v>28</v>
      </c>
      <c r="E441" t="s">
        <v>16</v>
      </c>
      <c r="F441">
        <v>2</v>
      </c>
      <c r="G441" s="1">
        <v>0</v>
      </c>
      <c r="H441">
        <v>67.8</v>
      </c>
      <c r="I441" s="1">
        <v>1100</v>
      </c>
      <c r="J441" s="1">
        <v>110</v>
      </c>
      <c r="K441" s="1">
        <v>900</v>
      </c>
      <c r="L441">
        <v>0.92</v>
      </c>
      <c r="M4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28310</v>
      </c>
      <c r="N441" s="1">
        <f>International_Education_Costs[[#This Row],[Total_Cost]]/International_Education_Costs[[#This Row],[Duration_Years]]</f>
        <v>14155</v>
      </c>
      <c r="O441" s="1">
        <f>International_Education_Costs[[#This Row],[Rent_USD]] * 12 * International_Education_Costs[[#This Row],[Duration_Years]]</f>
        <v>26400</v>
      </c>
      <c r="P441" s="1">
        <f>International_Education_Costs[[#This Row],[Total_Cost]]-International_Education_Costs[[#This Row],[Tuition_USD]]</f>
        <v>28310</v>
      </c>
      <c r="Q441" s="2">
        <f>International_Education_Costs[[#This Row],[Tuition_USD]]/International_Education_Costs[[#This Row],[Total_Cost]]</f>
        <v>0</v>
      </c>
    </row>
    <row r="442" spans="1:17" x14ac:dyDescent="0.25">
      <c r="A442" t="s">
        <v>21</v>
      </c>
      <c r="B442" t="s">
        <v>316</v>
      </c>
      <c r="C442" t="s">
        <v>317</v>
      </c>
      <c r="D442" t="s">
        <v>99</v>
      </c>
      <c r="E442" t="s">
        <v>16</v>
      </c>
      <c r="F442">
        <v>2</v>
      </c>
      <c r="G442" s="1">
        <v>35000</v>
      </c>
      <c r="H442">
        <v>64.5</v>
      </c>
      <c r="I442" s="1">
        <v>1100</v>
      </c>
      <c r="J442" s="1">
        <v>235</v>
      </c>
      <c r="K442" s="1">
        <v>750</v>
      </c>
      <c r="L442">
        <v>1.35</v>
      </c>
      <c r="M4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63135</v>
      </c>
      <c r="N442" s="1">
        <f>International_Education_Costs[[#This Row],[Total_Cost]]/International_Education_Costs[[#This Row],[Duration_Years]]</f>
        <v>31567.5</v>
      </c>
      <c r="O442" s="1">
        <f>International_Education_Costs[[#This Row],[Rent_USD]] * 12 * International_Education_Costs[[#This Row],[Duration_Years]]</f>
        <v>26400</v>
      </c>
      <c r="P442" s="1">
        <f>International_Education_Costs[[#This Row],[Total_Cost]]-International_Education_Costs[[#This Row],[Tuition_USD]]</f>
        <v>28135</v>
      </c>
      <c r="Q442" s="2">
        <f>International_Education_Costs[[#This Row],[Tuition_USD]]/International_Education_Costs[[#This Row],[Total_Cost]]</f>
        <v>0.55436762493070402</v>
      </c>
    </row>
    <row r="443" spans="1:17" x14ac:dyDescent="0.25">
      <c r="A443" t="s">
        <v>25</v>
      </c>
      <c r="B443" t="s">
        <v>230</v>
      </c>
      <c r="C443" t="s">
        <v>231</v>
      </c>
      <c r="D443" t="s">
        <v>51</v>
      </c>
      <c r="E443" t="s">
        <v>75</v>
      </c>
      <c r="F443">
        <v>3</v>
      </c>
      <c r="G443" s="1">
        <v>26000</v>
      </c>
      <c r="H443">
        <v>62.1</v>
      </c>
      <c r="I443" s="1">
        <v>900</v>
      </c>
      <c r="J443" s="1">
        <v>450</v>
      </c>
      <c r="K443" s="1">
        <v>650</v>
      </c>
      <c r="L443">
        <v>1.52</v>
      </c>
      <c r="M4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60800</v>
      </c>
      <c r="N443" s="1">
        <f>International_Education_Costs[[#This Row],[Total_Cost]]/International_Education_Costs[[#This Row],[Duration_Years]]</f>
        <v>20266.666666666668</v>
      </c>
      <c r="O443" s="1">
        <f>International_Education_Costs[[#This Row],[Rent_USD]] * 12 * International_Education_Costs[[#This Row],[Duration_Years]]</f>
        <v>32400</v>
      </c>
      <c r="P443" s="1">
        <f>International_Education_Costs[[#This Row],[Total_Cost]]-International_Education_Costs[[#This Row],[Tuition_USD]]</f>
        <v>34800</v>
      </c>
      <c r="Q443" s="2">
        <f>International_Education_Costs[[#This Row],[Tuition_USD]]/International_Education_Costs[[#This Row],[Total_Cost]]</f>
        <v>0.42763157894736842</v>
      </c>
    </row>
    <row r="444" spans="1:17" x14ac:dyDescent="0.25">
      <c r="A444" t="s">
        <v>12</v>
      </c>
      <c r="B444" t="s">
        <v>148</v>
      </c>
      <c r="C444" t="s">
        <v>149</v>
      </c>
      <c r="D444" t="s">
        <v>624</v>
      </c>
      <c r="E444" t="s">
        <v>122</v>
      </c>
      <c r="F444">
        <v>5</v>
      </c>
      <c r="G444" s="1">
        <v>49000</v>
      </c>
      <c r="H444">
        <v>75.599999999999994</v>
      </c>
      <c r="I444" s="1">
        <v>1900</v>
      </c>
      <c r="J444" s="1">
        <v>160</v>
      </c>
      <c r="K444" s="1">
        <v>1500</v>
      </c>
      <c r="L444">
        <v>1</v>
      </c>
      <c r="M4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170660</v>
      </c>
      <c r="N444" s="1">
        <f>International_Education_Costs[[#This Row],[Total_Cost]]/International_Education_Costs[[#This Row],[Duration_Years]]</f>
        <v>34132</v>
      </c>
      <c r="O444" s="1">
        <f>International_Education_Costs[[#This Row],[Rent_USD]] * 12 * International_Education_Costs[[#This Row],[Duration_Years]]</f>
        <v>114000</v>
      </c>
      <c r="P444" s="1">
        <f>International_Education_Costs[[#This Row],[Total_Cost]]-International_Education_Costs[[#This Row],[Tuition_USD]]</f>
        <v>121660</v>
      </c>
      <c r="Q444" s="2">
        <f>International_Education_Costs[[#This Row],[Tuition_USD]]/International_Education_Costs[[#This Row],[Total_Cost]]</f>
        <v>0.28712059064807222</v>
      </c>
    </row>
    <row r="445" spans="1:17" x14ac:dyDescent="0.25">
      <c r="A445" t="s">
        <v>17</v>
      </c>
      <c r="B445" t="s">
        <v>278</v>
      </c>
      <c r="C445" t="s">
        <v>527</v>
      </c>
      <c r="D445" t="s">
        <v>28</v>
      </c>
      <c r="E445" t="s">
        <v>16</v>
      </c>
      <c r="F445">
        <v>2</v>
      </c>
      <c r="G445" s="1">
        <v>35000</v>
      </c>
      <c r="H445">
        <v>63.4</v>
      </c>
      <c r="I445" s="1">
        <v>900</v>
      </c>
      <c r="J445" s="1">
        <v>485</v>
      </c>
      <c r="K445" s="1">
        <v>800</v>
      </c>
      <c r="L445">
        <v>0.79</v>
      </c>
      <c r="M4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58685</v>
      </c>
      <c r="N445" s="1">
        <f>International_Education_Costs[[#This Row],[Total_Cost]]/International_Education_Costs[[#This Row],[Duration_Years]]</f>
        <v>29342.5</v>
      </c>
      <c r="O445" s="1">
        <f>International_Education_Costs[[#This Row],[Rent_USD]] * 12 * International_Education_Costs[[#This Row],[Duration_Years]]</f>
        <v>21600</v>
      </c>
      <c r="P445" s="1">
        <f>International_Education_Costs[[#This Row],[Total_Cost]]-International_Education_Costs[[#This Row],[Tuition_USD]]</f>
        <v>23685</v>
      </c>
      <c r="Q445" s="2">
        <f>International_Education_Costs[[#This Row],[Tuition_USD]]/International_Education_Costs[[#This Row],[Total_Cost]]</f>
        <v>0.59640453267444837</v>
      </c>
    </row>
    <row r="446" spans="1:17" x14ac:dyDescent="0.25">
      <c r="A446" t="s">
        <v>29</v>
      </c>
      <c r="B446" t="s">
        <v>253</v>
      </c>
      <c r="C446" t="s">
        <v>254</v>
      </c>
      <c r="D446" t="s">
        <v>15</v>
      </c>
      <c r="E446" t="s">
        <v>75</v>
      </c>
      <c r="F446">
        <v>3</v>
      </c>
      <c r="G446" s="1">
        <v>0</v>
      </c>
      <c r="H446">
        <v>68.900000000000006</v>
      </c>
      <c r="I446" s="1">
        <v>1000</v>
      </c>
      <c r="J446" s="1">
        <v>110</v>
      </c>
      <c r="K446" s="1">
        <v>900</v>
      </c>
      <c r="L446">
        <v>0.92</v>
      </c>
      <c r="M4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38810</v>
      </c>
      <c r="N446" s="1">
        <f>International_Education_Costs[[#This Row],[Total_Cost]]/International_Education_Costs[[#This Row],[Duration_Years]]</f>
        <v>12936.666666666666</v>
      </c>
      <c r="O446" s="1">
        <f>International_Education_Costs[[#This Row],[Rent_USD]] * 12 * International_Education_Costs[[#This Row],[Duration_Years]]</f>
        <v>36000</v>
      </c>
      <c r="P446" s="1">
        <f>International_Education_Costs[[#This Row],[Total_Cost]]-International_Education_Costs[[#This Row],[Tuition_USD]]</f>
        <v>38810</v>
      </c>
      <c r="Q446" s="2">
        <f>International_Education_Costs[[#This Row],[Tuition_USD]]/International_Education_Costs[[#This Row],[Total_Cost]]</f>
        <v>0</v>
      </c>
    </row>
    <row r="447" spans="1:17" x14ac:dyDescent="0.25">
      <c r="A447" t="s">
        <v>21</v>
      </c>
      <c r="B447" t="s">
        <v>320</v>
      </c>
      <c r="C447" t="s">
        <v>321</v>
      </c>
      <c r="D447" t="s">
        <v>20</v>
      </c>
      <c r="E447" t="s">
        <v>16</v>
      </c>
      <c r="F447">
        <v>2</v>
      </c>
      <c r="G447" s="1">
        <v>33000</v>
      </c>
      <c r="H447">
        <v>61.2</v>
      </c>
      <c r="I447" s="1">
        <v>900</v>
      </c>
      <c r="J447" s="1">
        <v>235</v>
      </c>
      <c r="K447" s="1">
        <v>750</v>
      </c>
      <c r="L447">
        <v>1.35</v>
      </c>
      <c r="M4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56335</v>
      </c>
      <c r="N447" s="1">
        <f>International_Education_Costs[[#This Row],[Total_Cost]]/International_Education_Costs[[#This Row],[Duration_Years]]</f>
        <v>28167.5</v>
      </c>
      <c r="O447" s="1">
        <f>International_Education_Costs[[#This Row],[Rent_USD]] * 12 * International_Education_Costs[[#This Row],[Duration_Years]]</f>
        <v>21600</v>
      </c>
      <c r="P447" s="1">
        <f>International_Education_Costs[[#This Row],[Total_Cost]]-International_Education_Costs[[#This Row],[Tuition_USD]]</f>
        <v>23335</v>
      </c>
      <c r="Q447" s="2">
        <f>International_Education_Costs[[#This Row],[Tuition_USD]]/International_Education_Costs[[#This Row],[Total_Cost]]</f>
        <v>0.58578148575485933</v>
      </c>
    </row>
    <row r="448" spans="1:17" x14ac:dyDescent="0.25">
      <c r="A448" t="s">
        <v>25</v>
      </c>
      <c r="B448" t="s">
        <v>234</v>
      </c>
      <c r="C448" t="s">
        <v>235</v>
      </c>
      <c r="D448" t="s">
        <v>99</v>
      </c>
      <c r="E448" t="s">
        <v>122</v>
      </c>
      <c r="F448">
        <v>4</v>
      </c>
      <c r="G448" s="1">
        <v>28000</v>
      </c>
      <c r="H448">
        <v>63.4</v>
      </c>
      <c r="I448" s="1">
        <v>950</v>
      </c>
      <c r="J448" s="1">
        <v>450</v>
      </c>
      <c r="K448" s="1">
        <v>650</v>
      </c>
      <c r="L448">
        <v>1.52</v>
      </c>
      <c r="M4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76650</v>
      </c>
      <c r="N448" s="1">
        <f>International_Education_Costs[[#This Row],[Total_Cost]]/International_Education_Costs[[#This Row],[Duration_Years]]</f>
        <v>19162.5</v>
      </c>
      <c r="O448" s="1">
        <f>International_Education_Costs[[#This Row],[Rent_USD]] * 12 * International_Education_Costs[[#This Row],[Duration_Years]]</f>
        <v>45600</v>
      </c>
      <c r="P448" s="1">
        <f>International_Education_Costs[[#This Row],[Total_Cost]]-International_Education_Costs[[#This Row],[Tuition_USD]]</f>
        <v>48650</v>
      </c>
      <c r="Q448" s="2">
        <f>International_Education_Costs[[#This Row],[Tuition_USD]]/International_Education_Costs[[#This Row],[Total_Cost]]</f>
        <v>0.36529680365296802</v>
      </c>
    </row>
    <row r="449" spans="1:17" x14ac:dyDescent="0.25">
      <c r="A449" t="s">
        <v>12</v>
      </c>
      <c r="B449" t="s">
        <v>634</v>
      </c>
      <c r="C449" t="s">
        <v>635</v>
      </c>
      <c r="D449" t="s">
        <v>20</v>
      </c>
      <c r="E449" t="s">
        <v>16</v>
      </c>
      <c r="F449">
        <v>2</v>
      </c>
      <c r="G449" s="1">
        <v>52000</v>
      </c>
      <c r="H449">
        <v>95.2</v>
      </c>
      <c r="I449" s="1">
        <v>2400</v>
      </c>
      <c r="J449" s="1">
        <v>160</v>
      </c>
      <c r="K449" s="1">
        <v>1500</v>
      </c>
      <c r="L449">
        <v>1</v>
      </c>
      <c r="M4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112760</v>
      </c>
      <c r="N449" s="1">
        <f>International_Education_Costs[[#This Row],[Total_Cost]]/International_Education_Costs[[#This Row],[Duration_Years]]</f>
        <v>56380</v>
      </c>
      <c r="O449" s="1">
        <f>International_Education_Costs[[#This Row],[Rent_USD]] * 12 * International_Education_Costs[[#This Row],[Duration_Years]]</f>
        <v>57600</v>
      </c>
      <c r="P449" s="1">
        <f>International_Education_Costs[[#This Row],[Total_Cost]]-International_Education_Costs[[#This Row],[Tuition_USD]]</f>
        <v>60760</v>
      </c>
      <c r="Q449" s="2">
        <f>International_Education_Costs[[#This Row],[Tuition_USD]]/International_Education_Costs[[#This Row],[Total_Cost]]</f>
        <v>0.46115643845335225</v>
      </c>
    </row>
    <row r="450" spans="1:17" x14ac:dyDescent="0.25">
      <c r="A450" t="s">
        <v>17</v>
      </c>
      <c r="B450" t="s">
        <v>18</v>
      </c>
      <c r="C450" t="s">
        <v>524</v>
      </c>
      <c r="D450" t="s">
        <v>15</v>
      </c>
      <c r="E450" t="s">
        <v>16</v>
      </c>
      <c r="F450">
        <v>1</v>
      </c>
      <c r="G450" s="1">
        <v>39000</v>
      </c>
      <c r="H450">
        <v>75.3</v>
      </c>
      <c r="I450" s="1">
        <v>1900</v>
      </c>
      <c r="J450" s="1">
        <v>485</v>
      </c>
      <c r="K450" s="1">
        <v>800</v>
      </c>
      <c r="L450">
        <v>0.79</v>
      </c>
      <c r="M4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63085</v>
      </c>
      <c r="N450" s="1">
        <f>International_Education_Costs[[#This Row],[Total_Cost]]/International_Education_Costs[[#This Row],[Duration_Years]]</f>
        <v>63085</v>
      </c>
      <c r="O450" s="1">
        <f>International_Education_Costs[[#This Row],[Rent_USD]] * 12 * International_Education_Costs[[#This Row],[Duration_Years]]</f>
        <v>22800</v>
      </c>
      <c r="P450" s="1">
        <f>International_Education_Costs[[#This Row],[Total_Cost]]-International_Education_Costs[[#This Row],[Tuition_USD]]</f>
        <v>24085</v>
      </c>
      <c r="Q450" s="2">
        <f>International_Education_Costs[[#This Row],[Tuition_USD]]/International_Education_Costs[[#This Row],[Total_Cost]]</f>
        <v>0.61821352143932784</v>
      </c>
    </row>
    <row r="451" spans="1:17" x14ac:dyDescent="0.25">
      <c r="A451" t="s">
        <v>48</v>
      </c>
      <c r="B451" t="s">
        <v>49</v>
      </c>
      <c r="C451" t="s">
        <v>50</v>
      </c>
      <c r="D451" t="s">
        <v>15</v>
      </c>
      <c r="E451" t="s">
        <v>16</v>
      </c>
      <c r="F451">
        <v>2</v>
      </c>
      <c r="G451" s="1">
        <v>1500</v>
      </c>
      <c r="H451">
        <v>122.4</v>
      </c>
      <c r="I451" s="1">
        <v>2000</v>
      </c>
      <c r="J451" s="1">
        <v>140</v>
      </c>
      <c r="K451" s="1">
        <v>1200</v>
      </c>
      <c r="L451">
        <v>0.89</v>
      </c>
      <c r="M4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52040</v>
      </c>
      <c r="N451" s="1">
        <f>International_Education_Costs[[#This Row],[Total_Cost]]/International_Education_Costs[[#This Row],[Duration_Years]]</f>
        <v>26020</v>
      </c>
      <c r="O451" s="1">
        <f>International_Education_Costs[[#This Row],[Rent_USD]] * 12 * International_Education_Costs[[#This Row],[Duration_Years]]</f>
        <v>48000</v>
      </c>
      <c r="P451" s="1">
        <f>International_Education_Costs[[#This Row],[Total_Cost]]-International_Education_Costs[[#This Row],[Tuition_USD]]</f>
        <v>50540</v>
      </c>
      <c r="Q451" s="2">
        <f>International_Education_Costs[[#This Row],[Tuition_USD]]/International_Education_Costs[[#This Row],[Total_Cost]]</f>
        <v>2.8823981552651805E-2</v>
      </c>
    </row>
    <row r="452" spans="1:17" x14ac:dyDescent="0.25">
      <c r="A452" t="s">
        <v>44</v>
      </c>
      <c r="B452" t="s">
        <v>45</v>
      </c>
      <c r="C452" t="s">
        <v>46</v>
      </c>
      <c r="D452" t="s">
        <v>71</v>
      </c>
      <c r="E452" t="s">
        <v>16</v>
      </c>
      <c r="F452">
        <v>2</v>
      </c>
      <c r="G452" s="1">
        <v>4500</v>
      </c>
      <c r="H452">
        <v>84.3</v>
      </c>
      <c r="I452" s="1">
        <v>1800</v>
      </c>
      <c r="J452" s="1">
        <v>99</v>
      </c>
      <c r="K452" s="1">
        <v>850</v>
      </c>
      <c r="L452">
        <v>0.92</v>
      </c>
      <c r="M4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49499</v>
      </c>
      <c r="N452" s="1">
        <f>International_Education_Costs[[#This Row],[Total_Cost]]/International_Education_Costs[[#This Row],[Duration_Years]]</f>
        <v>24749.5</v>
      </c>
      <c r="O452" s="1">
        <f>International_Education_Costs[[#This Row],[Rent_USD]] * 12 * International_Education_Costs[[#This Row],[Duration_Years]]</f>
        <v>43200</v>
      </c>
      <c r="P452" s="1">
        <f>International_Education_Costs[[#This Row],[Total_Cost]]-International_Education_Costs[[#This Row],[Tuition_USD]]</f>
        <v>44999</v>
      </c>
      <c r="Q452" s="2">
        <f>International_Education_Costs[[#This Row],[Tuition_USD]]/International_Education_Costs[[#This Row],[Total_Cost]]</f>
        <v>9.0910927493484714E-2</v>
      </c>
    </row>
    <row r="453" spans="1:17" x14ac:dyDescent="0.25">
      <c r="A453" t="s">
        <v>68</v>
      </c>
      <c r="B453" t="s">
        <v>69</v>
      </c>
      <c r="C453" t="s">
        <v>70</v>
      </c>
      <c r="D453" t="s">
        <v>15</v>
      </c>
      <c r="E453" t="s">
        <v>122</v>
      </c>
      <c r="F453">
        <v>4</v>
      </c>
      <c r="G453" s="1">
        <v>18900</v>
      </c>
      <c r="H453">
        <v>83.6</v>
      </c>
      <c r="I453" s="1">
        <v>1700</v>
      </c>
      <c r="J453" s="1">
        <v>150</v>
      </c>
      <c r="K453" s="1">
        <v>750</v>
      </c>
      <c r="L453">
        <v>0.92</v>
      </c>
      <c r="M4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103650</v>
      </c>
      <c r="N453" s="1">
        <f>International_Education_Costs[[#This Row],[Total_Cost]]/International_Education_Costs[[#This Row],[Duration_Years]]</f>
        <v>25912.5</v>
      </c>
      <c r="O453" s="1">
        <f>International_Education_Costs[[#This Row],[Rent_USD]] * 12 * International_Education_Costs[[#This Row],[Duration_Years]]</f>
        <v>81600</v>
      </c>
      <c r="P453" s="1">
        <f>International_Education_Costs[[#This Row],[Total_Cost]]-International_Education_Costs[[#This Row],[Tuition_USD]]</f>
        <v>84750</v>
      </c>
      <c r="Q453" s="2">
        <f>International_Education_Costs[[#This Row],[Tuition_USD]]/International_Education_Costs[[#This Row],[Total_Cost]]</f>
        <v>0.18234442836468887</v>
      </c>
    </row>
    <row r="454" spans="1:17" x14ac:dyDescent="0.25">
      <c r="A454" t="s">
        <v>12</v>
      </c>
      <c r="B454" t="s">
        <v>272</v>
      </c>
      <c r="C454" t="s">
        <v>273</v>
      </c>
      <c r="D454" t="s">
        <v>20</v>
      </c>
      <c r="E454" t="s">
        <v>16</v>
      </c>
      <c r="F454">
        <v>2</v>
      </c>
      <c r="G454" s="1">
        <v>58000</v>
      </c>
      <c r="H454">
        <v>84.1</v>
      </c>
      <c r="I454" s="1">
        <v>1900</v>
      </c>
      <c r="J454" s="1">
        <v>160</v>
      </c>
      <c r="K454" s="1">
        <v>1500</v>
      </c>
      <c r="L454">
        <v>1</v>
      </c>
      <c r="M4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106760</v>
      </c>
      <c r="N454" s="1">
        <f>International_Education_Costs[[#This Row],[Total_Cost]]/International_Education_Costs[[#This Row],[Duration_Years]]</f>
        <v>53380</v>
      </c>
      <c r="O454" s="1">
        <f>International_Education_Costs[[#This Row],[Rent_USD]] * 12 * International_Education_Costs[[#This Row],[Duration_Years]]</f>
        <v>45600</v>
      </c>
      <c r="P454" s="1">
        <f>International_Education_Costs[[#This Row],[Total_Cost]]-International_Education_Costs[[#This Row],[Tuition_USD]]</f>
        <v>48760</v>
      </c>
      <c r="Q454" s="2">
        <f>International_Education_Costs[[#This Row],[Tuition_USD]]/International_Education_Costs[[#This Row],[Total_Cost]]</f>
        <v>0.54327463469464221</v>
      </c>
    </row>
    <row r="455" spans="1:17" x14ac:dyDescent="0.25">
      <c r="A455" t="s">
        <v>17</v>
      </c>
      <c r="B455" t="s">
        <v>13</v>
      </c>
      <c r="C455" t="s">
        <v>636</v>
      </c>
      <c r="D455" t="s">
        <v>71</v>
      </c>
      <c r="E455" t="s">
        <v>75</v>
      </c>
      <c r="F455">
        <v>3</v>
      </c>
      <c r="G455" s="1">
        <v>35000</v>
      </c>
      <c r="H455">
        <v>71.2</v>
      </c>
      <c r="I455" s="1">
        <v>1500</v>
      </c>
      <c r="J455" s="1">
        <v>485</v>
      </c>
      <c r="K455" s="1">
        <v>800</v>
      </c>
      <c r="L455">
        <v>0.79</v>
      </c>
      <c r="M4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91885</v>
      </c>
      <c r="N455" s="1">
        <f>International_Education_Costs[[#This Row],[Total_Cost]]/International_Education_Costs[[#This Row],[Duration_Years]]</f>
        <v>30628.333333333332</v>
      </c>
      <c r="O455" s="1">
        <f>International_Education_Costs[[#This Row],[Rent_USD]] * 12 * International_Education_Costs[[#This Row],[Duration_Years]]</f>
        <v>54000</v>
      </c>
      <c r="P455" s="1">
        <f>International_Education_Costs[[#This Row],[Total_Cost]]-International_Education_Costs[[#This Row],[Tuition_USD]]</f>
        <v>56885</v>
      </c>
      <c r="Q455" s="2">
        <f>International_Education_Costs[[#This Row],[Tuition_USD]]/International_Education_Costs[[#This Row],[Total_Cost]]</f>
        <v>0.38091092126027098</v>
      </c>
    </row>
    <row r="456" spans="1:17" x14ac:dyDescent="0.25">
      <c r="A456" t="s">
        <v>48</v>
      </c>
      <c r="B456" t="s">
        <v>433</v>
      </c>
      <c r="C456" t="s">
        <v>434</v>
      </c>
      <c r="D456" t="s">
        <v>15</v>
      </c>
      <c r="E456" t="s">
        <v>122</v>
      </c>
      <c r="F456">
        <v>4</v>
      </c>
      <c r="G456" s="1">
        <v>1500</v>
      </c>
      <c r="H456">
        <v>119.8</v>
      </c>
      <c r="I456" s="1">
        <v>1900</v>
      </c>
      <c r="J456" s="1">
        <v>140</v>
      </c>
      <c r="K456" s="1">
        <v>1200</v>
      </c>
      <c r="L456">
        <v>0.89</v>
      </c>
      <c r="M4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97640</v>
      </c>
      <c r="N456" s="1">
        <f>International_Education_Costs[[#This Row],[Total_Cost]]/International_Education_Costs[[#This Row],[Duration_Years]]</f>
        <v>24410</v>
      </c>
      <c r="O456" s="1">
        <f>International_Education_Costs[[#This Row],[Rent_USD]] * 12 * International_Education_Costs[[#This Row],[Duration_Years]]</f>
        <v>91200</v>
      </c>
      <c r="P456" s="1">
        <f>International_Education_Costs[[#This Row],[Total_Cost]]-International_Education_Costs[[#This Row],[Tuition_USD]]</f>
        <v>96140</v>
      </c>
      <c r="Q456" s="2">
        <f>International_Education_Costs[[#This Row],[Tuition_USD]]/International_Education_Costs[[#This Row],[Total_Cost]]</f>
        <v>1.5362556329373207E-2</v>
      </c>
    </row>
    <row r="457" spans="1:17" x14ac:dyDescent="0.25">
      <c r="A457" t="s">
        <v>44</v>
      </c>
      <c r="B457" t="s">
        <v>419</v>
      </c>
      <c r="C457" t="s">
        <v>637</v>
      </c>
      <c r="D457" t="s">
        <v>20</v>
      </c>
      <c r="E457" t="s">
        <v>16</v>
      </c>
      <c r="F457">
        <v>2</v>
      </c>
      <c r="G457" s="1">
        <v>4200</v>
      </c>
      <c r="H457">
        <v>75.599999999999994</v>
      </c>
      <c r="I457" s="1">
        <v>1200</v>
      </c>
      <c r="J457" s="1">
        <v>99</v>
      </c>
      <c r="K457" s="1">
        <v>850</v>
      </c>
      <c r="L457">
        <v>0.92</v>
      </c>
      <c r="M4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34799</v>
      </c>
      <c r="N457" s="1">
        <f>International_Education_Costs[[#This Row],[Total_Cost]]/International_Education_Costs[[#This Row],[Duration_Years]]</f>
        <v>17399.5</v>
      </c>
      <c r="O457" s="1">
        <f>International_Education_Costs[[#This Row],[Rent_USD]] * 12 * International_Education_Costs[[#This Row],[Duration_Years]]</f>
        <v>28800</v>
      </c>
      <c r="P457" s="1">
        <f>International_Education_Costs[[#This Row],[Total_Cost]]-International_Education_Costs[[#This Row],[Tuition_USD]]</f>
        <v>30599</v>
      </c>
      <c r="Q457" s="2">
        <f>International_Education_Costs[[#This Row],[Tuition_USD]]/International_Education_Costs[[#This Row],[Total_Cost]]</f>
        <v>0.12069312336561396</v>
      </c>
    </row>
    <row r="458" spans="1:17" x14ac:dyDescent="0.25">
      <c r="A458" t="s">
        <v>68</v>
      </c>
      <c r="B458" t="s">
        <v>638</v>
      </c>
      <c r="C458" t="s">
        <v>639</v>
      </c>
      <c r="D458" t="s">
        <v>15</v>
      </c>
      <c r="E458" t="s">
        <v>16</v>
      </c>
      <c r="F458">
        <v>2</v>
      </c>
      <c r="G458" s="1">
        <v>16800</v>
      </c>
      <c r="H458">
        <v>75.400000000000006</v>
      </c>
      <c r="I458" s="1">
        <v>1300</v>
      </c>
      <c r="J458" s="1">
        <v>150</v>
      </c>
      <c r="K458" s="1">
        <v>750</v>
      </c>
      <c r="L458">
        <v>0.92</v>
      </c>
      <c r="M4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49650</v>
      </c>
      <c r="N458" s="1">
        <f>International_Education_Costs[[#This Row],[Total_Cost]]/International_Education_Costs[[#This Row],[Duration_Years]]</f>
        <v>24825</v>
      </c>
      <c r="O458" s="1">
        <f>International_Education_Costs[[#This Row],[Rent_USD]] * 12 * International_Education_Costs[[#This Row],[Duration_Years]]</f>
        <v>31200</v>
      </c>
      <c r="P458" s="1">
        <f>International_Education_Costs[[#This Row],[Total_Cost]]-International_Education_Costs[[#This Row],[Tuition_USD]]</f>
        <v>32850</v>
      </c>
      <c r="Q458" s="2">
        <f>International_Education_Costs[[#This Row],[Tuition_USD]]/International_Education_Costs[[#This Row],[Total_Cost]]</f>
        <v>0.33836858006042297</v>
      </c>
    </row>
    <row r="459" spans="1:17" x14ac:dyDescent="0.25">
      <c r="A459" t="s">
        <v>12</v>
      </c>
      <c r="B459" t="s">
        <v>123</v>
      </c>
      <c r="C459" t="s">
        <v>640</v>
      </c>
      <c r="D459" t="s">
        <v>71</v>
      </c>
      <c r="E459" t="s">
        <v>16</v>
      </c>
      <c r="F459">
        <v>2</v>
      </c>
      <c r="G459" s="1">
        <v>54000</v>
      </c>
      <c r="H459">
        <v>82.1</v>
      </c>
      <c r="I459" s="1">
        <v>2200</v>
      </c>
      <c r="J459" s="1">
        <v>160</v>
      </c>
      <c r="K459" s="1">
        <v>1500</v>
      </c>
      <c r="L459">
        <v>1</v>
      </c>
      <c r="M4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109960</v>
      </c>
      <c r="N459" s="1">
        <f>International_Education_Costs[[#This Row],[Total_Cost]]/International_Education_Costs[[#This Row],[Duration_Years]]</f>
        <v>54980</v>
      </c>
      <c r="O459" s="1">
        <f>International_Education_Costs[[#This Row],[Rent_USD]] * 12 * International_Education_Costs[[#This Row],[Duration_Years]]</f>
        <v>52800</v>
      </c>
      <c r="P459" s="1">
        <f>International_Education_Costs[[#This Row],[Total_Cost]]-International_Education_Costs[[#This Row],[Tuition_USD]]</f>
        <v>55960</v>
      </c>
      <c r="Q459" s="2">
        <f>International_Education_Costs[[#This Row],[Tuition_USD]]/International_Education_Costs[[#This Row],[Total_Cost]]</f>
        <v>0.49108766824299743</v>
      </c>
    </row>
    <row r="460" spans="1:17" x14ac:dyDescent="0.25">
      <c r="A460" t="s">
        <v>17</v>
      </c>
      <c r="B460" t="s">
        <v>525</v>
      </c>
      <c r="C460" t="s">
        <v>553</v>
      </c>
      <c r="D460" t="s">
        <v>15</v>
      </c>
      <c r="E460" t="s">
        <v>16</v>
      </c>
      <c r="F460">
        <v>1</v>
      </c>
      <c r="G460" s="1">
        <v>37000</v>
      </c>
      <c r="H460">
        <v>67.8</v>
      </c>
      <c r="I460" s="1">
        <v>1200</v>
      </c>
      <c r="J460" s="1">
        <v>485</v>
      </c>
      <c r="K460" s="1">
        <v>800</v>
      </c>
      <c r="L460">
        <v>0.79</v>
      </c>
      <c r="M4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52685</v>
      </c>
      <c r="N460" s="1">
        <f>International_Education_Costs[[#This Row],[Total_Cost]]/International_Education_Costs[[#This Row],[Duration_Years]]</f>
        <v>52685</v>
      </c>
      <c r="O460" s="1">
        <f>International_Education_Costs[[#This Row],[Rent_USD]] * 12 * International_Education_Costs[[#This Row],[Duration_Years]]</f>
        <v>14400</v>
      </c>
      <c r="P460" s="1">
        <f>International_Education_Costs[[#This Row],[Total_Cost]]-International_Education_Costs[[#This Row],[Tuition_USD]]</f>
        <v>15685</v>
      </c>
      <c r="Q460" s="2">
        <f>International_Education_Costs[[#This Row],[Tuition_USD]]/International_Education_Costs[[#This Row],[Total_Cost]]</f>
        <v>0.70228717851380851</v>
      </c>
    </row>
    <row r="461" spans="1:17" x14ac:dyDescent="0.25">
      <c r="A461" t="s">
        <v>48</v>
      </c>
      <c r="B461" t="s">
        <v>435</v>
      </c>
      <c r="C461" t="s">
        <v>436</v>
      </c>
      <c r="D461" t="s">
        <v>20</v>
      </c>
      <c r="E461" t="s">
        <v>16</v>
      </c>
      <c r="F461">
        <v>2</v>
      </c>
      <c r="G461" s="1">
        <v>1500</v>
      </c>
      <c r="H461">
        <v>116.5</v>
      </c>
      <c r="I461" s="1">
        <v>1800</v>
      </c>
      <c r="J461" s="1">
        <v>140</v>
      </c>
      <c r="K461" s="1">
        <v>1200</v>
      </c>
      <c r="L461">
        <v>0.89</v>
      </c>
      <c r="M4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47240</v>
      </c>
      <c r="N461" s="1">
        <f>International_Education_Costs[[#This Row],[Total_Cost]]/International_Education_Costs[[#This Row],[Duration_Years]]</f>
        <v>23620</v>
      </c>
      <c r="O461" s="1">
        <f>International_Education_Costs[[#This Row],[Rent_USD]] * 12 * International_Education_Costs[[#This Row],[Duration_Years]]</f>
        <v>43200</v>
      </c>
      <c r="P461" s="1">
        <f>International_Education_Costs[[#This Row],[Total_Cost]]-International_Education_Costs[[#This Row],[Tuition_USD]]</f>
        <v>45740</v>
      </c>
      <c r="Q461" s="2">
        <f>International_Education_Costs[[#This Row],[Tuition_USD]]/International_Education_Costs[[#This Row],[Total_Cost]]</f>
        <v>3.1752751905165112E-2</v>
      </c>
    </row>
    <row r="462" spans="1:17" x14ac:dyDescent="0.25">
      <c r="A462" t="s">
        <v>44</v>
      </c>
      <c r="B462" t="s">
        <v>417</v>
      </c>
      <c r="C462" t="s">
        <v>641</v>
      </c>
      <c r="D462" t="s">
        <v>15</v>
      </c>
      <c r="E462" t="s">
        <v>75</v>
      </c>
      <c r="F462">
        <v>3</v>
      </c>
      <c r="G462" s="1">
        <v>4000</v>
      </c>
      <c r="H462">
        <v>71.2</v>
      </c>
      <c r="I462" s="1">
        <v>900</v>
      </c>
      <c r="J462" s="1">
        <v>99</v>
      </c>
      <c r="K462" s="1">
        <v>850</v>
      </c>
      <c r="L462">
        <v>0.92</v>
      </c>
      <c r="M4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39049</v>
      </c>
      <c r="N462" s="1">
        <f>International_Education_Costs[[#This Row],[Total_Cost]]/International_Education_Costs[[#This Row],[Duration_Years]]</f>
        <v>13016.333333333334</v>
      </c>
      <c r="O462" s="1">
        <f>International_Education_Costs[[#This Row],[Rent_USD]] * 12 * International_Education_Costs[[#This Row],[Duration_Years]]</f>
        <v>32400</v>
      </c>
      <c r="P462" s="1">
        <f>International_Education_Costs[[#This Row],[Total_Cost]]-International_Education_Costs[[#This Row],[Tuition_USD]]</f>
        <v>35049</v>
      </c>
      <c r="Q462" s="2">
        <f>International_Education_Costs[[#This Row],[Tuition_USD]]/International_Education_Costs[[#This Row],[Total_Cost]]</f>
        <v>0.10243540167481882</v>
      </c>
    </row>
    <row r="463" spans="1:17" x14ac:dyDescent="0.25">
      <c r="A463" t="s">
        <v>68</v>
      </c>
      <c r="B463" t="s">
        <v>164</v>
      </c>
      <c r="C463" t="s">
        <v>165</v>
      </c>
      <c r="D463" t="s">
        <v>71</v>
      </c>
      <c r="E463" t="s">
        <v>16</v>
      </c>
      <c r="F463">
        <v>2</v>
      </c>
      <c r="G463" s="1">
        <v>15900</v>
      </c>
      <c r="H463">
        <v>72.3</v>
      </c>
      <c r="I463" s="1">
        <v>1100</v>
      </c>
      <c r="J463" s="1">
        <v>150</v>
      </c>
      <c r="K463" s="1">
        <v>750</v>
      </c>
      <c r="L463">
        <v>0.92</v>
      </c>
      <c r="M4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43950</v>
      </c>
      <c r="N463" s="1">
        <f>International_Education_Costs[[#This Row],[Total_Cost]]/International_Education_Costs[[#This Row],[Duration_Years]]</f>
        <v>21975</v>
      </c>
      <c r="O463" s="1">
        <f>International_Education_Costs[[#This Row],[Rent_USD]] * 12 * International_Education_Costs[[#This Row],[Duration_Years]]</f>
        <v>26400</v>
      </c>
      <c r="P463" s="1">
        <f>International_Education_Costs[[#This Row],[Total_Cost]]-International_Education_Costs[[#This Row],[Tuition_USD]]</f>
        <v>28050</v>
      </c>
      <c r="Q463" s="2">
        <f>International_Education_Costs[[#This Row],[Tuition_USD]]/International_Education_Costs[[#This Row],[Total_Cost]]</f>
        <v>0.36177474402730375</v>
      </c>
    </row>
    <row r="464" spans="1:17" x14ac:dyDescent="0.25">
      <c r="A464" t="s">
        <v>12</v>
      </c>
      <c r="B464" t="s">
        <v>150</v>
      </c>
      <c r="C464" t="s">
        <v>151</v>
      </c>
      <c r="D464" t="s">
        <v>20</v>
      </c>
      <c r="E464" t="s">
        <v>122</v>
      </c>
      <c r="F464">
        <v>4</v>
      </c>
      <c r="G464" s="1">
        <v>51000</v>
      </c>
      <c r="H464">
        <v>77.8</v>
      </c>
      <c r="I464" s="1">
        <v>2100</v>
      </c>
      <c r="J464" s="1">
        <v>160</v>
      </c>
      <c r="K464" s="1">
        <v>1500</v>
      </c>
      <c r="L464">
        <v>1</v>
      </c>
      <c r="M4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157960</v>
      </c>
      <c r="N464" s="1">
        <f>International_Education_Costs[[#This Row],[Total_Cost]]/International_Education_Costs[[#This Row],[Duration_Years]]</f>
        <v>39490</v>
      </c>
      <c r="O464" s="1">
        <f>International_Education_Costs[[#This Row],[Rent_USD]] * 12 * International_Education_Costs[[#This Row],[Duration_Years]]</f>
        <v>100800</v>
      </c>
      <c r="P464" s="1">
        <f>International_Education_Costs[[#This Row],[Total_Cost]]-International_Education_Costs[[#This Row],[Tuition_USD]]</f>
        <v>106960</v>
      </c>
      <c r="Q464" s="2">
        <f>International_Education_Costs[[#This Row],[Tuition_USD]]/International_Education_Costs[[#This Row],[Total_Cost]]</f>
        <v>0.32286654849328944</v>
      </c>
    </row>
    <row r="465" spans="1:17" x14ac:dyDescent="0.25">
      <c r="A465" t="s">
        <v>17</v>
      </c>
      <c r="B465" t="s">
        <v>297</v>
      </c>
      <c r="C465" t="s">
        <v>298</v>
      </c>
      <c r="D465" t="s">
        <v>15</v>
      </c>
      <c r="E465" t="s">
        <v>16</v>
      </c>
      <c r="F465">
        <v>1</v>
      </c>
      <c r="G465" s="1">
        <v>36000</v>
      </c>
      <c r="H465">
        <v>65.400000000000006</v>
      </c>
      <c r="I465" s="1">
        <v>1100</v>
      </c>
      <c r="J465" s="1">
        <v>485</v>
      </c>
      <c r="K465" s="1">
        <v>800</v>
      </c>
      <c r="L465">
        <v>0.79</v>
      </c>
      <c r="M4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50485</v>
      </c>
      <c r="N465" s="1">
        <f>International_Education_Costs[[#This Row],[Total_Cost]]/International_Education_Costs[[#This Row],[Duration_Years]]</f>
        <v>50485</v>
      </c>
      <c r="O465" s="1">
        <f>International_Education_Costs[[#This Row],[Rent_USD]] * 12 * International_Education_Costs[[#This Row],[Duration_Years]]</f>
        <v>13200</v>
      </c>
      <c r="P465" s="1">
        <f>International_Education_Costs[[#This Row],[Total_Cost]]-International_Education_Costs[[#This Row],[Tuition_USD]]</f>
        <v>14485</v>
      </c>
      <c r="Q465" s="2">
        <f>International_Education_Costs[[#This Row],[Tuition_USD]]/International_Education_Costs[[#This Row],[Total_Cost]]</f>
        <v>0.71308309398831338</v>
      </c>
    </row>
    <row r="466" spans="1:17" x14ac:dyDescent="0.25">
      <c r="A466" t="s">
        <v>48</v>
      </c>
      <c r="B466" t="s">
        <v>132</v>
      </c>
      <c r="C466" t="s">
        <v>448</v>
      </c>
      <c r="D466" t="s">
        <v>20</v>
      </c>
      <c r="E466" t="s">
        <v>16</v>
      </c>
      <c r="F466">
        <v>2</v>
      </c>
      <c r="G466" s="1">
        <v>1500</v>
      </c>
      <c r="H466">
        <v>114.3</v>
      </c>
      <c r="I466" s="1">
        <v>1700</v>
      </c>
      <c r="J466" s="1">
        <v>140</v>
      </c>
      <c r="K466" s="1">
        <v>1200</v>
      </c>
      <c r="L466">
        <v>0.89</v>
      </c>
      <c r="M4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44840</v>
      </c>
      <c r="N466" s="1">
        <f>International_Education_Costs[[#This Row],[Total_Cost]]/International_Education_Costs[[#This Row],[Duration_Years]]</f>
        <v>22420</v>
      </c>
      <c r="O466" s="1">
        <f>International_Education_Costs[[#This Row],[Rent_USD]] * 12 * International_Education_Costs[[#This Row],[Duration_Years]]</f>
        <v>40800</v>
      </c>
      <c r="P466" s="1">
        <f>International_Education_Costs[[#This Row],[Total_Cost]]-International_Education_Costs[[#This Row],[Tuition_USD]]</f>
        <v>43340</v>
      </c>
      <c r="Q466" s="2">
        <f>International_Education_Costs[[#This Row],[Tuition_USD]]/International_Education_Costs[[#This Row],[Total_Cost]]</f>
        <v>3.345227475468332E-2</v>
      </c>
    </row>
    <row r="467" spans="1:17" x14ac:dyDescent="0.25">
      <c r="A467" t="s">
        <v>44</v>
      </c>
      <c r="B467" t="s">
        <v>423</v>
      </c>
      <c r="C467" t="s">
        <v>424</v>
      </c>
      <c r="D467" t="s">
        <v>71</v>
      </c>
      <c r="E467" t="s">
        <v>16</v>
      </c>
      <c r="F467">
        <v>2</v>
      </c>
      <c r="G467" s="1">
        <v>4300</v>
      </c>
      <c r="H467">
        <v>72.099999999999994</v>
      </c>
      <c r="I467" s="1">
        <v>1000</v>
      </c>
      <c r="J467" s="1">
        <v>99</v>
      </c>
      <c r="K467" s="1">
        <v>850</v>
      </c>
      <c r="L467">
        <v>0.92</v>
      </c>
      <c r="M4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30099</v>
      </c>
      <c r="N467" s="1">
        <f>International_Education_Costs[[#This Row],[Total_Cost]]/International_Education_Costs[[#This Row],[Duration_Years]]</f>
        <v>15049.5</v>
      </c>
      <c r="O467" s="1">
        <f>International_Education_Costs[[#This Row],[Rent_USD]] * 12 * International_Education_Costs[[#This Row],[Duration_Years]]</f>
        <v>24000</v>
      </c>
      <c r="P467" s="1">
        <f>International_Education_Costs[[#This Row],[Total_Cost]]-International_Education_Costs[[#This Row],[Tuition_USD]]</f>
        <v>25799</v>
      </c>
      <c r="Q467" s="2">
        <f>International_Education_Costs[[#This Row],[Tuition_USD]]/International_Education_Costs[[#This Row],[Total_Cost]]</f>
        <v>0.14286188909930561</v>
      </c>
    </row>
    <row r="468" spans="1:17" x14ac:dyDescent="0.25">
      <c r="A468" t="s">
        <v>68</v>
      </c>
      <c r="B468" t="s">
        <v>642</v>
      </c>
      <c r="C468" t="s">
        <v>643</v>
      </c>
      <c r="D468" t="s">
        <v>15</v>
      </c>
      <c r="E468" t="s">
        <v>75</v>
      </c>
      <c r="F468">
        <v>4</v>
      </c>
      <c r="G468" s="1">
        <v>15400</v>
      </c>
      <c r="H468">
        <v>71.2</v>
      </c>
      <c r="I468" s="1">
        <v>1000</v>
      </c>
      <c r="J468" s="1">
        <v>150</v>
      </c>
      <c r="K468" s="1">
        <v>750</v>
      </c>
      <c r="L468">
        <v>0.92</v>
      </c>
      <c r="M4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66550</v>
      </c>
      <c r="N468" s="1">
        <f>International_Education_Costs[[#This Row],[Total_Cost]]/International_Education_Costs[[#This Row],[Duration_Years]]</f>
        <v>16637.5</v>
      </c>
      <c r="O468" s="1">
        <f>International_Education_Costs[[#This Row],[Rent_USD]] * 12 * International_Education_Costs[[#This Row],[Duration_Years]]</f>
        <v>48000</v>
      </c>
      <c r="P468" s="1">
        <f>International_Education_Costs[[#This Row],[Total_Cost]]-International_Education_Costs[[#This Row],[Tuition_USD]]</f>
        <v>51150</v>
      </c>
      <c r="Q468" s="2">
        <f>International_Education_Costs[[#This Row],[Tuition_USD]]/International_Education_Costs[[#This Row],[Total_Cost]]</f>
        <v>0.23140495867768596</v>
      </c>
    </row>
    <row r="469" spans="1:17" x14ac:dyDescent="0.25">
      <c r="A469" t="s">
        <v>12</v>
      </c>
      <c r="B469" t="s">
        <v>94</v>
      </c>
      <c r="C469" t="s">
        <v>95</v>
      </c>
      <c r="D469" t="s">
        <v>15</v>
      </c>
      <c r="E469" t="s">
        <v>16</v>
      </c>
      <c r="F469">
        <v>2</v>
      </c>
      <c r="G469" s="1">
        <v>49000</v>
      </c>
      <c r="H469">
        <v>68.900000000000006</v>
      </c>
      <c r="I469" s="1">
        <v>1800</v>
      </c>
      <c r="J469" s="1">
        <v>160</v>
      </c>
      <c r="K469" s="1">
        <v>1500</v>
      </c>
      <c r="L469">
        <v>1</v>
      </c>
      <c r="M4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95360</v>
      </c>
      <c r="N469" s="1">
        <f>International_Education_Costs[[#This Row],[Total_Cost]]/International_Education_Costs[[#This Row],[Duration_Years]]</f>
        <v>47680</v>
      </c>
      <c r="O469" s="1">
        <f>International_Education_Costs[[#This Row],[Rent_USD]] * 12 * International_Education_Costs[[#This Row],[Duration_Years]]</f>
        <v>43200</v>
      </c>
      <c r="P469" s="1">
        <f>International_Education_Costs[[#This Row],[Total_Cost]]-International_Education_Costs[[#This Row],[Tuition_USD]]</f>
        <v>46360</v>
      </c>
      <c r="Q469" s="2">
        <f>International_Education_Costs[[#This Row],[Tuition_USD]]/International_Education_Costs[[#This Row],[Total_Cost]]</f>
        <v>0.51384228187919467</v>
      </c>
    </row>
    <row r="470" spans="1:17" x14ac:dyDescent="0.25">
      <c r="A470" t="s">
        <v>17</v>
      </c>
      <c r="B470" t="s">
        <v>173</v>
      </c>
      <c r="C470" t="s">
        <v>644</v>
      </c>
      <c r="D470" t="s">
        <v>20</v>
      </c>
      <c r="E470" t="s">
        <v>16</v>
      </c>
      <c r="F470">
        <v>1</v>
      </c>
      <c r="G470" s="1">
        <v>35000</v>
      </c>
      <c r="H470">
        <v>65.400000000000006</v>
      </c>
      <c r="I470" s="1">
        <v>1000</v>
      </c>
      <c r="J470" s="1">
        <v>485</v>
      </c>
      <c r="K470" s="1">
        <v>800</v>
      </c>
      <c r="L470">
        <v>0.79</v>
      </c>
      <c r="M4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48285</v>
      </c>
      <c r="N470" s="1">
        <f>International_Education_Costs[[#This Row],[Total_Cost]]/International_Education_Costs[[#This Row],[Duration_Years]]</f>
        <v>48285</v>
      </c>
      <c r="O470" s="1">
        <f>International_Education_Costs[[#This Row],[Rent_USD]] * 12 * International_Education_Costs[[#This Row],[Duration_Years]]</f>
        <v>12000</v>
      </c>
      <c r="P470" s="1">
        <f>International_Education_Costs[[#This Row],[Total_Cost]]-International_Education_Costs[[#This Row],[Tuition_USD]]</f>
        <v>13285</v>
      </c>
      <c r="Q470" s="2">
        <f>International_Education_Costs[[#This Row],[Tuition_USD]]/International_Education_Costs[[#This Row],[Total_Cost]]</f>
        <v>0.72486279382831109</v>
      </c>
    </row>
    <row r="471" spans="1:17" x14ac:dyDescent="0.25">
      <c r="A471" t="s">
        <v>48</v>
      </c>
      <c r="B471" t="s">
        <v>439</v>
      </c>
      <c r="C471" t="s">
        <v>440</v>
      </c>
      <c r="D471" t="s">
        <v>71</v>
      </c>
      <c r="E471" t="s">
        <v>16</v>
      </c>
      <c r="F471">
        <v>2</v>
      </c>
      <c r="G471" s="1">
        <v>1500</v>
      </c>
      <c r="H471">
        <v>112.1</v>
      </c>
      <c r="I471" s="1">
        <v>1600</v>
      </c>
      <c r="J471" s="1">
        <v>140</v>
      </c>
      <c r="K471" s="1">
        <v>1200</v>
      </c>
      <c r="L471">
        <v>0.89</v>
      </c>
      <c r="M4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42440</v>
      </c>
      <c r="N471" s="1">
        <f>International_Education_Costs[[#This Row],[Total_Cost]]/International_Education_Costs[[#This Row],[Duration_Years]]</f>
        <v>21220</v>
      </c>
      <c r="O471" s="1">
        <f>International_Education_Costs[[#This Row],[Rent_USD]] * 12 * International_Education_Costs[[#This Row],[Duration_Years]]</f>
        <v>38400</v>
      </c>
      <c r="P471" s="1">
        <f>International_Education_Costs[[#This Row],[Total_Cost]]-International_Education_Costs[[#This Row],[Tuition_USD]]</f>
        <v>40940</v>
      </c>
      <c r="Q471" s="2">
        <f>International_Education_Costs[[#This Row],[Tuition_USD]]/International_Education_Costs[[#This Row],[Total_Cost]]</f>
        <v>3.5344015080113103E-2</v>
      </c>
    </row>
    <row r="472" spans="1:17" x14ac:dyDescent="0.25">
      <c r="A472" t="s">
        <v>44</v>
      </c>
      <c r="B472" t="s">
        <v>422</v>
      </c>
      <c r="C472" t="s">
        <v>645</v>
      </c>
      <c r="D472" t="s">
        <v>15</v>
      </c>
      <c r="E472" t="s">
        <v>16</v>
      </c>
      <c r="F472">
        <v>2</v>
      </c>
      <c r="G472" s="1">
        <v>4100</v>
      </c>
      <c r="H472">
        <v>76.5</v>
      </c>
      <c r="I472" s="1">
        <v>1300</v>
      </c>
      <c r="J472" s="1">
        <v>99</v>
      </c>
      <c r="K472" s="1">
        <v>850</v>
      </c>
      <c r="L472">
        <v>0.92</v>
      </c>
      <c r="M4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37099</v>
      </c>
      <c r="N472" s="1">
        <f>International_Education_Costs[[#This Row],[Total_Cost]]/International_Education_Costs[[#This Row],[Duration_Years]]</f>
        <v>18549.5</v>
      </c>
      <c r="O472" s="1">
        <f>International_Education_Costs[[#This Row],[Rent_USD]] * 12 * International_Education_Costs[[#This Row],[Duration_Years]]</f>
        <v>31200</v>
      </c>
      <c r="P472" s="1">
        <f>International_Education_Costs[[#This Row],[Total_Cost]]-International_Education_Costs[[#This Row],[Tuition_USD]]</f>
        <v>32999</v>
      </c>
      <c r="Q472" s="2">
        <f>International_Education_Costs[[#This Row],[Tuition_USD]]/International_Education_Costs[[#This Row],[Total_Cost]]</f>
        <v>0.11051510822394135</v>
      </c>
    </row>
    <row r="473" spans="1:17" x14ac:dyDescent="0.25">
      <c r="A473" t="s">
        <v>68</v>
      </c>
      <c r="B473" t="s">
        <v>646</v>
      </c>
      <c r="C473" t="s">
        <v>647</v>
      </c>
      <c r="D473" t="s">
        <v>20</v>
      </c>
      <c r="E473" t="s">
        <v>122</v>
      </c>
      <c r="F473">
        <v>4</v>
      </c>
      <c r="G473" s="1">
        <v>14900</v>
      </c>
      <c r="H473">
        <v>70.099999999999994</v>
      </c>
      <c r="I473" s="1">
        <v>950</v>
      </c>
      <c r="J473" s="1">
        <v>150</v>
      </c>
      <c r="K473" s="1">
        <v>750</v>
      </c>
      <c r="L473">
        <v>0.92</v>
      </c>
      <c r="M4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63650</v>
      </c>
      <c r="N473" s="1">
        <f>International_Education_Costs[[#This Row],[Total_Cost]]/International_Education_Costs[[#This Row],[Duration_Years]]</f>
        <v>15912.5</v>
      </c>
      <c r="O473" s="1">
        <f>International_Education_Costs[[#This Row],[Rent_USD]] * 12 * International_Education_Costs[[#This Row],[Duration_Years]]</f>
        <v>45600</v>
      </c>
      <c r="P473" s="1">
        <f>International_Education_Costs[[#This Row],[Total_Cost]]-International_Education_Costs[[#This Row],[Tuition_USD]]</f>
        <v>48750</v>
      </c>
      <c r="Q473" s="2">
        <f>International_Education_Costs[[#This Row],[Tuition_USD]]/International_Education_Costs[[#This Row],[Total_Cost]]</f>
        <v>0.23409269442262373</v>
      </c>
    </row>
    <row r="474" spans="1:17" x14ac:dyDescent="0.25">
      <c r="A474" t="s">
        <v>12</v>
      </c>
      <c r="B474" t="s">
        <v>648</v>
      </c>
      <c r="C474" t="s">
        <v>649</v>
      </c>
      <c r="D474" t="s">
        <v>71</v>
      </c>
      <c r="E474" t="s">
        <v>16</v>
      </c>
      <c r="F474">
        <v>2</v>
      </c>
      <c r="G474" s="1">
        <v>47000</v>
      </c>
      <c r="H474">
        <v>69.8</v>
      </c>
      <c r="I474" s="1">
        <v>1700</v>
      </c>
      <c r="J474" s="1">
        <v>160</v>
      </c>
      <c r="K474" s="1">
        <v>1500</v>
      </c>
      <c r="L474">
        <v>1</v>
      </c>
      <c r="M4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90960</v>
      </c>
      <c r="N474" s="1">
        <f>International_Education_Costs[[#This Row],[Total_Cost]]/International_Education_Costs[[#This Row],[Duration_Years]]</f>
        <v>45480</v>
      </c>
      <c r="O474" s="1">
        <f>International_Education_Costs[[#This Row],[Rent_USD]] * 12 * International_Education_Costs[[#This Row],[Duration_Years]]</f>
        <v>40800</v>
      </c>
      <c r="P474" s="1">
        <f>International_Education_Costs[[#This Row],[Total_Cost]]-International_Education_Costs[[#This Row],[Tuition_USD]]</f>
        <v>43960</v>
      </c>
      <c r="Q474" s="2">
        <f>International_Education_Costs[[#This Row],[Tuition_USD]]/International_Education_Costs[[#This Row],[Total_Cost]]</f>
        <v>0.51671064204045736</v>
      </c>
    </row>
    <row r="475" spans="1:17" x14ac:dyDescent="0.25">
      <c r="A475" t="s">
        <v>17</v>
      </c>
      <c r="B475" t="s">
        <v>291</v>
      </c>
      <c r="C475" t="s">
        <v>650</v>
      </c>
      <c r="D475" t="s">
        <v>15</v>
      </c>
      <c r="E475" t="s">
        <v>75</v>
      </c>
      <c r="F475">
        <v>3</v>
      </c>
      <c r="G475" s="1">
        <v>34000</v>
      </c>
      <c r="H475">
        <v>63.2</v>
      </c>
      <c r="I475" s="1">
        <v>900</v>
      </c>
      <c r="J475" s="1">
        <v>485</v>
      </c>
      <c r="K475" s="1">
        <v>800</v>
      </c>
      <c r="L475">
        <v>0.79</v>
      </c>
      <c r="M4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69285</v>
      </c>
      <c r="N475" s="1">
        <f>International_Education_Costs[[#This Row],[Total_Cost]]/International_Education_Costs[[#This Row],[Duration_Years]]</f>
        <v>23095</v>
      </c>
      <c r="O475" s="1">
        <f>International_Education_Costs[[#This Row],[Rent_USD]] * 12 * International_Education_Costs[[#This Row],[Duration_Years]]</f>
        <v>32400</v>
      </c>
      <c r="P475" s="1">
        <f>International_Education_Costs[[#This Row],[Total_Cost]]-International_Education_Costs[[#This Row],[Tuition_USD]]</f>
        <v>35285</v>
      </c>
      <c r="Q475" s="2">
        <f>International_Education_Costs[[#This Row],[Tuition_USD]]/International_Education_Costs[[#This Row],[Total_Cost]]</f>
        <v>0.49072670852276828</v>
      </c>
    </row>
    <row r="476" spans="1:17" x14ac:dyDescent="0.25">
      <c r="A476" t="s">
        <v>48</v>
      </c>
      <c r="B476" t="s">
        <v>437</v>
      </c>
      <c r="C476" t="s">
        <v>438</v>
      </c>
      <c r="D476" t="s">
        <v>20</v>
      </c>
      <c r="E476" t="s">
        <v>16</v>
      </c>
      <c r="F476">
        <v>2</v>
      </c>
      <c r="G476" s="1">
        <v>1500</v>
      </c>
      <c r="H476">
        <v>110.4</v>
      </c>
      <c r="I476" s="1">
        <v>1500</v>
      </c>
      <c r="J476" s="1">
        <v>140</v>
      </c>
      <c r="K476" s="1">
        <v>1200</v>
      </c>
      <c r="L476">
        <v>0.89</v>
      </c>
      <c r="M4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40040</v>
      </c>
      <c r="N476" s="1">
        <f>International_Education_Costs[[#This Row],[Total_Cost]]/International_Education_Costs[[#This Row],[Duration_Years]]</f>
        <v>20020</v>
      </c>
      <c r="O476" s="1">
        <f>International_Education_Costs[[#This Row],[Rent_USD]] * 12 * International_Education_Costs[[#This Row],[Duration_Years]]</f>
        <v>36000</v>
      </c>
      <c r="P476" s="1">
        <f>International_Education_Costs[[#This Row],[Total_Cost]]-International_Education_Costs[[#This Row],[Tuition_USD]]</f>
        <v>38540</v>
      </c>
      <c r="Q476" s="2">
        <f>International_Education_Costs[[#This Row],[Tuition_USD]]/International_Education_Costs[[#This Row],[Total_Cost]]</f>
        <v>3.7462537462537464E-2</v>
      </c>
    </row>
    <row r="477" spans="1:17" x14ac:dyDescent="0.25">
      <c r="A477" t="s">
        <v>44</v>
      </c>
      <c r="B477" t="s">
        <v>425</v>
      </c>
      <c r="C477" t="s">
        <v>651</v>
      </c>
      <c r="D477" t="s">
        <v>71</v>
      </c>
      <c r="E477" t="s">
        <v>122</v>
      </c>
      <c r="F477">
        <v>4</v>
      </c>
      <c r="G477" s="1">
        <v>4200</v>
      </c>
      <c r="H477">
        <v>69.8</v>
      </c>
      <c r="I477" s="1">
        <v>950</v>
      </c>
      <c r="J477" s="1">
        <v>99</v>
      </c>
      <c r="K477" s="1">
        <v>850</v>
      </c>
      <c r="L477">
        <v>0.92</v>
      </c>
      <c r="M4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53299</v>
      </c>
      <c r="N477" s="1">
        <f>International_Education_Costs[[#This Row],[Total_Cost]]/International_Education_Costs[[#This Row],[Duration_Years]]</f>
        <v>13324.75</v>
      </c>
      <c r="O477" s="1">
        <f>International_Education_Costs[[#This Row],[Rent_USD]] * 12 * International_Education_Costs[[#This Row],[Duration_Years]]</f>
        <v>45600</v>
      </c>
      <c r="P477" s="1">
        <f>International_Education_Costs[[#This Row],[Total_Cost]]-International_Education_Costs[[#This Row],[Tuition_USD]]</f>
        <v>49099</v>
      </c>
      <c r="Q477" s="2">
        <f>International_Education_Costs[[#This Row],[Tuition_USD]]/International_Education_Costs[[#This Row],[Total_Cost]]</f>
        <v>7.8800727968629802E-2</v>
      </c>
    </row>
    <row r="478" spans="1:17" x14ac:dyDescent="0.25">
      <c r="A478" t="s">
        <v>68</v>
      </c>
      <c r="B478" t="s">
        <v>652</v>
      </c>
      <c r="C478" t="s">
        <v>653</v>
      </c>
      <c r="D478" t="s">
        <v>15</v>
      </c>
      <c r="E478" t="s">
        <v>16</v>
      </c>
      <c r="F478">
        <v>2</v>
      </c>
      <c r="G478" s="1">
        <v>14500</v>
      </c>
      <c r="H478">
        <v>68.900000000000006</v>
      </c>
      <c r="I478" s="1">
        <v>900</v>
      </c>
      <c r="J478" s="1">
        <v>150</v>
      </c>
      <c r="K478" s="1">
        <v>750</v>
      </c>
      <c r="L478">
        <v>0.92</v>
      </c>
      <c r="M4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37750</v>
      </c>
      <c r="N478" s="1">
        <f>International_Education_Costs[[#This Row],[Total_Cost]]/International_Education_Costs[[#This Row],[Duration_Years]]</f>
        <v>18875</v>
      </c>
      <c r="O478" s="1">
        <f>International_Education_Costs[[#This Row],[Rent_USD]] * 12 * International_Education_Costs[[#This Row],[Duration_Years]]</f>
        <v>21600</v>
      </c>
      <c r="P478" s="1">
        <f>International_Education_Costs[[#This Row],[Total_Cost]]-International_Education_Costs[[#This Row],[Tuition_USD]]</f>
        <v>23250</v>
      </c>
      <c r="Q478" s="2">
        <f>International_Education_Costs[[#This Row],[Tuition_USD]]/International_Education_Costs[[#This Row],[Total_Cost]]</f>
        <v>0.38410596026490068</v>
      </c>
    </row>
    <row r="479" spans="1:17" x14ac:dyDescent="0.25">
      <c r="A479" t="s">
        <v>12</v>
      </c>
      <c r="B479" t="s">
        <v>654</v>
      </c>
      <c r="C479" t="s">
        <v>655</v>
      </c>
      <c r="D479" t="s">
        <v>20</v>
      </c>
      <c r="E479" t="s">
        <v>16</v>
      </c>
      <c r="F479">
        <v>2</v>
      </c>
      <c r="G479" s="1">
        <v>45000</v>
      </c>
      <c r="H479">
        <v>71.2</v>
      </c>
      <c r="I479" s="1">
        <v>1600</v>
      </c>
      <c r="J479" s="1">
        <v>160</v>
      </c>
      <c r="K479" s="1">
        <v>1500</v>
      </c>
      <c r="L479">
        <v>1</v>
      </c>
      <c r="M4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86560</v>
      </c>
      <c r="N479" s="1">
        <f>International_Education_Costs[[#This Row],[Total_Cost]]/International_Education_Costs[[#This Row],[Duration_Years]]</f>
        <v>43280</v>
      </c>
      <c r="O479" s="1">
        <f>International_Education_Costs[[#This Row],[Rent_USD]] * 12 * International_Education_Costs[[#This Row],[Duration_Years]]</f>
        <v>38400</v>
      </c>
      <c r="P479" s="1">
        <f>International_Education_Costs[[#This Row],[Total_Cost]]-International_Education_Costs[[#This Row],[Tuition_USD]]</f>
        <v>41560</v>
      </c>
      <c r="Q479" s="2">
        <f>International_Education_Costs[[#This Row],[Tuition_USD]]/International_Education_Costs[[#This Row],[Total_Cost]]</f>
        <v>0.51987060998151569</v>
      </c>
    </row>
    <row r="480" spans="1:17" x14ac:dyDescent="0.25">
      <c r="A480" t="s">
        <v>17</v>
      </c>
      <c r="B480" t="s">
        <v>97</v>
      </c>
      <c r="C480" t="s">
        <v>656</v>
      </c>
      <c r="D480" t="s">
        <v>15</v>
      </c>
      <c r="E480" t="s">
        <v>16</v>
      </c>
      <c r="F480">
        <v>1</v>
      </c>
      <c r="G480" s="1">
        <v>33000</v>
      </c>
      <c r="H480">
        <v>68.900000000000006</v>
      </c>
      <c r="I480" s="1">
        <v>1100</v>
      </c>
      <c r="J480" s="1">
        <v>485</v>
      </c>
      <c r="K480" s="1">
        <v>800</v>
      </c>
      <c r="L480">
        <v>0.79</v>
      </c>
      <c r="M4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47485</v>
      </c>
      <c r="N480" s="1">
        <f>International_Education_Costs[[#This Row],[Total_Cost]]/International_Education_Costs[[#This Row],[Duration_Years]]</f>
        <v>47485</v>
      </c>
      <c r="O480" s="1">
        <f>International_Education_Costs[[#This Row],[Rent_USD]] * 12 * International_Education_Costs[[#This Row],[Duration_Years]]</f>
        <v>13200</v>
      </c>
      <c r="P480" s="1">
        <f>International_Education_Costs[[#This Row],[Total_Cost]]-International_Education_Costs[[#This Row],[Tuition_USD]]</f>
        <v>14485</v>
      </c>
      <c r="Q480" s="2">
        <f>International_Education_Costs[[#This Row],[Tuition_USD]]/International_Education_Costs[[#This Row],[Total_Cost]]</f>
        <v>0.69495630199010217</v>
      </c>
    </row>
    <row r="481" spans="1:17" x14ac:dyDescent="0.25">
      <c r="A481" t="s">
        <v>48</v>
      </c>
      <c r="B481" t="s">
        <v>442</v>
      </c>
      <c r="C481" t="s">
        <v>657</v>
      </c>
      <c r="D481" t="s">
        <v>71</v>
      </c>
      <c r="E481" t="s">
        <v>16</v>
      </c>
      <c r="F481">
        <v>2</v>
      </c>
      <c r="G481" s="1">
        <v>1500</v>
      </c>
      <c r="H481">
        <v>108.9</v>
      </c>
      <c r="I481" s="1">
        <v>1400</v>
      </c>
      <c r="J481" s="1">
        <v>140</v>
      </c>
      <c r="K481" s="1">
        <v>1200</v>
      </c>
      <c r="L481">
        <v>0.89</v>
      </c>
      <c r="M4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37640</v>
      </c>
      <c r="N481" s="1">
        <f>International_Education_Costs[[#This Row],[Total_Cost]]/International_Education_Costs[[#This Row],[Duration_Years]]</f>
        <v>18820</v>
      </c>
      <c r="O481" s="1">
        <f>International_Education_Costs[[#This Row],[Rent_USD]] * 12 * International_Education_Costs[[#This Row],[Duration_Years]]</f>
        <v>33600</v>
      </c>
      <c r="P481" s="1">
        <f>International_Education_Costs[[#This Row],[Total_Cost]]-International_Education_Costs[[#This Row],[Tuition_USD]]</f>
        <v>36140</v>
      </c>
      <c r="Q481" s="2">
        <f>International_Education_Costs[[#This Row],[Tuition_USD]]/International_Education_Costs[[#This Row],[Total_Cost]]</f>
        <v>3.9851222104144525E-2</v>
      </c>
    </row>
    <row r="482" spans="1:17" x14ac:dyDescent="0.25">
      <c r="A482" t="s">
        <v>44</v>
      </c>
      <c r="B482" t="s">
        <v>428</v>
      </c>
      <c r="C482" t="s">
        <v>429</v>
      </c>
      <c r="D482" t="s">
        <v>15</v>
      </c>
      <c r="E482" t="s">
        <v>16</v>
      </c>
      <c r="F482">
        <v>2</v>
      </c>
      <c r="G482" s="1">
        <v>4000</v>
      </c>
      <c r="H482">
        <v>70.2</v>
      </c>
      <c r="I482" s="1">
        <v>1000</v>
      </c>
      <c r="J482" s="1">
        <v>99</v>
      </c>
      <c r="K482" s="1">
        <v>850</v>
      </c>
      <c r="L482">
        <v>0.92</v>
      </c>
      <c r="M4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29799</v>
      </c>
      <c r="N482" s="1">
        <f>International_Education_Costs[[#This Row],[Total_Cost]]/International_Education_Costs[[#This Row],[Duration_Years]]</f>
        <v>14899.5</v>
      </c>
      <c r="O482" s="1">
        <f>International_Education_Costs[[#This Row],[Rent_USD]] * 12 * International_Education_Costs[[#This Row],[Duration_Years]]</f>
        <v>24000</v>
      </c>
      <c r="P482" s="1">
        <f>International_Education_Costs[[#This Row],[Total_Cost]]-International_Education_Costs[[#This Row],[Tuition_USD]]</f>
        <v>25799</v>
      </c>
      <c r="Q482" s="2">
        <f>International_Education_Costs[[#This Row],[Tuition_USD]]/International_Education_Costs[[#This Row],[Total_Cost]]</f>
        <v>0.13423269237222726</v>
      </c>
    </row>
    <row r="483" spans="1:17" x14ac:dyDescent="0.25">
      <c r="A483" t="s">
        <v>68</v>
      </c>
      <c r="B483" t="s">
        <v>658</v>
      </c>
      <c r="C483" t="s">
        <v>659</v>
      </c>
      <c r="D483" t="s">
        <v>20</v>
      </c>
      <c r="E483" t="s">
        <v>75</v>
      </c>
      <c r="F483">
        <v>4</v>
      </c>
      <c r="G483" s="1">
        <v>14000</v>
      </c>
      <c r="H483">
        <v>67.5</v>
      </c>
      <c r="I483" s="1">
        <v>850</v>
      </c>
      <c r="J483" s="1">
        <v>150</v>
      </c>
      <c r="K483" s="1">
        <v>750</v>
      </c>
      <c r="L483">
        <v>0.92</v>
      </c>
      <c r="M4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57950</v>
      </c>
      <c r="N483" s="1">
        <f>International_Education_Costs[[#This Row],[Total_Cost]]/International_Education_Costs[[#This Row],[Duration_Years]]</f>
        <v>14487.5</v>
      </c>
      <c r="O483" s="1">
        <f>International_Education_Costs[[#This Row],[Rent_USD]] * 12 * International_Education_Costs[[#This Row],[Duration_Years]]</f>
        <v>40800</v>
      </c>
      <c r="P483" s="1">
        <f>International_Education_Costs[[#This Row],[Total_Cost]]-International_Education_Costs[[#This Row],[Tuition_USD]]</f>
        <v>43950</v>
      </c>
      <c r="Q483" s="2">
        <f>International_Education_Costs[[#This Row],[Tuition_USD]]/International_Education_Costs[[#This Row],[Total_Cost]]</f>
        <v>0.24158757549611734</v>
      </c>
    </row>
    <row r="484" spans="1:17" x14ac:dyDescent="0.25">
      <c r="A484" t="s">
        <v>12</v>
      </c>
      <c r="B484" t="s">
        <v>286</v>
      </c>
      <c r="C484" t="s">
        <v>287</v>
      </c>
      <c r="D484" t="s">
        <v>15</v>
      </c>
      <c r="E484" t="s">
        <v>122</v>
      </c>
      <c r="F484">
        <v>4</v>
      </c>
      <c r="G484" s="1">
        <v>48000</v>
      </c>
      <c r="H484">
        <v>72.3</v>
      </c>
      <c r="I484" s="1">
        <v>1700</v>
      </c>
      <c r="J484" s="1">
        <v>160</v>
      </c>
      <c r="K484" s="1">
        <v>1500</v>
      </c>
      <c r="L484">
        <v>1</v>
      </c>
      <c r="M4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135760</v>
      </c>
      <c r="N484" s="1">
        <f>International_Education_Costs[[#This Row],[Total_Cost]]/International_Education_Costs[[#This Row],[Duration_Years]]</f>
        <v>33940</v>
      </c>
      <c r="O484" s="1">
        <f>International_Education_Costs[[#This Row],[Rent_USD]] * 12 * International_Education_Costs[[#This Row],[Duration_Years]]</f>
        <v>81600</v>
      </c>
      <c r="P484" s="1">
        <f>International_Education_Costs[[#This Row],[Total_Cost]]-International_Education_Costs[[#This Row],[Tuition_USD]]</f>
        <v>87760</v>
      </c>
      <c r="Q484" s="2">
        <f>International_Education_Costs[[#This Row],[Tuition_USD]]/International_Education_Costs[[#This Row],[Total_Cost]]</f>
        <v>0.35356511490866233</v>
      </c>
    </row>
    <row r="485" spans="1:17" x14ac:dyDescent="0.25">
      <c r="A485" t="s">
        <v>17</v>
      </c>
      <c r="B485" t="s">
        <v>304</v>
      </c>
      <c r="C485" t="s">
        <v>305</v>
      </c>
      <c r="D485" t="s">
        <v>71</v>
      </c>
      <c r="E485" t="s">
        <v>16</v>
      </c>
      <c r="F485">
        <v>1</v>
      </c>
      <c r="G485" s="1">
        <v>34000</v>
      </c>
      <c r="H485">
        <v>64.5</v>
      </c>
      <c r="I485" s="1">
        <v>950</v>
      </c>
      <c r="J485" s="1">
        <v>485</v>
      </c>
      <c r="K485" s="1">
        <v>800</v>
      </c>
      <c r="L485">
        <v>0.79</v>
      </c>
      <c r="M4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46685</v>
      </c>
      <c r="N485" s="1">
        <f>International_Education_Costs[[#This Row],[Total_Cost]]/International_Education_Costs[[#This Row],[Duration_Years]]</f>
        <v>46685</v>
      </c>
      <c r="O485" s="1">
        <f>International_Education_Costs[[#This Row],[Rent_USD]] * 12 * International_Education_Costs[[#This Row],[Duration_Years]]</f>
        <v>11400</v>
      </c>
      <c r="P485" s="1">
        <f>International_Education_Costs[[#This Row],[Total_Cost]]-International_Education_Costs[[#This Row],[Tuition_USD]]</f>
        <v>12685</v>
      </c>
      <c r="Q485" s="2">
        <f>International_Education_Costs[[#This Row],[Tuition_USD]]/International_Education_Costs[[#This Row],[Total_Cost]]</f>
        <v>0.72828531648281036</v>
      </c>
    </row>
    <row r="486" spans="1:17" x14ac:dyDescent="0.25">
      <c r="A486" t="s">
        <v>48</v>
      </c>
      <c r="B486" t="s">
        <v>444</v>
      </c>
      <c r="C486" t="s">
        <v>445</v>
      </c>
      <c r="D486" t="s">
        <v>15</v>
      </c>
      <c r="E486" t="s">
        <v>16</v>
      </c>
      <c r="F486">
        <v>2</v>
      </c>
      <c r="G486" s="1">
        <v>1500</v>
      </c>
      <c r="H486">
        <v>107.8</v>
      </c>
      <c r="I486" s="1">
        <v>1300</v>
      </c>
      <c r="J486" s="1">
        <v>140</v>
      </c>
      <c r="K486" s="1">
        <v>1200</v>
      </c>
      <c r="L486">
        <v>0.89</v>
      </c>
      <c r="M4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35240</v>
      </c>
      <c r="N486" s="1">
        <f>International_Education_Costs[[#This Row],[Total_Cost]]/International_Education_Costs[[#This Row],[Duration_Years]]</f>
        <v>17620</v>
      </c>
      <c r="O486" s="1">
        <f>International_Education_Costs[[#This Row],[Rent_USD]] * 12 * International_Education_Costs[[#This Row],[Duration_Years]]</f>
        <v>31200</v>
      </c>
      <c r="P486" s="1">
        <f>International_Education_Costs[[#This Row],[Total_Cost]]-International_Education_Costs[[#This Row],[Tuition_USD]]</f>
        <v>33740</v>
      </c>
      <c r="Q486" s="2">
        <f>International_Education_Costs[[#This Row],[Tuition_USD]]/International_Education_Costs[[#This Row],[Total_Cost]]</f>
        <v>4.2565266742338251E-2</v>
      </c>
    </row>
    <row r="487" spans="1:17" x14ac:dyDescent="0.25">
      <c r="A487" t="s">
        <v>44</v>
      </c>
      <c r="B487" t="s">
        <v>420</v>
      </c>
      <c r="C487" t="s">
        <v>421</v>
      </c>
      <c r="D487" t="s">
        <v>20</v>
      </c>
      <c r="E487" t="s">
        <v>16</v>
      </c>
      <c r="F487">
        <v>2</v>
      </c>
      <c r="G487" s="1">
        <v>4100</v>
      </c>
      <c r="H487">
        <v>71.5</v>
      </c>
      <c r="I487" s="1">
        <v>1100</v>
      </c>
      <c r="J487" s="1">
        <v>99</v>
      </c>
      <c r="K487" s="1">
        <v>850</v>
      </c>
      <c r="L487">
        <v>0.92</v>
      </c>
      <c r="M4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32299</v>
      </c>
      <c r="N487" s="1">
        <f>International_Education_Costs[[#This Row],[Total_Cost]]/International_Education_Costs[[#This Row],[Duration_Years]]</f>
        <v>16149.5</v>
      </c>
      <c r="O487" s="1">
        <f>International_Education_Costs[[#This Row],[Rent_USD]] * 12 * International_Education_Costs[[#This Row],[Duration_Years]]</f>
        <v>26400</v>
      </c>
      <c r="P487" s="1">
        <f>International_Education_Costs[[#This Row],[Total_Cost]]-International_Education_Costs[[#This Row],[Tuition_USD]]</f>
        <v>28199</v>
      </c>
      <c r="Q487" s="2">
        <f>International_Education_Costs[[#This Row],[Tuition_USD]]/International_Education_Costs[[#This Row],[Total_Cost]]</f>
        <v>0.12693891451747732</v>
      </c>
    </row>
    <row r="488" spans="1:17" x14ac:dyDescent="0.25">
      <c r="A488" t="s">
        <v>68</v>
      </c>
      <c r="B488" t="s">
        <v>660</v>
      </c>
      <c r="C488" t="s">
        <v>661</v>
      </c>
      <c r="D488" t="s">
        <v>71</v>
      </c>
      <c r="E488" t="s">
        <v>16</v>
      </c>
      <c r="F488">
        <v>2</v>
      </c>
      <c r="G488" s="1">
        <v>13800</v>
      </c>
      <c r="H488">
        <v>66.7</v>
      </c>
      <c r="I488" s="1">
        <v>800</v>
      </c>
      <c r="J488" s="1">
        <v>150</v>
      </c>
      <c r="K488" s="1">
        <v>750</v>
      </c>
      <c r="L488">
        <v>0.92</v>
      </c>
      <c r="M4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34650</v>
      </c>
      <c r="N488" s="1">
        <f>International_Education_Costs[[#This Row],[Total_Cost]]/International_Education_Costs[[#This Row],[Duration_Years]]</f>
        <v>17325</v>
      </c>
      <c r="O488" s="1">
        <f>International_Education_Costs[[#This Row],[Rent_USD]] * 12 * International_Education_Costs[[#This Row],[Duration_Years]]</f>
        <v>19200</v>
      </c>
      <c r="P488" s="1">
        <f>International_Education_Costs[[#This Row],[Total_Cost]]-International_Education_Costs[[#This Row],[Tuition_USD]]</f>
        <v>20850</v>
      </c>
      <c r="Q488" s="2">
        <f>International_Education_Costs[[#This Row],[Tuition_USD]]/International_Education_Costs[[#This Row],[Total_Cost]]</f>
        <v>0.39826839826839827</v>
      </c>
    </row>
    <row r="489" spans="1:17" x14ac:dyDescent="0.25">
      <c r="A489" t="s">
        <v>196</v>
      </c>
      <c r="B489" t="s">
        <v>197</v>
      </c>
      <c r="C489" t="s">
        <v>198</v>
      </c>
      <c r="D489" t="s">
        <v>15</v>
      </c>
      <c r="E489" t="s">
        <v>16</v>
      </c>
      <c r="F489">
        <v>2</v>
      </c>
      <c r="G489" s="1">
        <v>0</v>
      </c>
      <c r="H489">
        <v>83.2</v>
      </c>
      <c r="I489" s="1">
        <v>1400</v>
      </c>
      <c r="J489" s="1">
        <v>275</v>
      </c>
      <c r="K489" s="1">
        <v>700</v>
      </c>
      <c r="L489">
        <v>10.45</v>
      </c>
      <c r="M4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35275</v>
      </c>
      <c r="N489" s="1">
        <f>International_Education_Costs[[#This Row],[Total_Cost]]/International_Education_Costs[[#This Row],[Duration_Years]]</f>
        <v>17637.5</v>
      </c>
      <c r="O489" s="1">
        <f>International_Education_Costs[[#This Row],[Rent_USD]] * 12 * International_Education_Costs[[#This Row],[Duration_Years]]</f>
        <v>33600</v>
      </c>
      <c r="P489" s="1">
        <f>International_Education_Costs[[#This Row],[Total_Cost]]-International_Education_Costs[[#This Row],[Tuition_USD]]</f>
        <v>35275</v>
      </c>
      <c r="Q489" s="2">
        <f>International_Education_Costs[[#This Row],[Tuition_USD]]/International_Education_Costs[[#This Row],[Total_Cost]]</f>
        <v>0</v>
      </c>
    </row>
    <row r="490" spans="1:17" x14ac:dyDescent="0.25">
      <c r="A490" t="s">
        <v>193</v>
      </c>
      <c r="B490" t="s">
        <v>194</v>
      </c>
      <c r="C490" t="s">
        <v>195</v>
      </c>
      <c r="D490" t="s">
        <v>20</v>
      </c>
      <c r="E490" t="s">
        <v>16</v>
      </c>
      <c r="F490">
        <v>2</v>
      </c>
      <c r="G490" s="1">
        <v>0</v>
      </c>
      <c r="H490">
        <v>79.400000000000006</v>
      </c>
      <c r="I490" s="1">
        <v>1200</v>
      </c>
      <c r="J490" s="1">
        <v>350</v>
      </c>
      <c r="K490" s="1">
        <v>650</v>
      </c>
      <c r="L490">
        <v>0.92</v>
      </c>
      <c r="M4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30450</v>
      </c>
      <c r="N490" s="1">
        <f>International_Education_Costs[[#This Row],[Total_Cost]]/International_Education_Costs[[#This Row],[Duration_Years]]</f>
        <v>15225</v>
      </c>
      <c r="O490" s="1">
        <f>International_Education_Costs[[#This Row],[Rent_USD]] * 12 * International_Education_Costs[[#This Row],[Duration_Years]]</f>
        <v>28800</v>
      </c>
      <c r="P490" s="1">
        <f>International_Education_Costs[[#This Row],[Total_Cost]]-International_Education_Costs[[#This Row],[Tuition_USD]]</f>
        <v>30450</v>
      </c>
      <c r="Q490" s="2">
        <f>International_Education_Costs[[#This Row],[Tuition_USD]]/International_Education_Costs[[#This Row],[Total_Cost]]</f>
        <v>0</v>
      </c>
    </row>
    <row r="491" spans="1:17" x14ac:dyDescent="0.25">
      <c r="A491" t="s">
        <v>29</v>
      </c>
      <c r="B491" t="s">
        <v>181</v>
      </c>
      <c r="C491" t="s">
        <v>662</v>
      </c>
      <c r="D491" t="s">
        <v>32</v>
      </c>
      <c r="E491" t="s">
        <v>16</v>
      </c>
      <c r="F491">
        <v>2</v>
      </c>
      <c r="G491" s="1">
        <v>0</v>
      </c>
      <c r="H491">
        <v>68.900000000000006</v>
      </c>
      <c r="I491" s="1">
        <v>1100</v>
      </c>
      <c r="J491" s="1">
        <v>110</v>
      </c>
      <c r="K491" s="1">
        <v>900</v>
      </c>
      <c r="L491">
        <v>0.92</v>
      </c>
      <c r="M4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28310</v>
      </c>
      <c r="N491" s="1">
        <f>International_Education_Costs[[#This Row],[Total_Cost]]/International_Education_Costs[[#This Row],[Duration_Years]]</f>
        <v>14155</v>
      </c>
      <c r="O491" s="1">
        <f>International_Education_Costs[[#This Row],[Rent_USD]] * 12 * International_Education_Costs[[#This Row],[Duration_Years]]</f>
        <v>26400</v>
      </c>
      <c r="P491" s="1">
        <f>International_Education_Costs[[#This Row],[Total_Cost]]-International_Education_Costs[[#This Row],[Tuition_USD]]</f>
        <v>28310</v>
      </c>
      <c r="Q491" s="2">
        <f>International_Education_Costs[[#This Row],[Tuition_USD]]/International_Education_Costs[[#This Row],[Total_Cost]]</f>
        <v>0</v>
      </c>
    </row>
    <row r="492" spans="1:17" x14ac:dyDescent="0.25">
      <c r="A492" t="s">
        <v>56</v>
      </c>
      <c r="B492" t="s">
        <v>57</v>
      </c>
      <c r="C492" t="s">
        <v>58</v>
      </c>
      <c r="D492" t="s">
        <v>51</v>
      </c>
      <c r="E492" t="s">
        <v>122</v>
      </c>
      <c r="F492">
        <v>4</v>
      </c>
      <c r="G492" s="1">
        <v>0</v>
      </c>
      <c r="H492">
        <v>82.1</v>
      </c>
      <c r="I492" s="1">
        <v>1500</v>
      </c>
      <c r="J492" s="1">
        <v>450</v>
      </c>
      <c r="K492" s="1">
        <v>800</v>
      </c>
      <c r="L492">
        <v>7.45</v>
      </c>
      <c r="M4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75650</v>
      </c>
      <c r="N492" s="1">
        <f>International_Education_Costs[[#This Row],[Total_Cost]]/International_Education_Costs[[#This Row],[Duration_Years]]</f>
        <v>18912.5</v>
      </c>
      <c r="O492" s="1">
        <f>International_Education_Costs[[#This Row],[Rent_USD]] * 12 * International_Education_Costs[[#This Row],[Duration_Years]]</f>
        <v>72000</v>
      </c>
      <c r="P492" s="1">
        <f>International_Education_Costs[[#This Row],[Total_Cost]]-International_Education_Costs[[#This Row],[Tuition_USD]]</f>
        <v>75650</v>
      </c>
      <c r="Q492" s="2">
        <f>International_Education_Costs[[#This Row],[Tuition_USD]]/International_Education_Costs[[#This Row],[Total_Cost]]</f>
        <v>0</v>
      </c>
    </row>
    <row r="493" spans="1:17" x14ac:dyDescent="0.25">
      <c r="A493" t="s">
        <v>196</v>
      </c>
      <c r="B493" t="s">
        <v>663</v>
      </c>
      <c r="C493" t="s">
        <v>664</v>
      </c>
      <c r="D493" t="s">
        <v>137</v>
      </c>
      <c r="E493" t="s">
        <v>16</v>
      </c>
      <c r="F493">
        <v>2</v>
      </c>
      <c r="G493" s="1">
        <v>0</v>
      </c>
      <c r="H493">
        <v>75.599999999999994</v>
      </c>
      <c r="I493" s="1">
        <v>1100</v>
      </c>
      <c r="J493" s="1">
        <v>275</v>
      </c>
      <c r="K493" s="1">
        <v>700</v>
      </c>
      <c r="L493">
        <v>10.45</v>
      </c>
      <c r="M4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28075</v>
      </c>
      <c r="N493" s="1">
        <f>International_Education_Costs[[#This Row],[Total_Cost]]/International_Education_Costs[[#This Row],[Duration_Years]]</f>
        <v>14037.5</v>
      </c>
      <c r="O493" s="1">
        <f>International_Education_Costs[[#This Row],[Rent_USD]] * 12 * International_Education_Costs[[#This Row],[Duration_Years]]</f>
        <v>26400</v>
      </c>
      <c r="P493" s="1">
        <f>International_Education_Costs[[#This Row],[Total_Cost]]-International_Education_Costs[[#This Row],[Tuition_USD]]</f>
        <v>28075</v>
      </c>
      <c r="Q493" s="2">
        <f>International_Education_Costs[[#This Row],[Tuition_USD]]/International_Education_Costs[[#This Row],[Total_Cost]]</f>
        <v>0</v>
      </c>
    </row>
    <row r="494" spans="1:17" x14ac:dyDescent="0.25">
      <c r="A494" t="s">
        <v>193</v>
      </c>
      <c r="B494" t="s">
        <v>665</v>
      </c>
      <c r="C494" t="s">
        <v>666</v>
      </c>
      <c r="D494" t="s">
        <v>63</v>
      </c>
      <c r="E494" t="s">
        <v>75</v>
      </c>
      <c r="F494">
        <v>3</v>
      </c>
      <c r="G494" s="1">
        <v>0</v>
      </c>
      <c r="H494">
        <v>77.8</v>
      </c>
      <c r="I494" s="1">
        <v>1000</v>
      </c>
      <c r="J494" s="1">
        <v>350</v>
      </c>
      <c r="K494" s="1">
        <v>650</v>
      </c>
      <c r="L494">
        <v>0.92</v>
      </c>
      <c r="M4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38300</v>
      </c>
      <c r="N494" s="1">
        <f>International_Education_Costs[[#This Row],[Total_Cost]]/International_Education_Costs[[#This Row],[Duration_Years]]</f>
        <v>12766.666666666666</v>
      </c>
      <c r="O494" s="1">
        <f>International_Education_Costs[[#This Row],[Rent_USD]] * 12 * International_Education_Costs[[#This Row],[Duration_Years]]</f>
        <v>36000</v>
      </c>
      <c r="P494" s="1">
        <f>International_Education_Costs[[#This Row],[Total_Cost]]-International_Education_Costs[[#This Row],[Tuition_USD]]</f>
        <v>38300</v>
      </c>
      <c r="Q494" s="2">
        <f>International_Education_Costs[[#This Row],[Tuition_USD]]/International_Education_Costs[[#This Row],[Total_Cost]]</f>
        <v>0</v>
      </c>
    </row>
    <row r="495" spans="1:17" x14ac:dyDescent="0.25">
      <c r="A495" t="s">
        <v>29</v>
      </c>
      <c r="B495" t="s">
        <v>30</v>
      </c>
      <c r="C495" t="s">
        <v>667</v>
      </c>
      <c r="D495" t="s">
        <v>99</v>
      </c>
      <c r="E495" t="s">
        <v>122</v>
      </c>
      <c r="F495">
        <v>4</v>
      </c>
      <c r="G495" s="1">
        <v>0</v>
      </c>
      <c r="H495">
        <v>71.5</v>
      </c>
      <c r="I495" s="1">
        <v>1300</v>
      </c>
      <c r="J495" s="1">
        <v>110</v>
      </c>
      <c r="K495" s="1">
        <v>900</v>
      </c>
      <c r="L495">
        <v>0.92</v>
      </c>
      <c r="M4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66110</v>
      </c>
      <c r="N495" s="1">
        <f>International_Education_Costs[[#This Row],[Total_Cost]]/International_Education_Costs[[#This Row],[Duration_Years]]</f>
        <v>16527.5</v>
      </c>
      <c r="O495" s="1">
        <f>International_Education_Costs[[#This Row],[Rent_USD]] * 12 * International_Education_Costs[[#This Row],[Duration_Years]]</f>
        <v>62400</v>
      </c>
      <c r="P495" s="1">
        <f>International_Education_Costs[[#This Row],[Total_Cost]]-International_Education_Costs[[#This Row],[Tuition_USD]]</f>
        <v>66110</v>
      </c>
      <c r="Q495" s="2">
        <f>International_Education_Costs[[#This Row],[Tuition_USD]]/International_Education_Costs[[#This Row],[Total_Cost]]</f>
        <v>0</v>
      </c>
    </row>
    <row r="496" spans="1:17" x14ac:dyDescent="0.25">
      <c r="A496" t="s">
        <v>56</v>
      </c>
      <c r="B496" t="s">
        <v>455</v>
      </c>
      <c r="C496" t="s">
        <v>456</v>
      </c>
      <c r="D496" t="s">
        <v>71</v>
      </c>
      <c r="E496" t="s">
        <v>16</v>
      </c>
      <c r="F496">
        <v>2</v>
      </c>
      <c r="G496" s="1">
        <v>0</v>
      </c>
      <c r="H496">
        <v>76.5</v>
      </c>
      <c r="I496" s="1">
        <v>1200</v>
      </c>
      <c r="J496" s="1">
        <v>450</v>
      </c>
      <c r="K496" s="1">
        <v>800</v>
      </c>
      <c r="L496">
        <v>7.45</v>
      </c>
      <c r="M4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30850</v>
      </c>
      <c r="N496" s="1">
        <f>International_Education_Costs[[#This Row],[Total_Cost]]/International_Education_Costs[[#This Row],[Duration_Years]]</f>
        <v>15425</v>
      </c>
      <c r="O496" s="1">
        <f>International_Education_Costs[[#This Row],[Rent_USD]] * 12 * International_Education_Costs[[#This Row],[Duration_Years]]</f>
        <v>28800</v>
      </c>
      <c r="P496" s="1">
        <f>International_Education_Costs[[#This Row],[Total_Cost]]-International_Education_Costs[[#This Row],[Tuition_USD]]</f>
        <v>30850</v>
      </c>
      <c r="Q496" s="2">
        <f>International_Education_Costs[[#This Row],[Tuition_USD]]/International_Education_Costs[[#This Row],[Total_Cost]]</f>
        <v>0</v>
      </c>
    </row>
    <row r="497" spans="1:17" x14ac:dyDescent="0.25">
      <c r="A497" t="s">
        <v>196</v>
      </c>
      <c r="B497" t="s">
        <v>668</v>
      </c>
      <c r="C497" t="s">
        <v>669</v>
      </c>
      <c r="D497" t="s">
        <v>40</v>
      </c>
      <c r="E497" t="s">
        <v>16</v>
      </c>
      <c r="F497">
        <v>2</v>
      </c>
      <c r="G497" s="1">
        <v>0</v>
      </c>
      <c r="H497">
        <v>74.3</v>
      </c>
      <c r="I497" s="1">
        <v>1200</v>
      </c>
      <c r="J497" s="1">
        <v>275</v>
      </c>
      <c r="K497" s="1">
        <v>700</v>
      </c>
      <c r="L497">
        <v>10.45</v>
      </c>
      <c r="M4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30475</v>
      </c>
      <c r="N497" s="1">
        <f>International_Education_Costs[[#This Row],[Total_Cost]]/International_Education_Costs[[#This Row],[Duration_Years]]</f>
        <v>15237.5</v>
      </c>
      <c r="O497" s="1">
        <f>International_Education_Costs[[#This Row],[Rent_USD]] * 12 * International_Education_Costs[[#This Row],[Duration_Years]]</f>
        <v>28800</v>
      </c>
      <c r="P497" s="1">
        <f>International_Education_Costs[[#This Row],[Total_Cost]]-International_Education_Costs[[#This Row],[Tuition_USD]]</f>
        <v>30475</v>
      </c>
      <c r="Q497" s="2">
        <f>International_Education_Costs[[#This Row],[Tuition_USD]]/International_Education_Costs[[#This Row],[Total_Cost]]</f>
        <v>0</v>
      </c>
    </row>
    <row r="498" spans="1:17" x14ac:dyDescent="0.25">
      <c r="A498" t="s">
        <v>193</v>
      </c>
      <c r="B498" t="s">
        <v>670</v>
      </c>
      <c r="C498" t="s">
        <v>671</v>
      </c>
      <c r="D498" t="s">
        <v>208</v>
      </c>
      <c r="E498" t="s">
        <v>16</v>
      </c>
      <c r="F498">
        <v>2</v>
      </c>
      <c r="G498" s="1">
        <v>0</v>
      </c>
      <c r="H498">
        <v>72.099999999999994</v>
      </c>
      <c r="I498" s="1">
        <v>900</v>
      </c>
      <c r="J498" s="1">
        <v>350</v>
      </c>
      <c r="K498" s="1">
        <v>650</v>
      </c>
      <c r="L498">
        <v>0.92</v>
      </c>
      <c r="M4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23250</v>
      </c>
      <c r="N498" s="1">
        <f>International_Education_Costs[[#This Row],[Total_Cost]]/International_Education_Costs[[#This Row],[Duration_Years]]</f>
        <v>11625</v>
      </c>
      <c r="O498" s="1">
        <f>International_Education_Costs[[#This Row],[Rent_USD]] * 12 * International_Education_Costs[[#This Row],[Duration_Years]]</f>
        <v>21600</v>
      </c>
      <c r="P498" s="1">
        <f>International_Education_Costs[[#This Row],[Total_Cost]]-International_Education_Costs[[#This Row],[Tuition_USD]]</f>
        <v>23250</v>
      </c>
      <c r="Q498" s="2">
        <f>International_Education_Costs[[#This Row],[Tuition_USD]]/International_Education_Costs[[#This Row],[Total_Cost]]</f>
        <v>0</v>
      </c>
    </row>
    <row r="499" spans="1:17" x14ac:dyDescent="0.25">
      <c r="A499" t="s">
        <v>29</v>
      </c>
      <c r="B499" t="s">
        <v>246</v>
      </c>
      <c r="C499" t="s">
        <v>247</v>
      </c>
      <c r="D499" t="s">
        <v>15</v>
      </c>
      <c r="E499" t="s">
        <v>75</v>
      </c>
      <c r="F499">
        <v>3</v>
      </c>
      <c r="G499" s="1">
        <v>0</v>
      </c>
      <c r="H499">
        <v>65.400000000000006</v>
      </c>
      <c r="I499" s="1">
        <v>900</v>
      </c>
      <c r="J499" s="1">
        <v>110</v>
      </c>
      <c r="K499" s="1">
        <v>900</v>
      </c>
      <c r="L499">
        <v>0.92</v>
      </c>
      <c r="M4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35210</v>
      </c>
      <c r="N499" s="1">
        <f>International_Education_Costs[[#This Row],[Total_Cost]]/International_Education_Costs[[#This Row],[Duration_Years]]</f>
        <v>11736.666666666666</v>
      </c>
      <c r="O499" s="1">
        <f>International_Education_Costs[[#This Row],[Rent_USD]] * 12 * International_Education_Costs[[#This Row],[Duration_Years]]</f>
        <v>32400</v>
      </c>
      <c r="P499" s="1">
        <f>International_Education_Costs[[#This Row],[Total_Cost]]-International_Education_Costs[[#This Row],[Tuition_USD]]</f>
        <v>35210</v>
      </c>
      <c r="Q499" s="2">
        <f>International_Education_Costs[[#This Row],[Tuition_USD]]/International_Education_Costs[[#This Row],[Total_Cost]]</f>
        <v>0</v>
      </c>
    </row>
    <row r="500" spans="1:17" x14ac:dyDescent="0.25">
      <c r="A500" t="s">
        <v>56</v>
      </c>
      <c r="B500" t="s">
        <v>672</v>
      </c>
      <c r="C500" t="s">
        <v>673</v>
      </c>
      <c r="D500" t="s">
        <v>626</v>
      </c>
      <c r="E500" t="s">
        <v>16</v>
      </c>
      <c r="F500">
        <v>2</v>
      </c>
      <c r="G500" s="1">
        <v>0</v>
      </c>
      <c r="H500">
        <v>73.2</v>
      </c>
      <c r="I500" s="1">
        <v>1100</v>
      </c>
      <c r="J500" s="1">
        <v>450</v>
      </c>
      <c r="K500" s="1">
        <v>800</v>
      </c>
      <c r="L500">
        <v>7.45</v>
      </c>
      <c r="M5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28450</v>
      </c>
      <c r="N500" s="1">
        <f>International_Education_Costs[[#This Row],[Total_Cost]]/International_Education_Costs[[#This Row],[Duration_Years]]</f>
        <v>14225</v>
      </c>
      <c r="O500" s="1">
        <f>International_Education_Costs[[#This Row],[Rent_USD]] * 12 * International_Education_Costs[[#This Row],[Duration_Years]]</f>
        <v>26400</v>
      </c>
      <c r="P500" s="1">
        <f>International_Education_Costs[[#This Row],[Total_Cost]]-International_Education_Costs[[#This Row],[Tuition_USD]]</f>
        <v>28450</v>
      </c>
      <c r="Q500" s="2">
        <f>International_Education_Costs[[#This Row],[Tuition_USD]]/International_Education_Costs[[#This Row],[Total_Cost]]</f>
        <v>0</v>
      </c>
    </row>
    <row r="501" spans="1:17" x14ac:dyDescent="0.25">
      <c r="A501" t="s">
        <v>196</v>
      </c>
      <c r="B501" t="s">
        <v>1346</v>
      </c>
      <c r="C501" t="s">
        <v>674</v>
      </c>
      <c r="D501" t="s">
        <v>675</v>
      </c>
      <c r="E501" t="s">
        <v>122</v>
      </c>
      <c r="F501">
        <v>4</v>
      </c>
      <c r="G501" s="1">
        <v>0</v>
      </c>
      <c r="H501">
        <v>71.2</v>
      </c>
      <c r="I501" s="1">
        <v>1000</v>
      </c>
      <c r="J501" s="1">
        <v>275</v>
      </c>
      <c r="K501" s="1">
        <v>700</v>
      </c>
      <c r="L501">
        <v>10.45</v>
      </c>
      <c r="M5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51075</v>
      </c>
      <c r="N501" s="1">
        <f>International_Education_Costs[[#This Row],[Total_Cost]]/International_Education_Costs[[#This Row],[Duration_Years]]</f>
        <v>12768.75</v>
      </c>
      <c r="O501" s="1">
        <f>International_Education_Costs[[#This Row],[Rent_USD]] * 12 * International_Education_Costs[[#This Row],[Duration_Years]]</f>
        <v>48000</v>
      </c>
      <c r="P501" s="1">
        <f>International_Education_Costs[[#This Row],[Total_Cost]]-International_Education_Costs[[#This Row],[Tuition_USD]]</f>
        <v>51075</v>
      </c>
      <c r="Q501" s="2">
        <f>International_Education_Costs[[#This Row],[Tuition_USD]]/International_Education_Costs[[#This Row],[Total_Cost]]</f>
        <v>0</v>
      </c>
    </row>
    <row r="502" spans="1:17" x14ac:dyDescent="0.25">
      <c r="A502" t="s">
        <v>193</v>
      </c>
      <c r="B502" t="s">
        <v>676</v>
      </c>
      <c r="C502" t="s">
        <v>677</v>
      </c>
      <c r="D502" t="s">
        <v>59</v>
      </c>
      <c r="E502" t="s">
        <v>16</v>
      </c>
      <c r="F502">
        <v>2</v>
      </c>
      <c r="G502" s="1">
        <v>0</v>
      </c>
      <c r="H502">
        <v>71.8</v>
      </c>
      <c r="I502" s="1">
        <v>850</v>
      </c>
      <c r="J502" s="1">
        <v>350</v>
      </c>
      <c r="K502" s="1">
        <v>650</v>
      </c>
      <c r="L502">
        <v>0.92</v>
      </c>
      <c r="M5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22050</v>
      </c>
      <c r="N502" s="1">
        <f>International_Education_Costs[[#This Row],[Total_Cost]]/International_Education_Costs[[#This Row],[Duration_Years]]</f>
        <v>11025</v>
      </c>
      <c r="O502" s="1">
        <f>International_Education_Costs[[#This Row],[Rent_USD]] * 12 * International_Education_Costs[[#This Row],[Duration_Years]]</f>
        <v>20400</v>
      </c>
      <c r="P502" s="1">
        <f>International_Education_Costs[[#This Row],[Total_Cost]]-International_Education_Costs[[#This Row],[Tuition_USD]]</f>
        <v>22050</v>
      </c>
      <c r="Q502" s="2">
        <f>International_Education_Costs[[#This Row],[Tuition_USD]]/International_Education_Costs[[#This Row],[Total_Cost]]</f>
        <v>0</v>
      </c>
    </row>
    <row r="503" spans="1:17" x14ac:dyDescent="0.25">
      <c r="A503" t="s">
        <v>29</v>
      </c>
      <c r="B503" t="s">
        <v>250</v>
      </c>
      <c r="C503" t="s">
        <v>251</v>
      </c>
      <c r="D503" t="s">
        <v>125</v>
      </c>
      <c r="E503" t="s">
        <v>16</v>
      </c>
      <c r="F503">
        <v>2</v>
      </c>
      <c r="G503" s="1">
        <v>0</v>
      </c>
      <c r="H503">
        <v>69.8</v>
      </c>
      <c r="I503" s="1">
        <v>1200</v>
      </c>
      <c r="J503" s="1">
        <v>110</v>
      </c>
      <c r="K503" s="1">
        <v>900</v>
      </c>
      <c r="L503">
        <v>0.92</v>
      </c>
      <c r="M5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30710</v>
      </c>
      <c r="N503" s="1">
        <f>International_Education_Costs[[#This Row],[Total_Cost]]/International_Education_Costs[[#This Row],[Duration_Years]]</f>
        <v>15355</v>
      </c>
      <c r="O503" s="1">
        <f>International_Education_Costs[[#This Row],[Rent_USD]] * 12 * International_Education_Costs[[#This Row],[Duration_Years]]</f>
        <v>28800</v>
      </c>
      <c r="P503" s="1">
        <f>International_Education_Costs[[#This Row],[Total_Cost]]-International_Education_Costs[[#This Row],[Tuition_USD]]</f>
        <v>30710</v>
      </c>
      <c r="Q503" s="2">
        <f>International_Education_Costs[[#This Row],[Tuition_USD]]/International_Education_Costs[[#This Row],[Total_Cost]]</f>
        <v>0</v>
      </c>
    </row>
    <row r="504" spans="1:17" x14ac:dyDescent="0.25">
      <c r="A504" t="s">
        <v>56</v>
      </c>
      <c r="B504" t="s">
        <v>159</v>
      </c>
      <c r="C504" t="s">
        <v>160</v>
      </c>
      <c r="D504" t="s">
        <v>678</v>
      </c>
      <c r="E504" t="s">
        <v>75</v>
      </c>
      <c r="F504">
        <v>3</v>
      </c>
      <c r="G504" s="1">
        <v>0</v>
      </c>
      <c r="H504">
        <v>71.5</v>
      </c>
      <c r="I504" s="1">
        <v>1000</v>
      </c>
      <c r="J504" s="1">
        <v>450</v>
      </c>
      <c r="K504" s="1">
        <v>800</v>
      </c>
      <c r="L504">
        <v>7.45</v>
      </c>
      <c r="M5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38850</v>
      </c>
      <c r="N504" s="1">
        <f>International_Education_Costs[[#This Row],[Total_Cost]]/International_Education_Costs[[#This Row],[Duration_Years]]</f>
        <v>12950</v>
      </c>
      <c r="O504" s="1">
        <f>International_Education_Costs[[#This Row],[Rent_USD]] * 12 * International_Education_Costs[[#This Row],[Duration_Years]]</f>
        <v>36000</v>
      </c>
      <c r="P504" s="1">
        <f>International_Education_Costs[[#This Row],[Total_Cost]]-International_Education_Costs[[#This Row],[Tuition_USD]]</f>
        <v>38850</v>
      </c>
      <c r="Q504" s="2">
        <f>International_Education_Costs[[#This Row],[Tuition_USD]]/International_Education_Costs[[#This Row],[Total_Cost]]</f>
        <v>0</v>
      </c>
    </row>
    <row r="505" spans="1:17" x14ac:dyDescent="0.25">
      <c r="A505" t="s">
        <v>196</v>
      </c>
      <c r="B505" t="s">
        <v>679</v>
      </c>
      <c r="C505" t="s">
        <v>680</v>
      </c>
      <c r="D505" t="s">
        <v>681</v>
      </c>
      <c r="E505" t="s">
        <v>16</v>
      </c>
      <c r="F505">
        <v>2</v>
      </c>
      <c r="G505" s="1">
        <v>0</v>
      </c>
      <c r="H505">
        <v>72.400000000000006</v>
      </c>
      <c r="I505" s="1">
        <v>1100</v>
      </c>
      <c r="J505" s="1">
        <v>275</v>
      </c>
      <c r="K505" s="1">
        <v>700</v>
      </c>
      <c r="L505">
        <v>10.45</v>
      </c>
      <c r="M5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28075</v>
      </c>
      <c r="N505" s="1">
        <f>International_Education_Costs[[#This Row],[Total_Cost]]/International_Education_Costs[[#This Row],[Duration_Years]]</f>
        <v>14037.5</v>
      </c>
      <c r="O505" s="1">
        <f>International_Education_Costs[[#This Row],[Rent_USD]] * 12 * International_Education_Costs[[#This Row],[Duration_Years]]</f>
        <v>26400</v>
      </c>
      <c r="P505" s="1">
        <f>International_Education_Costs[[#This Row],[Total_Cost]]-International_Education_Costs[[#This Row],[Tuition_USD]]</f>
        <v>28075</v>
      </c>
      <c r="Q505" s="2">
        <f>International_Education_Costs[[#This Row],[Tuition_USD]]/International_Education_Costs[[#This Row],[Total_Cost]]</f>
        <v>0</v>
      </c>
    </row>
    <row r="506" spans="1:17" x14ac:dyDescent="0.25">
      <c r="A506" t="s">
        <v>193</v>
      </c>
      <c r="B506" t="s">
        <v>682</v>
      </c>
      <c r="C506" t="s">
        <v>683</v>
      </c>
      <c r="D506" t="s">
        <v>15</v>
      </c>
      <c r="E506" t="s">
        <v>122</v>
      </c>
      <c r="F506">
        <v>4</v>
      </c>
      <c r="G506" s="1">
        <v>0</v>
      </c>
      <c r="H506">
        <v>70.2</v>
      </c>
      <c r="I506" s="1">
        <v>800</v>
      </c>
      <c r="J506" s="1">
        <v>350</v>
      </c>
      <c r="K506" s="1">
        <v>650</v>
      </c>
      <c r="L506">
        <v>0.92</v>
      </c>
      <c r="M5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41350</v>
      </c>
      <c r="N506" s="1">
        <f>International_Education_Costs[[#This Row],[Total_Cost]]/International_Education_Costs[[#This Row],[Duration_Years]]</f>
        <v>10337.5</v>
      </c>
      <c r="O506" s="1">
        <f>International_Education_Costs[[#This Row],[Rent_USD]] * 12 * International_Education_Costs[[#This Row],[Duration_Years]]</f>
        <v>38400</v>
      </c>
      <c r="P506" s="1">
        <f>International_Education_Costs[[#This Row],[Total_Cost]]-International_Education_Costs[[#This Row],[Tuition_USD]]</f>
        <v>41350</v>
      </c>
      <c r="Q506" s="2">
        <f>International_Education_Costs[[#This Row],[Tuition_USD]]/International_Education_Costs[[#This Row],[Total_Cost]]</f>
        <v>0</v>
      </c>
    </row>
    <row r="507" spans="1:17" x14ac:dyDescent="0.25">
      <c r="A507" t="s">
        <v>29</v>
      </c>
      <c r="B507" t="s">
        <v>248</v>
      </c>
      <c r="C507" t="s">
        <v>249</v>
      </c>
      <c r="D507" t="s">
        <v>90</v>
      </c>
      <c r="E507" t="s">
        <v>16</v>
      </c>
      <c r="F507">
        <v>2</v>
      </c>
      <c r="G507" s="1">
        <v>0</v>
      </c>
      <c r="H507">
        <v>68.7</v>
      </c>
      <c r="I507" s="1">
        <v>1100</v>
      </c>
      <c r="J507" s="1">
        <v>110</v>
      </c>
      <c r="K507" s="1">
        <v>900</v>
      </c>
      <c r="L507">
        <v>0.92</v>
      </c>
      <c r="M5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28310</v>
      </c>
      <c r="N507" s="1">
        <f>International_Education_Costs[[#This Row],[Total_Cost]]/International_Education_Costs[[#This Row],[Duration_Years]]</f>
        <v>14155</v>
      </c>
      <c r="O507" s="1">
        <f>International_Education_Costs[[#This Row],[Rent_USD]] * 12 * International_Education_Costs[[#This Row],[Duration_Years]]</f>
        <v>26400</v>
      </c>
      <c r="P507" s="1">
        <f>International_Education_Costs[[#This Row],[Total_Cost]]-International_Education_Costs[[#This Row],[Tuition_USD]]</f>
        <v>28310</v>
      </c>
      <c r="Q507" s="2">
        <f>International_Education_Costs[[#This Row],[Tuition_USD]]/International_Education_Costs[[#This Row],[Total_Cost]]</f>
        <v>0</v>
      </c>
    </row>
    <row r="508" spans="1:17" x14ac:dyDescent="0.25">
      <c r="A508" t="s">
        <v>56</v>
      </c>
      <c r="B508" t="s">
        <v>684</v>
      </c>
      <c r="C508" t="s">
        <v>685</v>
      </c>
      <c r="D508" t="s">
        <v>199</v>
      </c>
      <c r="E508" t="s">
        <v>16</v>
      </c>
      <c r="F508">
        <v>2</v>
      </c>
      <c r="G508" s="1">
        <v>0</v>
      </c>
      <c r="H508">
        <v>70.8</v>
      </c>
      <c r="I508" s="1">
        <v>1000</v>
      </c>
      <c r="J508" s="1">
        <v>450</v>
      </c>
      <c r="K508" s="1">
        <v>800</v>
      </c>
      <c r="L508">
        <v>7.45</v>
      </c>
      <c r="M5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26050</v>
      </c>
      <c r="N508" s="1">
        <f>International_Education_Costs[[#This Row],[Total_Cost]]/International_Education_Costs[[#This Row],[Duration_Years]]</f>
        <v>13025</v>
      </c>
      <c r="O508" s="1">
        <f>International_Education_Costs[[#This Row],[Rent_USD]] * 12 * International_Education_Costs[[#This Row],[Duration_Years]]</f>
        <v>24000</v>
      </c>
      <c r="P508" s="1">
        <f>International_Education_Costs[[#This Row],[Total_Cost]]-International_Education_Costs[[#This Row],[Tuition_USD]]</f>
        <v>26050</v>
      </c>
      <c r="Q508" s="2">
        <f>International_Education_Costs[[#This Row],[Tuition_USD]]/International_Education_Costs[[#This Row],[Total_Cost]]</f>
        <v>0</v>
      </c>
    </row>
    <row r="509" spans="1:17" x14ac:dyDescent="0.25">
      <c r="A509" t="s">
        <v>196</v>
      </c>
      <c r="B509" t="s">
        <v>1347</v>
      </c>
      <c r="C509" t="s">
        <v>686</v>
      </c>
      <c r="D509" t="s">
        <v>626</v>
      </c>
      <c r="E509" t="s">
        <v>16</v>
      </c>
      <c r="F509">
        <v>2</v>
      </c>
      <c r="G509" s="1">
        <v>0</v>
      </c>
      <c r="H509">
        <v>70.5</v>
      </c>
      <c r="I509" s="1">
        <v>900</v>
      </c>
      <c r="J509" s="1">
        <v>275</v>
      </c>
      <c r="K509" s="1">
        <v>700</v>
      </c>
      <c r="L509">
        <v>10.45</v>
      </c>
      <c r="M5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23275</v>
      </c>
      <c r="N509" s="1">
        <f>International_Education_Costs[[#This Row],[Total_Cost]]/International_Education_Costs[[#This Row],[Duration_Years]]</f>
        <v>11637.5</v>
      </c>
      <c r="O509" s="1">
        <f>International_Education_Costs[[#This Row],[Rent_USD]] * 12 * International_Education_Costs[[#This Row],[Duration_Years]]</f>
        <v>21600</v>
      </c>
      <c r="P509" s="1">
        <f>International_Education_Costs[[#This Row],[Total_Cost]]-International_Education_Costs[[#This Row],[Tuition_USD]]</f>
        <v>23275</v>
      </c>
      <c r="Q509" s="2">
        <f>International_Education_Costs[[#This Row],[Tuition_USD]]/International_Education_Costs[[#This Row],[Total_Cost]]</f>
        <v>0</v>
      </c>
    </row>
    <row r="510" spans="1:17" x14ac:dyDescent="0.25">
      <c r="A510" t="s">
        <v>193</v>
      </c>
      <c r="B510" t="s">
        <v>687</v>
      </c>
      <c r="C510" t="s">
        <v>688</v>
      </c>
      <c r="D510" t="s">
        <v>689</v>
      </c>
      <c r="E510" t="s">
        <v>16</v>
      </c>
      <c r="F510">
        <v>2</v>
      </c>
      <c r="G510" s="1">
        <v>0</v>
      </c>
      <c r="H510">
        <v>69.8</v>
      </c>
      <c r="I510" s="1">
        <v>800</v>
      </c>
      <c r="J510" s="1">
        <v>350</v>
      </c>
      <c r="K510" s="1">
        <v>650</v>
      </c>
      <c r="L510">
        <v>0.92</v>
      </c>
      <c r="M5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20850</v>
      </c>
      <c r="N510" s="1">
        <f>International_Education_Costs[[#This Row],[Total_Cost]]/International_Education_Costs[[#This Row],[Duration_Years]]</f>
        <v>10425</v>
      </c>
      <c r="O510" s="1">
        <f>International_Education_Costs[[#This Row],[Rent_USD]] * 12 * International_Education_Costs[[#This Row],[Duration_Years]]</f>
        <v>19200</v>
      </c>
      <c r="P510" s="1">
        <f>International_Education_Costs[[#This Row],[Total_Cost]]-International_Education_Costs[[#This Row],[Tuition_USD]]</f>
        <v>20850</v>
      </c>
      <c r="Q510" s="2">
        <f>International_Education_Costs[[#This Row],[Tuition_USD]]/International_Education_Costs[[#This Row],[Total_Cost]]</f>
        <v>0</v>
      </c>
    </row>
    <row r="511" spans="1:17" x14ac:dyDescent="0.25">
      <c r="A511" t="s">
        <v>29</v>
      </c>
      <c r="B511" t="s">
        <v>255</v>
      </c>
      <c r="C511" t="s">
        <v>256</v>
      </c>
      <c r="D511" t="s">
        <v>690</v>
      </c>
      <c r="E511" t="s">
        <v>122</v>
      </c>
      <c r="F511">
        <v>4</v>
      </c>
      <c r="G511" s="1">
        <v>0</v>
      </c>
      <c r="H511">
        <v>67.900000000000006</v>
      </c>
      <c r="I511" s="1">
        <v>1000</v>
      </c>
      <c r="J511" s="1">
        <v>110</v>
      </c>
      <c r="K511" s="1">
        <v>900</v>
      </c>
      <c r="L511">
        <v>0.92</v>
      </c>
      <c r="M5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51710</v>
      </c>
      <c r="N511" s="1">
        <f>International_Education_Costs[[#This Row],[Total_Cost]]/International_Education_Costs[[#This Row],[Duration_Years]]</f>
        <v>12927.5</v>
      </c>
      <c r="O511" s="1">
        <f>International_Education_Costs[[#This Row],[Rent_USD]] * 12 * International_Education_Costs[[#This Row],[Duration_Years]]</f>
        <v>48000</v>
      </c>
      <c r="P511" s="1">
        <f>International_Education_Costs[[#This Row],[Total_Cost]]-International_Education_Costs[[#This Row],[Tuition_USD]]</f>
        <v>51710</v>
      </c>
      <c r="Q511" s="2">
        <f>International_Education_Costs[[#This Row],[Tuition_USD]]/International_Education_Costs[[#This Row],[Total_Cost]]</f>
        <v>0</v>
      </c>
    </row>
    <row r="512" spans="1:17" x14ac:dyDescent="0.25">
      <c r="A512" t="s">
        <v>56</v>
      </c>
      <c r="B512" t="s">
        <v>691</v>
      </c>
      <c r="C512" t="s">
        <v>692</v>
      </c>
      <c r="D512" t="s">
        <v>693</v>
      </c>
      <c r="E512" t="s">
        <v>16</v>
      </c>
      <c r="F512">
        <v>2</v>
      </c>
      <c r="G512" s="1">
        <v>0</v>
      </c>
      <c r="H512">
        <v>81.2</v>
      </c>
      <c r="I512" s="1">
        <v>1400</v>
      </c>
      <c r="J512" s="1">
        <v>450</v>
      </c>
      <c r="K512" s="1">
        <v>800</v>
      </c>
      <c r="L512">
        <v>7.45</v>
      </c>
      <c r="M5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35650</v>
      </c>
      <c r="N512" s="1">
        <f>International_Education_Costs[[#This Row],[Total_Cost]]/International_Education_Costs[[#This Row],[Duration_Years]]</f>
        <v>17825</v>
      </c>
      <c r="O512" s="1">
        <f>International_Education_Costs[[#This Row],[Rent_USD]] * 12 * International_Education_Costs[[#This Row],[Duration_Years]]</f>
        <v>33600</v>
      </c>
      <c r="P512" s="1">
        <f>International_Education_Costs[[#This Row],[Total_Cost]]-International_Education_Costs[[#This Row],[Tuition_USD]]</f>
        <v>35650</v>
      </c>
      <c r="Q512" s="2">
        <f>International_Education_Costs[[#This Row],[Tuition_USD]]/International_Education_Costs[[#This Row],[Total_Cost]]</f>
        <v>0</v>
      </c>
    </row>
    <row r="513" spans="1:17" x14ac:dyDescent="0.25">
      <c r="A513" t="s">
        <v>196</v>
      </c>
      <c r="B513" t="s">
        <v>1348</v>
      </c>
      <c r="C513" t="s">
        <v>694</v>
      </c>
      <c r="D513" t="s">
        <v>79</v>
      </c>
      <c r="E513" t="s">
        <v>75</v>
      </c>
      <c r="F513">
        <v>3</v>
      </c>
      <c r="G513" s="1">
        <v>0</v>
      </c>
      <c r="H513">
        <v>69.400000000000006</v>
      </c>
      <c r="I513" s="1">
        <v>850</v>
      </c>
      <c r="J513" s="1">
        <v>275</v>
      </c>
      <c r="K513" s="1">
        <v>700</v>
      </c>
      <c r="L513">
        <v>10.45</v>
      </c>
      <c r="M5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32975</v>
      </c>
      <c r="N513" s="1">
        <f>International_Education_Costs[[#This Row],[Total_Cost]]/International_Education_Costs[[#This Row],[Duration_Years]]</f>
        <v>10991.666666666666</v>
      </c>
      <c r="O513" s="1">
        <f>International_Education_Costs[[#This Row],[Rent_USD]] * 12 * International_Education_Costs[[#This Row],[Duration_Years]]</f>
        <v>30600</v>
      </c>
      <c r="P513" s="1">
        <f>International_Education_Costs[[#This Row],[Total_Cost]]-International_Education_Costs[[#This Row],[Tuition_USD]]</f>
        <v>32975</v>
      </c>
      <c r="Q513" s="2">
        <f>International_Education_Costs[[#This Row],[Tuition_USD]]/International_Education_Costs[[#This Row],[Total_Cost]]</f>
        <v>0</v>
      </c>
    </row>
    <row r="514" spans="1:17" x14ac:dyDescent="0.25">
      <c r="A514" t="s">
        <v>193</v>
      </c>
      <c r="B514" t="s">
        <v>1349</v>
      </c>
      <c r="C514" t="s">
        <v>1350</v>
      </c>
      <c r="D514" t="s">
        <v>20</v>
      </c>
      <c r="E514" t="s">
        <v>16</v>
      </c>
      <c r="F514">
        <v>2</v>
      </c>
      <c r="G514" s="1">
        <v>0</v>
      </c>
      <c r="H514">
        <v>68.7</v>
      </c>
      <c r="I514" s="1">
        <v>750</v>
      </c>
      <c r="J514" s="1">
        <v>350</v>
      </c>
      <c r="K514" s="1">
        <v>650</v>
      </c>
      <c r="L514">
        <v>0.92</v>
      </c>
      <c r="M5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19650</v>
      </c>
      <c r="N514" s="1">
        <f>International_Education_Costs[[#This Row],[Total_Cost]]/International_Education_Costs[[#This Row],[Duration_Years]]</f>
        <v>9825</v>
      </c>
      <c r="O514" s="1">
        <f>International_Education_Costs[[#This Row],[Rent_USD]] * 12 * International_Education_Costs[[#This Row],[Duration_Years]]</f>
        <v>18000</v>
      </c>
      <c r="P514" s="1">
        <f>International_Education_Costs[[#This Row],[Total_Cost]]-International_Education_Costs[[#This Row],[Tuition_USD]]</f>
        <v>19650</v>
      </c>
      <c r="Q514" s="2">
        <f>International_Education_Costs[[#This Row],[Tuition_USD]]/International_Education_Costs[[#This Row],[Total_Cost]]</f>
        <v>0</v>
      </c>
    </row>
    <row r="515" spans="1:17" x14ac:dyDescent="0.25">
      <c r="A515" t="s">
        <v>29</v>
      </c>
      <c r="B515" t="s">
        <v>257</v>
      </c>
      <c r="C515" t="s">
        <v>258</v>
      </c>
      <c r="D515" t="s">
        <v>63</v>
      </c>
      <c r="E515" t="s">
        <v>16</v>
      </c>
      <c r="F515">
        <v>2</v>
      </c>
      <c r="G515" s="1">
        <v>0</v>
      </c>
      <c r="H515">
        <v>66.8</v>
      </c>
      <c r="I515" s="1">
        <v>950</v>
      </c>
      <c r="J515" s="1">
        <v>110</v>
      </c>
      <c r="K515" s="1">
        <v>900</v>
      </c>
      <c r="L515">
        <v>0.92</v>
      </c>
      <c r="M5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24710</v>
      </c>
      <c r="N515" s="1">
        <f>International_Education_Costs[[#This Row],[Total_Cost]]/International_Education_Costs[[#This Row],[Duration_Years]]</f>
        <v>12355</v>
      </c>
      <c r="O515" s="1">
        <f>International_Education_Costs[[#This Row],[Rent_USD]] * 12 * International_Education_Costs[[#This Row],[Duration_Years]]</f>
        <v>22800</v>
      </c>
      <c r="P515" s="1">
        <f>International_Education_Costs[[#This Row],[Total_Cost]]-International_Education_Costs[[#This Row],[Tuition_USD]]</f>
        <v>24710</v>
      </c>
      <c r="Q515" s="2">
        <f>International_Education_Costs[[#This Row],[Tuition_USD]]/International_Education_Costs[[#This Row],[Total_Cost]]</f>
        <v>0</v>
      </c>
    </row>
    <row r="516" spans="1:17" x14ac:dyDescent="0.25">
      <c r="A516" t="s">
        <v>56</v>
      </c>
      <c r="B516" t="s">
        <v>695</v>
      </c>
      <c r="C516" t="s">
        <v>673</v>
      </c>
      <c r="D516" t="s">
        <v>208</v>
      </c>
      <c r="E516" t="s">
        <v>122</v>
      </c>
      <c r="F516">
        <v>4</v>
      </c>
      <c r="G516" s="1">
        <v>0</v>
      </c>
      <c r="H516">
        <v>69.5</v>
      </c>
      <c r="I516" s="1">
        <v>900</v>
      </c>
      <c r="J516" s="1">
        <v>450</v>
      </c>
      <c r="K516" s="1">
        <v>800</v>
      </c>
      <c r="L516">
        <v>7.45</v>
      </c>
      <c r="M5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46850</v>
      </c>
      <c r="N516" s="1">
        <f>International_Education_Costs[[#This Row],[Total_Cost]]/International_Education_Costs[[#This Row],[Duration_Years]]</f>
        <v>11712.5</v>
      </c>
      <c r="O516" s="1">
        <f>International_Education_Costs[[#This Row],[Rent_USD]] * 12 * International_Education_Costs[[#This Row],[Duration_Years]]</f>
        <v>43200</v>
      </c>
      <c r="P516" s="1">
        <f>International_Education_Costs[[#This Row],[Total_Cost]]-International_Education_Costs[[#This Row],[Tuition_USD]]</f>
        <v>46850</v>
      </c>
      <c r="Q516" s="2">
        <f>International_Education_Costs[[#This Row],[Tuition_USD]]/International_Education_Costs[[#This Row],[Total_Cost]]</f>
        <v>0</v>
      </c>
    </row>
    <row r="517" spans="1:17" x14ac:dyDescent="0.25">
      <c r="A517" t="s">
        <v>196</v>
      </c>
      <c r="B517" t="s">
        <v>1351</v>
      </c>
      <c r="C517" t="s">
        <v>1352</v>
      </c>
      <c r="D517" t="s">
        <v>498</v>
      </c>
      <c r="E517" t="s">
        <v>16</v>
      </c>
      <c r="F517">
        <v>2</v>
      </c>
      <c r="G517" s="1">
        <v>0</v>
      </c>
      <c r="H517">
        <v>68.900000000000006</v>
      </c>
      <c r="I517" s="1">
        <v>800</v>
      </c>
      <c r="J517" s="1">
        <v>275</v>
      </c>
      <c r="K517" s="1">
        <v>700</v>
      </c>
      <c r="L517">
        <v>10.45</v>
      </c>
      <c r="M5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20875</v>
      </c>
      <c r="N517" s="1">
        <f>International_Education_Costs[[#This Row],[Total_Cost]]/International_Education_Costs[[#This Row],[Duration_Years]]</f>
        <v>10437.5</v>
      </c>
      <c r="O517" s="1">
        <f>International_Education_Costs[[#This Row],[Rent_USD]] * 12 * International_Education_Costs[[#This Row],[Duration_Years]]</f>
        <v>19200</v>
      </c>
      <c r="P517" s="1">
        <f>International_Education_Costs[[#This Row],[Total_Cost]]-International_Education_Costs[[#This Row],[Tuition_USD]]</f>
        <v>20875</v>
      </c>
      <c r="Q517" s="2">
        <f>International_Education_Costs[[#This Row],[Tuition_USD]]/International_Education_Costs[[#This Row],[Total_Cost]]</f>
        <v>0</v>
      </c>
    </row>
    <row r="518" spans="1:17" x14ac:dyDescent="0.25">
      <c r="A518" t="s">
        <v>193</v>
      </c>
      <c r="B518" t="s">
        <v>696</v>
      </c>
      <c r="C518" t="s">
        <v>697</v>
      </c>
      <c r="D518" t="s">
        <v>93</v>
      </c>
      <c r="E518" t="s">
        <v>16</v>
      </c>
      <c r="F518">
        <v>2</v>
      </c>
      <c r="G518" s="1">
        <v>0</v>
      </c>
      <c r="H518">
        <v>67.5</v>
      </c>
      <c r="I518" s="1">
        <v>700</v>
      </c>
      <c r="J518" s="1">
        <v>350</v>
      </c>
      <c r="K518" s="1">
        <v>650</v>
      </c>
      <c r="L518">
        <v>0.92</v>
      </c>
      <c r="M5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18450</v>
      </c>
      <c r="N518" s="1">
        <f>International_Education_Costs[[#This Row],[Total_Cost]]/International_Education_Costs[[#This Row],[Duration_Years]]</f>
        <v>9225</v>
      </c>
      <c r="O518" s="1">
        <f>International_Education_Costs[[#This Row],[Rent_USD]] * 12 * International_Education_Costs[[#This Row],[Duration_Years]]</f>
        <v>16800</v>
      </c>
      <c r="P518" s="1">
        <f>International_Education_Costs[[#This Row],[Total_Cost]]-International_Education_Costs[[#This Row],[Tuition_USD]]</f>
        <v>18450</v>
      </c>
      <c r="Q518" s="2">
        <f>International_Education_Costs[[#This Row],[Tuition_USD]]/International_Education_Costs[[#This Row],[Total_Cost]]</f>
        <v>0</v>
      </c>
    </row>
    <row r="519" spans="1:17" x14ac:dyDescent="0.25">
      <c r="A519" t="s">
        <v>29</v>
      </c>
      <c r="B519" t="s">
        <v>698</v>
      </c>
      <c r="C519" t="s">
        <v>699</v>
      </c>
      <c r="D519" t="s">
        <v>137</v>
      </c>
      <c r="E519" t="s">
        <v>16</v>
      </c>
      <c r="F519">
        <v>2</v>
      </c>
      <c r="G519" s="1">
        <v>0</v>
      </c>
      <c r="H519">
        <v>66.5</v>
      </c>
      <c r="I519" s="1">
        <v>900</v>
      </c>
      <c r="J519" s="1">
        <v>110</v>
      </c>
      <c r="K519" s="1">
        <v>900</v>
      </c>
      <c r="L519">
        <v>0.92</v>
      </c>
      <c r="M5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23510</v>
      </c>
      <c r="N519" s="1">
        <f>International_Education_Costs[[#This Row],[Total_Cost]]/International_Education_Costs[[#This Row],[Duration_Years]]</f>
        <v>11755</v>
      </c>
      <c r="O519" s="1">
        <f>International_Education_Costs[[#This Row],[Rent_USD]] * 12 * International_Education_Costs[[#This Row],[Duration_Years]]</f>
        <v>21600</v>
      </c>
      <c r="P519" s="1">
        <f>International_Education_Costs[[#This Row],[Total_Cost]]-International_Education_Costs[[#This Row],[Tuition_USD]]</f>
        <v>23510</v>
      </c>
      <c r="Q519" s="2">
        <f>International_Education_Costs[[#This Row],[Tuition_USD]]/International_Education_Costs[[#This Row],[Total_Cost]]</f>
        <v>0</v>
      </c>
    </row>
    <row r="520" spans="1:17" x14ac:dyDescent="0.25">
      <c r="A520" t="s">
        <v>56</v>
      </c>
      <c r="B520" t="s">
        <v>700</v>
      </c>
      <c r="C520" t="s">
        <v>673</v>
      </c>
      <c r="D520" t="s">
        <v>701</v>
      </c>
      <c r="E520" t="s">
        <v>16</v>
      </c>
      <c r="F520">
        <v>2</v>
      </c>
      <c r="G520" s="1">
        <v>0</v>
      </c>
      <c r="H520">
        <v>68.400000000000006</v>
      </c>
      <c r="I520" s="1">
        <v>850</v>
      </c>
      <c r="J520" s="1">
        <v>450</v>
      </c>
      <c r="K520" s="1">
        <v>800</v>
      </c>
      <c r="L520">
        <v>7.45</v>
      </c>
      <c r="M5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22450</v>
      </c>
      <c r="N520" s="1">
        <f>International_Education_Costs[[#This Row],[Total_Cost]]/International_Education_Costs[[#This Row],[Duration_Years]]</f>
        <v>11225</v>
      </c>
      <c r="O520" s="1">
        <f>International_Education_Costs[[#This Row],[Rent_USD]] * 12 * International_Education_Costs[[#This Row],[Duration_Years]]</f>
        <v>20400</v>
      </c>
      <c r="P520" s="1">
        <f>International_Education_Costs[[#This Row],[Total_Cost]]-International_Education_Costs[[#This Row],[Tuition_USD]]</f>
        <v>22450</v>
      </c>
      <c r="Q520" s="2">
        <f>International_Education_Costs[[#This Row],[Tuition_USD]]/International_Education_Costs[[#This Row],[Total_Cost]]</f>
        <v>0</v>
      </c>
    </row>
    <row r="521" spans="1:17" x14ac:dyDescent="0.25">
      <c r="A521" t="s">
        <v>196</v>
      </c>
      <c r="B521" t="s">
        <v>702</v>
      </c>
      <c r="C521" t="s">
        <v>703</v>
      </c>
      <c r="D521" t="s">
        <v>704</v>
      </c>
      <c r="E521" t="s">
        <v>122</v>
      </c>
      <c r="F521">
        <v>4</v>
      </c>
      <c r="G521" s="1">
        <v>0</v>
      </c>
      <c r="H521">
        <v>67.8</v>
      </c>
      <c r="I521" s="1">
        <v>850</v>
      </c>
      <c r="J521" s="1">
        <v>275</v>
      </c>
      <c r="K521" s="1">
        <v>700</v>
      </c>
      <c r="L521">
        <v>10.45</v>
      </c>
      <c r="M5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43875</v>
      </c>
      <c r="N521" s="1">
        <f>International_Education_Costs[[#This Row],[Total_Cost]]/International_Education_Costs[[#This Row],[Duration_Years]]</f>
        <v>10968.75</v>
      </c>
      <c r="O521" s="1">
        <f>International_Education_Costs[[#This Row],[Rent_USD]] * 12 * International_Education_Costs[[#This Row],[Duration_Years]]</f>
        <v>40800</v>
      </c>
      <c r="P521" s="1">
        <f>International_Education_Costs[[#This Row],[Total_Cost]]-International_Education_Costs[[#This Row],[Tuition_USD]]</f>
        <v>43875</v>
      </c>
      <c r="Q521" s="2">
        <f>International_Education_Costs[[#This Row],[Tuition_USD]]/International_Education_Costs[[#This Row],[Total_Cost]]</f>
        <v>0</v>
      </c>
    </row>
    <row r="522" spans="1:17" x14ac:dyDescent="0.25">
      <c r="A522" t="s">
        <v>193</v>
      </c>
      <c r="B522" t="s">
        <v>705</v>
      </c>
      <c r="C522" t="s">
        <v>706</v>
      </c>
      <c r="D522" t="s">
        <v>199</v>
      </c>
      <c r="E522" t="s">
        <v>75</v>
      </c>
      <c r="F522">
        <v>3</v>
      </c>
      <c r="G522" s="1">
        <v>0</v>
      </c>
      <c r="H522">
        <v>66.900000000000006</v>
      </c>
      <c r="I522" s="1">
        <v>700</v>
      </c>
      <c r="J522" s="1">
        <v>350</v>
      </c>
      <c r="K522" s="1">
        <v>650</v>
      </c>
      <c r="L522">
        <v>0.92</v>
      </c>
      <c r="M5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27500</v>
      </c>
      <c r="N522" s="1">
        <f>International_Education_Costs[[#This Row],[Total_Cost]]/International_Education_Costs[[#This Row],[Duration_Years]]</f>
        <v>9166.6666666666661</v>
      </c>
      <c r="O522" s="1">
        <f>International_Education_Costs[[#This Row],[Rent_USD]] * 12 * International_Education_Costs[[#This Row],[Duration_Years]]</f>
        <v>25200</v>
      </c>
      <c r="P522" s="1">
        <f>International_Education_Costs[[#This Row],[Total_Cost]]-International_Education_Costs[[#This Row],[Tuition_USD]]</f>
        <v>27500</v>
      </c>
      <c r="Q522" s="2">
        <f>International_Education_Costs[[#This Row],[Tuition_USD]]/International_Education_Costs[[#This Row],[Total_Cost]]</f>
        <v>0</v>
      </c>
    </row>
    <row r="523" spans="1:17" x14ac:dyDescent="0.25">
      <c r="A523" t="s">
        <v>29</v>
      </c>
      <c r="B523" t="s">
        <v>253</v>
      </c>
      <c r="C523" t="s">
        <v>254</v>
      </c>
      <c r="D523" t="s">
        <v>707</v>
      </c>
      <c r="E523" t="s">
        <v>16</v>
      </c>
      <c r="F523">
        <v>2</v>
      </c>
      <c r="G523" s="1">
        <v>0</v>
      </c>
      <c r="H523">
        <v>68.900000000000006</v>
      </c>
      <c r="I523" s="1">
        <v>1000</v>
      </c>
      <c r="J523" s="1">
        <v>110</v>
      </c>
      <c r="K523" s="1">
        <v>900</v>
      </c>
      <c r="L523">
        <v>0.92</v>
      </c>
      <c r="M5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25910</v>
      </c>
      <c r="N523" s="1">
        <f>International_Education_Costs[[#This Row],[Total_Cost]]/International_Education_Costs[[#This Row],[Duration_Years]]</f>
        <v>12955</v>
      </c>
      <c r="O523" s="1">
        <f>International_Education_Costs[[#This Row],[Rent_USD]] * 12 * International_Education_Costs[[#This Row],[Duration_Years]]</f>
        <v>24000</v>
      </c>
      <c r="P523" s="1">
        <f>International_Education_Costs[[#This Row],[Total_Cost]]-International_Education_Costs[[#This Row],[Tuition_USD]]</f>
        <v>25910</v>
      </c>
      <c r="Q523" s="2">
        <f>International_Education_Costs[[#This Row],[Tuition_USD]]/International_Education_Costs[[#This Row],[Total_Cost]]</f>
        <v>0</v>
      </c>
    </row>
    <row r="524" spans="1:17" x14ac:dyDescent="0.25">
      <c r="A524" t="s">
        <v>56</v>
      </c>
      <c r="B524" t="s">
        <v>708</v>
      </c>
      <c r="C524" t="s">
        <v>58</v>
      </c>
      <c r="D524" t="s">
        <v>59</v>
      </c>
      <c r="E524" t="s">
        <v>16</v>
      </c>
      <c r="F524">
        <v>2</v>
      </c>
      <c r="G524" s="1">
        <v>0</v>
      </c>
      <c r="H524">
        <v>67.5</v>
      </c>
      <c r="I524" s="1">
        <v>900</v>
      </c>
      <c r="J524" s="1">
        <v>450</v>
      </c>
      <c r="K524" s="1">
        <v>800</v>
      </c>
      <c r="L524">
        <v>7.45</v>
      </c>
      <c r="M5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23650</v>
      </c>
      <c r="N524" s="1">
        <f>International_Education_Costs[[#This Row],[Total_Cost]]/International_Education_Costs[[#This Row],[Duration_Years]]</f>
        <v>11825</v>
      </c>
      <c r="O524" s="1">
        <f>International_Education_Costs[[#This Row],[Rent_USD]] * 12 * International_Education_Costs[[#This Row],[Duration_Years]]</f>
        <v>21600</v>
      </c>
      <c r="P524" s="1">
        <f>International_Education_Costs[[#This Row],[Total_Cost]]-International_Education_Costs[[#This Row],[Tuition_USD]]</f>
        <v>23650</v>
      </c>
      <c r="Q524" s="2">
        <f>International_Education_Costs[[#This Row],[Tuition_USD]]/International_Education_Costs[[#This Row],[Total_Cost]]</f>
        <v>0</v>
      </c>
    </row>
    <row r="525" spans="1:17" x14ac:dyDescent="0.25">
      <c r="A525" t="s">
        <v>196</v>
      </c>
      <c r="B525" t="s">
        <v>709</v>
      </c>
      <c r="C525" t="s">
        <v>710</v>
      </c>
      <c r="D525" t="s">
        <v>711</v>
      </c>
      <c r="E525" t="s">
        <v>16</v>
      </c>
      <c r="F525">
        <v>2</v>
      </c>
      <c r="G525" s="1">
        <v>0</v>
      </c>
      <c r="H525">
        <v>66.7</v>
      </c>
      <c r="I525" s="1">
        <v>800</v>
      </c>
      <c r="J525" s="1">
        <v>275</v>
      </c>
      <c r="K525" s="1">
        <v>700</v>
      </c>
      <c r="L525">
        <v>10.45</v>
      </c>
      <c r="M5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20875</v>
      </c>
      <c r="N525" s="1">
        <f>International_Education_Costs[[#This Row],[Total_Cost]]/International_Education_Costs[[#This Row],[Duration_Years]]</f>
        <v>10437.5</v>
      </c>
      <c r="O525" s="1">
        <f>International_Education_Costs[[#This Row],[Rent_USD]] * 12 * International_Education_Costs[[#This Row],[Duration_Years]]</f>
        <v>19200</v>
      </c>
      <c r="P525" s="1">
        <f>International_Education_Costs[[#This Row],[Total_Cost]]-International_Education_Costs[[#This Row],[Tuition_USD]]</f>
        <v>20875</v>
      </c>
      <c r="Q525" s="2">
        <f>International_Education_Costs[[#This Row],[Tuition_USD]]/International_Education_Costs[[#This Row],[Total_Cost]]</f>
        <v>0</v>
      </c>
    </row>
    <row r="526" spans="1:17" x14ac:dyDescent="0.25">
      <c r="A526" t="s">
        <v>193</v>
      </c>
      <c r="B526" t="s">
        <v>712</v>
      </c>
      <c r="C526" t="s">
        <v>706</v>
      </c>
      <c r="D526" t="s">
        <v>713</v>
      </c>
      <c r="E526" t="s">
        <v>122</v>
      </c>
      <c r="F526">
        <v>4</v>
      </c>
      <c r="G526" s="1">
        <v>0</v>
      </c>
      <c r="H526">
        <v>65.8</v>
      </c>
      <c r="I526" s="1">
        <v>650</v>
      </c>
      <c r="J526" s="1">
        <v>350</v>
      </c>
      <c r="K526" s="1">
        <v>650</v>
      </c>
      <c r="L526">
        <v>0.92</v>
      </c>
      <c r="M5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34150</v>
      </c>
      <c r="N526" s="1">
        <f>International_Education_Costs[[#This Row],[Total_Cost]]/International_Education_Costs[[#This Row],[Duration_Years]]</f>
        <v>8537.5</v>
      </c>
      <c r="O526" s="1">
        <f>International_Education_Costs[[#This Row],[Rent_USD]] * 12 * International_Education_Costs[[#This Row],[Duration_Years]]</f>
        <v>31200</v>
      </c>
      <c r="P526" s="1">
        <f>International_Education_Costs[[#This Row],[Total_Cost]]-International_Education_Costs[[#This Row],[Tuition_USD]]</f>
        <v>34150</v>
      </c>
      <c r="Q526" s="2">
        <f>International_Education_Costs[[#This Row],[Tuition_USD]]/International_Education_Costs[[#This Row],[Total_Cost]]</f>
        <v>0</v>
      </c>
    </row>
    <row r="527" spans="1:17" x14ac:dyDescent="0.25">
      <c r="A527" t="s">
        <v>29</v>
      </c>
      <c r="B527" t="s">
        <v>262</v>
      </c>
      <c r="C527" t="s">
        <v>263</v>
      </c>
      <c r="D527" t="s">
        <v>714</v>
      </c>
      <c r="E527" t="s">
        <v>16</v>
      </c>
      <c r="F527">
        <v>2</v>
      </c>
      <c r="G527" s="1">
        <v>0</v>
      </c>
      <c r="H527">
        <v>65.400000000000006</v>
      </c>
      <c r="I527" s="1">
        <v>850</v>
      </c>
      <c r="J527" s="1">
        <v>110</v>
      </c>
      <c r="K527" s="1">
        <v>900</v>
      </c>
      <c r="L527">
        <v>0.92</v>
      </c>
      <c r="M5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22310</v>
      </c>
      <c r="N527" s="1">
        <f>International_Education_Costs[[#This Row],[Total_Cost]]/International_Education_Costs[[#This Row],[Duration_Years]]</f>
        <v>11155</v>
      </c>
      <c r="O527" s="1">
        <f>International_Education_Costs[[#This Row],[Rent_USD]] * 12 * International_Education_Costs[[#This Row],[Duration_Years]]</f>
        <v>20400</v>
      </c>
      <c r="P527" s="1">
        <f>International_Education_Costs[[#This Row],[Total_Cost]]-International_Education_Costs[[#This Row],[Tuition_USD]]</f>
        <v>22310</v>
      </c>
      <c r="Q527" s="2">
        <f>International_Education_Costs[[#This Row],[Tuition_USD]]/International_Education_Costs[[#This Row],[Total_Cost]]</f>
        <v>0</v>
      </c>
    </row>
    <row r="528" spans="1:17" x14ac:dyDescent="0.25">
      <c r="A528" t="s">
        <v>56</v>
      </c>
      <c r="B528" t="s">
        <v>715</v>
      </c>
      <c r="C528" t="s">
        <v>456</v>
      </c>
      <c r="D528" t="s">
        <v>716</v>
      </c>
      <c r="E528" t="s">
        <v>16</v>
      </c>
      <c r="F528">
        <v>2</v>
      </c>
      <c r="G528" s="1">
        <v>0</v>
      </c>
      <c r="H528">
        <v>66.2</v>
      </c>
      <c r="I528" s="1">
        <v>800</v>
      </c>
      <c r="J528" s="1">
        <v>450</v>
      </c>
      <c r="K528" s="1">
        <v>800</v>
      </c>
      <c r="L528">
        <v>7.45</v>
      </c>
      <c r="M5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21250</v>
      </c>
      <c r="N528" s="1">
        <f>International_Education_Costs[[#This Row],[Total_Cost]]/International_Education_Costs[[#This Row],[Duration_Years]]</f>
        <v>10625</v>
      </c>
      <c r="O528" s="1">
        <f>International_Education_Costs[[#This Row],[Rent_USD]] * 12 * International_Education_Costs[[#This Row],[Duration_Years]]</f>
        <v>19200</v>
      </c>
      <c r="P528" s="1">
        <f>International_Education_Costs[[#This Row],[Total_Cost]]-International_Education_Costs[[#This Row],[Tuition_USD]]</f>
        <v>21250</v>
      </c>
      <c r="Q528" s="2">
        <f>International_Education_Costs[[#This Row],[Tuition_USD]]/International_Education_Costs[[#This Row],[Total_Cost]]</f>
        <v>0</v>
      </c>
    </row>
    <row r="529" spans="1:17" x14ac:dyDescent="0.25">
      <c r="A529" t="s">
        <v>76</v>
      </c>
      <c r="B529" t="s">
        <v>77</v>
      </c>
      <c r="C529" t="s">
        <v>78</v>
      </c>
      <c r="D529" t="s">
        <v>15</v>
      </c>
      <c r="E529" t="s">
        <v>16</v>
      </c>
      <c r="F529">
        <v>2</v>
      </c>
      <c r="G529" s="1">
        <v>32000</v>
      </c>
      <c r="H529">
        <v>79.5</v>
      </c>
      <c r="I529" s="1">
        <v>1200</v>
      </c>
      <c r="J529" s="1">
        <v>330</v>
      </c>
      <c r="K529" s="1">
        <v>600</v>
      </c>
      <c r="L529">
        <v>1.65</v>
      </c>
      <c r="M5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62330</v>
      </c>
      <c r="N529" s="1">
        <f>International_Education_Costs[[#This Row],[Total_Cost]]/International_Education_Costs[[#This Row],[Duration_Years]]</f>
        <v>31165</v>
      </c>
      <c r="O529" s="1">
        <f>International_Education_Costs[[#This Row],[Rent_USD]] * 12 * International_Education_Costs[[#This Row],[Duration_Years]]</f>
        <v>28800</v>
      </c>
      <c r="P529" s="1">
        <f>International_Education_Costs[[#This Row],[Total_Cost]]-International_Education_Costs[[#This Row],[Tuition_USD]]</f>
        <v>30330</v>
      </c>
      <c r="Q529" s="2">
        <f>International_Education_Costs[[#This Row],[Tuition_USD]]/International_Education_Costs[[#This Row],[Total_Cost]]</f>
        <v>0.51339643831220916</v>
      </c>
    </row>
    <row r="530" spans="1:17" x14ac:dyDescent="0.25">
      <c r="A530" t="s">
        <v>12</v>
      </c>
      <c r="B530" t="s">
        <v>123</v>
      </c>
      <c r="C530" t="s">
        <v>640</v>
      </c>
      <c r="D530" t="s">
        <v>20</v>
      </c>
      <c r="E530" t="s">
        <v>16</v>
      </c>
      <c r="F530">
        <v>2</v>
      </c>
      <c r="G530" s="1">
        <v>54000</v>
      </c>
      <c r="H530">
        <v>82.1</v>
      </c>
      <c r="I530" s="1">
        <v>2000</v>
      </c>
      <c r="J530" s="1">
        <v>160</v>
      </c>
      <c r="K530" s="1">
        <v>1500</v>
      </c>
      <c r="L530">
        <v>1</v>
      </c>
      <c r="M5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105160</v>
      </c>
      <c r="N530" s="1">
        <f>International_Education_Costs[[#This Row],[Total_Cost]]/International_Education_Costs[[#This Row],[Duration_Years]]</f>
        <v>52580</v>
      </c>
      <c r="O530" s="1">
        <f>International_Education_Costs[[#This Row],[Rent_USD]] * 12 * International_Education_Costs[[#This Row],[Duration_Years]]</f>
        <v>48000</v>
      </c>
      <c r="P530" s="1">
        <f>International_Education_Costs[[#This Row],[Total_Cost]]-International_Education_Costs[[#This Row],[Tuition_USD]]</f>
        <v>51160</v>
      </c>
      <c r="Q530" s="2">
        <f>International_Education_Costs[[#This Row],[Tuition_USD]]/International_Education_Costs[[#This Row],[Total_Cost]]</f>
        <v>0.5135032331685051</v>
      </c>
    </row>
    <row r="531" spans="1:17" x14ac:dyDescent="0.25">
      <c r="A531" t="s">
        <v>52</v>
      </c>
      <c r="B531" t="s">
        <v>53</v>
      </c>
      <c r="C531" t="s">
        <v>54</v>
      </c>
      <c r="D531" t="s">
        <v>717</v>
      </c>
      <c r="E531" t="s">
        <v>16</v>
      </c>
      <c r="F531">
        <v>2</v>
      </c>
      <c r="G531" s="1">
        <v>0</v>
      </c>
      <c r="H531">
        <v>78.400000000000006</v>
      </c>
      <c r="I531" s="1">
        <v>1100</v>
      </c>
      <c r="J531" s="1">
        <v>120</v>
      </c>
      <c r="K531" s="1">
        <v>750</v>
      </c>
      <c r="L531">
        <v>10.45</v>
      </c>
      <c r="M5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28020</v>
      </c>
      <c r="N531" s="1">
        <f>International_Education_Costs[[#This Row],[Total_Cost]]/International_Education_Costs[[#This Row],[Duration_Years]]</f>
        <v>14010</v>
      </c>
      <c r="O531" s="1">
        <f>International_Education_Costs[[#This Row],[Rent_USD]] * 12 * International_Education_Costs[[#This Row],[Duration_Years]]</f>
        <v>26400</v>
      </c>
      <c r="P531" s="1">
        <f>International_Education_Costs[[#This Row],[Total_Cost]]-International_Education_Costs[[#This Row],[Tuition_USD]]</f>
        <v>28020</v>
      </c>
      <c r="Q531" s="2">
        <f>International_Education_Costs[[#This Row],[Tuition_USD]]/International_Education_Costs[[#This Row],[Total_Cost]]</f>
        <v>0</v>
      </c>
    </row>
    <row r="532" spans="1:17" x14ac:dyDescent="0.25">
      <c r="A532" t="s">
        <v>37</v>
      </c>
      <c r="B532" t="s">
        <v>38</v>
      </c>
      <c r="C532" t="s">
        <v>39</v>
      </c>
      <c r="D532" t="s">
        <v>40</v>
      </c>
      <c r="E532" t="s">
        <v>122</v>
      </c>
      <c r="F532">
        <v>4</v>
      </c>
      <c r="G532" s="1">
        <v>15000</v>
      </c>
      <c r="H532">
        <v>81.2</v>
      </c>
      <c r="I532" s="1">
        <v>1300</v>
      </c>
      <c r="J532" s="1">
        <v>171</v>
      </c>
      <c r="K532" s="1">
        <v>720</v>
      </c>
      <c r="L532">
        <v>0.92</v>
      </c>
      <c r="M5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80451</v>
      </c>
      <c r="N532" s="1">
        <f>International_Education_Costs[[#This Row],[Total_Cost]]/International_Education_Costs[[#This Row],[Duration_Years]]</f>
        <v>20112.75</v>
      </c>
      <c r="O532" s="1">
        <f>International_Education_Costs[[#This Row],[Rent_USD]] * 12 * International_Education_Costs[[#This Row],[Duration_Years]]</f>
        <v>62400</v>
      </c>
      <c r="P532" s="1">
        <f>International_Education_Costs[[#This Row],[Total_Cost]]-International_Education_Costs[[#This Row],[Tuition_USD]]</f>
        <v>65451</v>
      </c>
      <c r="Q532" s="2">
        <f>International_Education_Costs[[#This Row],[Tuition_USD]]/International_Education_Costs[[#This Row],[Total_Cost]]</f>
        <v>0.18644889435805645</v>
      </c>
    </row>
    <row r="533" spans="1:17" x14ac:dyDescent="0.25">
      <c r="A533" t="s">
        <v>105</v>
      </c>
      <c r="B533" t="s">
        <v>106</v>
      </c>
      <c r="C533" t="s">
        <v>107</v>
      </c>
      <c r="D533" t="s">
        <v>63</v>
      </c>
      <c r="E533" t="s">
        <v>16</v>
      </c>
      <c r="F533">
        <v>2</v>
      </c>
      <c r="G533" s="1">
        <v>7000</v>
      </c>
      <c r="H533">
        <v>65.8</v>
      </c>
      <c r="I533" s="1">
        <v>800</v>
      </c>
      <c r="J533" s="1">
        <v>75</v>
      </c>
      <c r="K533" s="1">
        <v>400</v>
      </c>
      <c r="L533">
        <v>0.92</v>
      </c>
      <c r="M5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27075</v>
      </c>
      <c r="N533" s="1">
        <f>International_Education_Costs[[#This Row],[Total_Cost]]/International_Education_Costs[[#This Row],[Duration_Years]]</f>
        <v>13537.5</v>
      </c>
      <c r="O533" s="1">
        <f>International_Education_Costs[[#This Row],[Rent_USD]] * 12 * International_Education_Costs[[#This Row],[Duration_Years]]</f>
        <v>19200</v>
      </c>
      <c r="P533" s="1">
        <f>International_Education_Costs[[#This Row],[Total_Cost]]-International_Education_Costs[[#This Row],[Tuition_USD]]</f>
        <v>20075</v>
      </c>
      <c r="Q533" s="2">
        <f>International_Education_Costs[[#This Row],[Tuition_USD]]/International_Education_Costs[[#This Row],[Total_Cost]]</f>
        <v>0.25854108956602029</v>
      </c>
    </row>
    <row r="534" spans="1:17" x14ac:dyDescent="0.25">
      <c r="A534" t="s">
        <v>76</v>
      </c>
      <c r="B534" t="s">
        <v>718</v>
      </c>
      <c r="C534" t="s">
        <v>719</v>
      </c>
      <c r="D534" t="s">
        <v>71</v>
      </c>
      <c r="E534" t="s">
        <v>16</v>
      </c>
      <c r="F534">
        <v>2</v>
      </c>
      <c r="G534" s="1">
        <v>30000</v>
      </c>
      <c r="H534">
        <v>75.599999999999994</v>
      </c>
      <c r="I534" s="1">
        <v>1100</v>
      </c>
      <c r="J534" s="1">
        <v>330</v>
      </c>
      <c r="K534" s="1">
        <v>600</v>
      </c>
      <c r="L534">
        <v>1.65</v>
      </c>
      <c r="M5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57930</v>
      </c>
      <c r="N534" s="1">
        <f>International_Education_Costs[[#This Row],[Total_Cost]]/International_Education_Costs[[#This Row],[Duration_Years]]</f>
        <v>28965</v>
      </c>
      <c r="O534" s="1">
        <f>International_Education_Costs[[#This Row],[Rent_USD]] * 12 * International_Education_Costs[[#This Row],[Duration_Years]]</f>
        <v>26400</v>
      </c>
      <c r="P534" s="1">
        <f>International_Education_Costs[[#This Row],[Total_Cost]]-International_Education_Costs[[#This Row],[Tuition_USD]]</f>
        <v>27930</v>
      </c>
      <c r="Q534" s="2">
        <f>International_Education_Costs[[#This Row],[Tuition_USD]]/International_Education_Costs[[#This Row],[Total_Cost]]</f>
        <v>0.51786639047125838</v>
      </c>
    </row>
    <row r="535" spans="1:17" x14ac:dyDescent="0.25">
      <c r="A535" t="s">
        <v>12</v>
      </c>
      <c r="B535" t="s">
        <v>94</v>
      </c>
      <c r="C535" t="s">
        <v>95</v>
      </c>
      <c r="D535" t="s">
        <v>137</v>
      </c>
      <c r="E535" t="s">
        <v>122</v>
      </c>
      <c r="F535">
        <v>5</v>
      </c>
      <c r="G535" s="1">
        <v>48000</v>
      </c>
      <c r="H535">
        <v>68.900000000000006</v>
      </c>
      <c r="I535" s="1">
        <v>1600</v>
      </c>
      <c r="J535" s="1">
        <v>160</v>
      </c>
      <c r="K535" s="1">
        <v>1500</v>
      </c>
      <c r="L535">
        <v>1</v>
      </c>
      <c r="M5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151660</v>
      </c>
      <c r="N535" s="1">
        <f>International_Education_Costs[[#This Row],[Total_Cost]]/International_Education_Costs[[#This Row],[Duration_Years]]</f>
        <v>30332</v>
      </c>
      <c r="O535" s="1">
        <f>International_Education_Costs[[#This Row],[Rent_USD]] * 12 * International_Education_Costs[[#This Row],[Duration_Years]]</f>
        <v>96000</v>
      </c>
      <c r="P535" s="1">
        <f>International_Education_Costs[[#This Row],[Total_Cost]]-International_Education_Costs[[#This Row],[Tuition_USD]]</f>
        <v>103660</v>
      </c>
      <c r="Q535" s="2">
        <f>International_Education_Costs[[#This Row],[Tuition_USD]]/International_Education_Costs[[#This Row],[Total_Cost]]</f>
        <v>0.31649742845839379</v>
      </c>
    </row>
    <row r="536" spans="1:17" x14ac:dyDescent="0.25">
      <c r="A536" t="s">
        <v>52</v>
      </c>
      <c r="B536" t="s">
        <v>720</v>
      </c>
      <c r="C536" t="s">
        <v>721</v>
      </c>
      <c r="D536" t="s">
        <v>99</v>
      </c>
      <c r="E536" t="s">
        <v>75</v>
      </c>
      <c r="F536">
        <v>3</v>
      </c>
      <c r="G536" s="1">
        <v>0</v>
      </c>
      <c r="H536">
        <v>72.3</v>
      </c>
      <c r="I536" s="1">
        <v>900</v>
      </c>
      <c r="J536" s="1">
        <v>120</v>
      </c>
      <c r="K536" s="1">
        <v>750</v>
      </c>
      <c r="L536">
        <v>10.45</v>
      </c>
      <c r="M5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34770</v>
      </c>
      <c r="N536" s="1">
        <f>International_Education_Costs[[#This Row],[Total_Cost]]/International_Education_Costs[[#This Row],[Duration_Years]]</f>
        <v>11590</v>
      </c>
      <c r="O536" s="1">
        <f>International_Education_Costs[[#This Row],[Rent_USD]] * 12 * International_Education_Costs[[#This Row],[Duration_Years]]</f>
        <v>32400</v>
      </c>
      <c r="P536" s="1">
        <f>International_Education_Costs[[#This Row],[Total_Cost]]-International_Education_Costs[[#This Row],[Tuition_USD]]</f>
        <v>34770</v>
      </c>
      <c r="Q536" s="2">
        <f>International_Education_Costs[[#This Row],[Tuition_USD]]/International_Education_Costs[[#This Row],[Total_Cost]]</f>
        <v>0</v>
      </c>
    </row>
    <row r="537" spans="1:17" x14ac:dyDescent="0.25">
      <c r="A537" t="s">
        <v>37</v>
      </c>
      <c r="B537" t="s">
        <v>191</v>
      </c>
      <c r="C537" t="s">
        <v>192</v>
      </c>
      <c r="D537" t="s">
        <v>24</v>
      </c>
      <c r="E537" t="s">
        <v>16</v>
      </c>
      <c r="F537">
        <v>2</v>
      </c>
      <c r="G537" s="1">
        <v>14500</v>
      </c>
      <c r="H537">
        <v>77.8</v>
      </c>
      <c r="I537" s="1">
        <v>1200</v>
      </c>
      <c r="J537" s="1">
        <v>171</v>
      </c>
      <c r="K537" s="1">
        <v>720</v>
      </c>
      <c r="L537">
        <v>0.92</v>
      </c>
      <c r="M5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44911</v>
      </c>
      <c r="N537" s="1">
        <f>International_Education_Costs[[#This Row],[Total_Cost]]/International_Education_Costs[[#This Row],[Duration_Years]]</f>
        <v>22455.5</v>
      </c>
      <c r="O537" s="1">
        <f>International_Education_Costs[[#This Row],[Rent_USD]] * 12 * International_Education_Costs[[#This Row],[Duration_Years]]</f>
        <v>28800</v>
      </c>
      <c r="P537" s="1">
        <f>International_Education_Costs[[#This Row],[Total_Cost]]-International_Education_Costs[[#This Row],[Tuition_USD]]</f>
        <v>30411</v>
      </c>
      <c r="Q537" s="2">
        <f>International_Education_Costs[[#This Row],[Tuition_USD]]/International_Education_Costs[[#This Row],[Total_Cost]]</f>
        <v>0.3228607690766182</v>
      </c>
    </row>
    <row r="538" spans="1:17" x14ac:dyDescent="0.25">
      <c r="A538" t="s">
        <v>105</v>
      </c>
      <c r="B538" t="s">
        <v>722</v>
      </c>
      <c r="C538" t="s">
        <v>723</v>
      </c>
      <c r="D538" t="s">
        <v>208</v>
      </c>
      <c r="E538" t="s">
        <v>16</v>
      </c>
      <c r="F538">
        <v>2</v>
      </c>
      <c r="G538" s="1">
        <v>6500</v>
      </c>
      <c r="H538">
        <v>62.4</v>
      </c>
      <c r="I538" s="1">
        <v>700</v>
      </c>
      <c r="J538" s="1">
        <v>75</v>
      </c>
      <c r="K538" s="1">
        <v>400</v>
      </c>
      <c r="L538">
        <v>0.92</v>
      </c>
      <c r="M5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24175</v>
      </c>
      <c r="N538" s="1">
        <f>International_Education_Costs[[#This Row],[Total_Cost]]/International_Education_Costs[[#This Row],[Duration_Years]]</f>
        <v>12087.5</v>
      </c>
      <c r="O538" s="1">
        <f>International_Education_Costs[[#This Row],[Rent_USD]] * 12 * International_Education_Costs[[#This Row],[Duration_Years]]</f>
        <v>16800</v>
      </c>
      <c r="P538" s="1">
        <f>International_Education_Costs[[#This Row],[Total_Cost]]-International_Education_Costs[[#This Row],[Tuition_USD]]</f>
        <v>17675</v>
      </c>
      <c r="Q538" s="2">
        <f>International_Education_Costs[[#This Row],[Tuition_USD]]/International_Education_Costs[[#This Row],[Total_Cost]]</f>
        <v>0.26887280248190282</v>
      </c>
    </row>
    <row r="539" spans="1:17" x14ac:dyDescent="0.25">
      <c r="A539" t="s">
        <v>76</v>
      </c>
      <c r="B539" t="s">
        <v>724</v>
      </c>
      <c r="C539" t="s">
        <v>725</v>
      </c>
      <c r="D539" t="s">
        <v>32</v>
      </c>
      <c r="E539" t="s">
        <v>122</v>
      </c>
      <c r="F539">
        <v>4</v>
      </c>
      <c r="G539" s="1">
        <v>31000</v>
      </c>
      <c r="H539">
        <v>72.400000000000006</v>
      </c>
      <c r="I539" s="1">
        <v>950</v>
      </c>
      <c r="J539" s="1">
        <v>330</v>
      </c>
      <c r="K539" s="1">
        <v>600</v>
      </c>
      <c r="L539">
        <v>1.65</v>
      </c>
      <c r="M5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79330</v>
      </c>
      <c r="N539" s="1">
        <f>International_Education_Costs[[#This Row],[Total_Cost]]/International_Education_Costs[[#This Row],[Duration_Years]]</f>
        <v>19832.5</v>
      </c>
      <c r="O539" s="1">
        <f>International_Education_Costs[[#This Row],[Rent_USD]] * 12 * International_Education_Costs[[#This Row],[Duration_Years]]</f>
        <v>45600</v>
      </c>
      <c r="P539" s="1">
        <f>International_Education_Costs[[#This Row],[Total_Cost]]-International_Education_Costs[[#This Row],[Tuition_USD]]</f>
        <v>48330</v>
      </c>
      <c r="Q539" s="2">
        <f>International_Education_Costs[[#This Row],[Tuition_USD]]/International_Education_Costs[[#This Row],[Total_Cost]]</f>
        <v>0.39077272154292197</v>
      </c>
    </row>
    <row r="540" spans="1:17" x14ac:dyDescent="0.25">
      <c r="A540" t="s">
        <v>12</v>
      </c>
      <c r="B540" t="s">
        <v>148</v>
      </c>
      <c r="C540" t="s">
        <v>149</v>
      </c>
      <c r="D540" t="s">
        <v>626</v>
      </c>
      <c r="E540" t="s">
        <v>16</v>
      </c>
      <c r="F540">
        <v>2</v>
      </c>
      <c r="G540" s="1">
        <v>49000</v>
      </c>
      <c r="H540">
        <v>75.599999999999994</v>
      </c>
      <c r="I540" s="1">
        <v>1900</v>
      </c>
      <c r="J540" s="1">
        <v>160</v>
      </c>
      <c r="K540" s="1">
        <v>1500</v>
      </c>
      <c r="L540">
        <v>1</v>
      </c>
      <c r="M5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97760</v>
      </c>
      <c r="N540" s="1">
        <f>International_Education_Costs[[#This Row],[Total_Cost]]/International_Education_Costs[[#This Row],[Duration_Years]]</f>
        <v>48880</v>
      </c>
      <c r="O540" s="1">
        <f>International_Education_Costs[[#This Row],[Rent_USD]] * 12 * International_Education_Costs[[#This Row],[Duration_Years]]</f>
        <v>45600</v>
      </c>
      <c r="P540" s="1">
        <f>International_Education_Costs[[#This Row],[Total_Cost]]-International_Education_Costs[[#This Row],[Tuition_USD]]</f>
        <v>48760</v>
      </c>
      <c r="Q540" s="2">
        <f>International_Education_Costs[[#This Row],[Tuition_USD]]/International_Education_Costs[[#This Row],[Total_Cost]]</f>
        <v>0.50122749590834692</v>
      </c>
    </row>
    <row r="541" spans="1:17" x14ac:dyDescent="0.25">
      <c r="A541" t="s">
        <v>52</v>
      </c>
      <c r="B541" t="s">
        <v>726</v>
      </c>
      <c r="C541" t="s">
        <v>727</v>
      </c>
      <c r="D541" t="s">
        <v>728</v>
      </c>
      <c r="E541" t="s">
        <v>16</v>
      </c>
      <c r="F541">
        <v>2</v>
      </c>
      <c r="G541" s="1">
        <v>0</v>
      </c>
      <c r="H541">
        <v>71.2</v>
      </c>
      <c r="I541" s="1">
        <v>950</v>
      </c>
      <c r="J541" s="1">
        <v>120</v>
      </c>
      <c r="K541" s="1">
        <v>750</v>
      </c>
      <c r="L541">
        <v>10.45</v>
      </c>
      <c r="M5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24420</v>
      </c>
      <c r="N541" s="1">
        <f>International_Education_Costs[[#This Row],[Total_Cost]]/International_Education_Costs[[#This Row],[Duration_Years]]</f>
        <v>12210</v>
      </c>
      <c r="O541" s="1">
        <f>International_Education_Costs[[#This Row],[Rent_USD]] * 12 * International_Education_Costs[[#This Row],[Duration_Years]]</f>
        <v>22800</v>
      </c>
      <c r="P541" s="1">
        <f>International_Education_Costs[[#This Row],[Total_Cost]]-International_Education_Costs[[#This Row],[Tuition_USD]]</f>
        <v>24420</v>
      </c>
      <c r="Q541" s="2">
        <f>International_Education_Costs[[#This Row],[Tuition_USD]]/International_Education_Costs[[#This Row],[Total_Cost]]</f>
        <v>0</v>
      </c>
    </row>
    <row r="542" spans="1:17" x14ac:dyDescent="0.25">
      <c r="A542" t="s">
        <v>37</v>
      </c>
      <c r="B542" t="s">
        <v>135</v>
      </c>
      <c r="C542" t="s">
        <v>136</v>
      </c>
      <c r="D542" t="s">
        <v>15</v>
      </c>
      <c r="E542" t="s">
        <v>16</v>
      </c>
      <c r="F542">
        <v>2</v>
      </c>
      <c r="G542" s="1">
        <v>15500</v>
      </c>
      <c r="H542">
        <v>76.5</v>
      </c>
      <c r="I542" s="1">
        <v>1100</v>
      </c>
      <c r="J542" s="1">
        <v>171</v>
      </c>
      <c r="K542" s="1">
        <v>720</v>
      </c>
      <c r="L542">
        <v>0.92</v>
      </c>
      <c r="M5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43511</v>
      </c>
      <c r="N542" s="1">
        <f>International_Education_Costs[[#This Row],[Total_Cost]]/International_Education_Costs[[#This Row],[Duration_Years]]</f>
        <v>21755.5</v>
      </c>
      <c r="O542" s="1">
        <f>International_Education_Costs[[#This Row],[Rent_USD]] * 12 * International_Education_Costs[[#This Row],[Duration_Years]]</f>
        <v>26400</v>
      </c>
      <c r="P542" s="1">
        <f>International_Education_Costs[[#This Row],[Total_Cost]]-International_Education_Costs[[#This Row],[Tuition_USD]]</f>
        <v>28011</v>
      </c>
      <c r="Q542" s="2">
        <f>International_Education_Costs[[#This Row],[Tuition_USD]]/International_Education_Costs[[#This Row],[Total_Cost]]</f>
        <v>0.35623175748661257</v>
      </c>
    </row>
    <row r="543" spans="1:17" x14ac:dyDescent="0.25">
      <c r="A543" t="s">
        <v>105</v>
      </c>
      <c r="B543" t="s">
        <v>729</v>
      </c>
      <c r="C543" t="s">
        <v>730</v>
      </c>
      <c r="D543" t="s">
        <v>20</v>
      </c>
      <c r="E543" t="s">
        <v>75</v>
      </c>
      <c r="F543">
        <v>3</v>
      </c>
      <c r="G543" s="1">
        <v>6000</v>
      </c>
      <c r="H543">
        <v>58.9</v>
      </c>
      <c r="I543" s="1">
        <v>600</v>
      </c>
      <c r="J543" s="1">
        <v>75</v>
      </c>
      <c r="K543" s="1">
        <v>400</v>
      </c>
      <c r="L543">
        <v>0.92</v>
      </c>
      <c r="M5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28875</v>
      </c>
      <c r="N543" s="1">
        <f>International_Education_Costs[[#This Row],[Total_Cost]]/International_Education_Costs[[#This Row],[Duration_Years]]</f>
        <v>9625</v>
      </c>
      <c r="O543" s="1">
        <f>International_Education_Costs[[#This Row],[Rent_USD]] * 12 * International_Education_Costs[[#This Row],[Duration_Years]]</f>
        <v>21600</v>
      </c>
      <c r="P543" s="1">
        <f>International_Education_Costs[[#This Row],[Total_Cost]]-International_Education_Costs[[#This Row],[Tuition_USD]]</f>
        <v>22875</v>
      </c>
      <c r="Q543" s="2">
        <f>International_Education_Costs[[#This Row],[Tuition_USD]]/International_Education_Costs[[#This Row],[Total_Cost]]</f>
        <v>0.20779220779220781</v>
      </c>
    </row>
    <row r="544" spans="1:17" x14ac:dyDescent="0.25">
      <c r="A544" t="s">
        <v>76</v>
      </c>
      <c r="B544" t="s">
        <v>731</v>
      </c>
      <c r="C544" t="s">
        <v>732</v>
      </c>
      <c r="D544" t="s">
        <v>216</v>
      </c>
      <c r="E544" t="s">
        <v>16</v>
      </c>
      <c r="F544">
        <v>2</v>
      </c>
      <c r="G544" s="1">
        <v>29000</v>
      </c>
      <c r="H544">
        <v>70.2</v>
      </c>
      <c r="I544" s="1">
        <v>900</v>
      </c>
      <c r="J544" s="1">
        <v>330</v>
      </c>
      <c r="K544" s="1">
        <v>600</v>
      </c>
      <c r="L544">
        <v>1.65</v>
      </c>
      <c r="M5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52130</v>
      </c>
      <c r="N544" s="1">
        <f>International_Education_Costs[[#This Row],[Total_Cost]]/International_Education_Costs[[#This Row],[Duration_Years]]</f>
        <v>26065</v>
      </c>
      <c r="O544" s="1">
        <f>International_Education_Costs[[#This Row],[Rent_USD]] * 12 * International_Education_Costs[[#This Row],[Duration_Years]]</f>
        <v>21600</v>
      </c>
      <c r="P544" s="1">
        <f>International_Education_Costs[[#This Row],[Total_Cost]]-International_Education_Costs[[#This Row],[Tuition_USD]]</f>
        <v>23130</v>
      </c>
      <c r="Q544" s="2">
        <f>International_Education_Costs[[#This Row],[Tuition_USD]]/International_Education_Costs[[#This Row],[Total_Cost]]</f>
        <v>0.55630155380778823</v>
      </c>
    </row>
    <row r="545" spans="1:17" x14ac:dyDescent="0.25">
      <c r="A545" t="s">
        <v>12</v>
      </c>
      <c r="B545" t="s">
        <v>150</v>
      </c>
      <c r="C545" t="s">
        <v>151</v>
      </c>
      <c r="D545" t="s">
        <v>63</v>
      </c>
      <c r="E545" t="s">
        <v>16</v>
      </c>
      <c r="F545">
        <v>2</v>
      </c>
      <c r="G545" s="1">
        <v>51000</v>
      </c>
      <c r="H545">
        <v>77.8</v>
      </c>
      <c r="I545" s="1">
        <v>2100</v>
      </c>
      <c r="J545" s="1">
        <v>160</v>
      </c>
      <c r="K545" s="1">
        <v>1500</v>
      </c>
      <c r="L545">
        <v>1</v>
      </c>
      <c r="M5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104560</v>
      </c>
      <c r="N545" s="1">
        <f>International_Education_Costs[[#This Row],[Total_Cost]]/International_Education_Costs[[#This Row],[Duration_Years]]</f>
        <v>52280</v>
      </c>
      <c r="O545" s="1">
        <f>International_Education_Costs[[#This Row],[Rent_USD]] * 12 * International_Education_Costs[[#This Row],[Duration_Years]]</f>
        <v>50400</v>
      </c>
      <c r="P545" s="1">
        <f>International_Education_Costs[[#This Row],[Total_Cost]]-International_Education_Costs[[#This Row],[Tuition_USD]]</f>
        <v>53560</v>
      </c>
      <c r="Q545" s="2">
        <f>International_Education_Costs[[#This Row],[Tuition_USD]]/International_Education_Costs[[#This Row],[Total_Cost]]</f>
        <v>0.48775822494261667</v>
      </c>
    </row>
    <row r="546" spans="1:17" x14ac:dyDescent="0.25">
      <c r="A546" t="s">
        <v>52</v>
      </c>
      <c r="B546" t="s">
        <v>145</v>
      </c>
      <c r="C546" t="s">
        <v>146</v>
      </c>
      <c r="D546" t="s">
        <v>51</v>
      </c>
      <c r="E546" t="s">
        <v>122</v>
      </c>
      <c r="F546">
        <v>4</v>
      </c>
      <c r="G546" s="1">
        <v>0</v>
      </c>
      <c r="H546">
        <v>73.400000000000006</v>
      </c>
      <c r="I546" s="1">
        <v>1000</v>
      </c>
      <c r="J546" s="1">
        <v>120</v>
      </c>
      <c r="K546" s="1">
        <v>750</v>
      </c>
      <c r="L546">
        <v>10.45</v>
      </c>
      <c r="M5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51120</v>
      </c>
      <c r="N546" s="1">
        <f>International_Education_Costs[[#This Row],[Total_Cost]]/International_Education_Costs[[#This Row],[Duration_Years]]</f>
        <v>12780</v>
      </c>
      <c r="O546" s="1">
        <f>International_Education_Costs[[#This Row],[Rent_USD]] * 12 * International_Education_Costs[[#This Row],[Duration_Years]]</f>
        <v>48000</v>
      </c>
      <c r="P546" s="1">
        <f>International_Education_Costs[[#This Row],[Total_Cost]]-International_Education_Costs[[#This Row],[Tuition_USD]]</f>
        <v>51120</v>
      </c>
      <c r="Q546" s="2">
        <f>International_Education_Costs[[#This Row],[Tuition_USD]]/International_Education_Costs[[#This Row],[Total_Cost]]</f>
        <v>0</v>
      </c>
    </row>
    <row r="547" spans="1:17" x14ac:dyDescent="0.25">
      <c r="A547" t="s">
        <v>37</v>
      </c>
      <c r="B547" t="s">
        <v>384</v>
      </c>
      <c r="C547" t="s">
        <v>385</v>
      </c>
      <c r="D547" t="s">
        <v>40</v>
      </c>
      <c r="E547" t="s">
        <v>16</v>
      </c>
      <c r="F547">
        <v>2</v>
      </c>
      <c r="G547" s="1">
        <v>14800</v>
      </c>
      <c r="H547">
        <v>72.3</v>
      </c>
      <c r="I547" s="1">
        <v>950</v>
      </c>
      <c r="J547" s="1">
        <v>171</v>
      </c>
      <c r="K547" s="1">
        <v>720</v>
      </c>
      <c r="L547">
        <v>0.92</v>
      </c>
      <c r="M5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39211</v>
      </c>
      <c r="N547" s="1">
        <f>International_Education_Costs[[#This Row],[Total_Cost]]/International_Education_Costs[[#This Row],[Duration_Years]]</f>
        <v>19605.5</v>
      </c>
      <c r="O547" s="1">
        <f>International_Education_Costs[[#This Row],[Rent_USD]] * 12 * International_Education_Costs[[#This Row],[Duration_Years]]</f>
        <v>22800</v>
      </c>
      <c r="P547" s="1">
        <f>International_Education_Costs[[#This Row],[Total_Cost]]-International_Education_Costs[[#This Row],[Tuition_USD]]</f>
        <v>24411</v>
      </c>
      <c r="Q547" s="2">
        <f>International_Education_Costs[[#This Row],[Tuition_USD]]/International_Education_Costs[[#This Row],[Total_Cost]]</f>
        <v>0.37744510469001047</v>
      </c>
    </row>
    <row r="548" spans="1:17" x14ac:dyDescent="0.25">
      <c r="A548" t="s">
        <v>105</v>
      </c>
      <c r="B548" t="s">
        <v>733</v>
      </c>
      <c r="C548" t="s">
        <v>734</v>
      </c>
      <c r="D548" t="s">
        <v>15</v>
      </c>
      <c r="E548" t="s">
        <v>16</v>
      </c>
      <c r="F548">
        <v>2</v>
      </c>
      <c r="G548" s="1">
        <v>6200</v>
      </c>
      <c r="H548">
        <v>57.8</v>
      </c>
      <c r="I548" s="1">
        <v>550</v>
      </c>
      <c r="J548" s="1">
        <v>75</v>
      </c>
      <c r="K548" s="1">
        <v>400</v>
      </c>
      <c r="L548">
        <v>0.92</v>
      </c>
      <c r="M5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20275</v>
      </c>
      <c r="N548" s="1">
        <f>International_Education_Costs[[#This Row],[Total_Cost]]/International_Education_Costs[[#This Row],[Duration_Years]]</f>
        <v>10137.5</v>
      </c>
      <c r="O548" s="1">
        <f>International_Education_Costs[[#This Row],[Rent_USD]] * 12 * International_Education_Costs[[#This Row],[Duration_Years]]</f>
        <v>13200</v>
      </c>
      <c r="P548" s="1">
        <f>International_Education_Costs[[#This Row],[Total_Cost]]-International_Education_Costs[[#This Row],[Tuition_USD]]</f>
        <v>14075</v>
      </c>
      <c r="Q548" s="2">
        <f>International_Education_Costs[[#This Row],[Tuition_USD]]/International_Education_Costs[[#This Row],[Total_Cost]]</f>
        <v>0.30579531442663377</v>
      </c>
    </row>
    <row r="549" spans="1:17" x14ac:dyDescent="0.25">
      <c r="A549" t="s">
        <v>76</v>
      </c>
      <c r="B549" t="s">
        <v>310</v>
      </c>
      <c r="C549" t="s">
        <v>735</v>
      </c>
      <c r="D549" t="s">
        <v>199</v>
      </c>
      <c r="E549" t="s">
        <v>16</v>
      </c>
      <c r="F549">
        <v>2</v>
      </c>
      <c r="G549" s="1">
        <v>28500</v>
      </c>
      <c r="H549">
        <v>68.900000000000006</v>
      </c>
      <c r="I549" s="1">
        <v>850</v>
      </c>
      <c r="J549" s="1">
        <v>330</v>
      </c>
      <c r="K549" s="1">
        <v>600</v>
      </c>
      <c r="L549">
        <v>1.65</v>
      </c>
      <c r="M5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50430</v>
      </c>
      <c r="N549" s="1">
        <f>International_Education_Costs[[#This Row],[Total_Cost]]/International_Education_Costs[[#This Row],[Duration_Years]]</f>
        <v>25215</v>
      </c>
      <c r="O549" s="1">
        <f>International_Education_Costs[[#This Row],[Rent_USD]] * 12 * International_Education_Costs[[#This Row],[Duration_Years]]</f>
        <v>20400</v>
      </c>
      <c r="P549" s="1">
        <f>International_Education_Costs[[#This Row],[Total_Cost]]-International_Education_Costs[[#This Row],[Tuition_USD]]</f>
        <v>21930</v>
      </c>
      <c r="Q549" s="2">
        <f>International_Education_Costs[[#This Row],[Tuition_USD]]/International_Education_Costs[[#This Row],[Total_Cost]]</f>
        <v>0.56513979773944079</v>
      </c>
    </row>
    <row r="550" spans="1:17" x14ac:dyDescent="0.25">
      <c r="A550" t="s">
        <v>12</v>
      </c>
      <c r="B550" t="s">
        <v>91</v>
      </c>
      <c r="C550" t="s">
        <v>92</v>
      </c>
      <c r="D550" t="s">
        <v>736</v>
      </c>
      <c r="E550" t="s">
        <v>122</v>
      </c>
      <c r="F550">
        <v>5</v>
      </c>
      <c r="G550" s="1">
        <v>48000</v>
      </c>
      <c r="H550">
        <v>71.2</v>
      </c>
      <c r="I550" s="1">
        <v>1700</v>
      </c>
      <c r="J550" s="1">
        <v>160</v>
      </c>
      <c r="K550" s="1">
        <v>1500</v>
      </c>
      <c r="L550">
        <v>1</v>
      </c>
      <c r="M5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157660</v>
      </c>
      <c r="N550" s="1">
        <f>International_Education_Costs[[#This Row],[Total_Cost]]/International_Education_Costs[[#This Row],[Duration_Years]]</f>
        <v>31532</v>
      </c>
      <c r="O550" s="1">
        <f>International_Education_Costs[[#This Row],[Rent_USD]] * 12 * International_Education_Costs[[#This Row],[Duration_Years]]</f>
        <v>102000</v>
      </c>
      <c r="P550" s="1">
        <f>International_Education_Costs[[#This Row],[Total_Cost]]-International_Education_Costs[[#This Row],[Tuition_USD]]</f>
        <v>109660</v>
      </c>
      <c r="Q550" s="2">
        <f>International_Education_Costs[[#This Row],[Tuition_USD]]/International_Education_Costs[[#This Row],[Total_Cost]]</f>
        <v>0.30445261956108083</v>
      </c>
    </row>
    <row r="551" spans="1:17" x14ac:dyDescent="0.25">
      <c r="A551" t="s">
        <v>52</v>
      </c>
      <c r="B551" t="s">
        <v>1353</v>
      </c>
      <c r="C551" t="s">
        <v>1354</v>
      </c>
      <c r="D551" t="s">
        <v>15</v>
      </c>
      <c r="E551" t="s">
        <v>16</v>
      </c>
      <c r="F551">
        <v>2</v>
      </c>
      <c r="G551" s="1">
        <v>0</v>
      </c>
      <c r="H551">
        <v>69.8</v>
      </c>
      <c r="I551" s="1">
        <v>850</v>
      </c>
      <c r="J551" s="1">
        <v>120</v>
      </c>
      <c r="K551" s="1">
        <v>750</v>
      </c>
      <c r="L551">
        <v>10.45</v>
      </c>
      <c r="M5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22020</v>
      </c>
      <c r="N551" s="1">
        <f>International_Education_Costs[[#This Row],[Total_Cost]]/International_Education_Costs[[#This Row],[Duration_Years]]</f>
        <v>11010</v>
      </c>
      <c r="O551" s="1">
        <f>International_Education_Costs[[#This Row],[Rent_USD]] * 12 * International_Education_Costs[[#This Row],[Duration_Years]]</f>
        <v>20400</v>
      </c>
      <c r="P551" s="1">
        <f>International_Education_Costs[[#This Row],[Total_Cost]]-International_Education_Costs[[#This Row],[Tuition_USD]]</f>
        <v>22020</v>
      </c>
      <c r="Q551" s="2">
        <f>International_Education_Costs[[#This Row],[Tuition_USD]]/International_Education_Costs[[#This Row],[Total_Cost]]</f>
        <v>0</v>
      </c>
    </row>
    <row r="552" spans="1:17" x14ac:dyDescent="0.25">
      <c r="A552" t="s">
        <v>37</v>
      </c>
      <c r="B552" t="s">
        <v>397</v>
      </c>
      <c r="C552" t="s">
        <v>398</v>
      </c>
      <c r="D552" t="s">
        <v>20</v>
      </c>
      <c r="E552" t="s">
        <v>75</v>
      </c>
      <c r="F552">
        <v>3</v>
      </c>
      <c r="G552" s="1">
        <v>13900</v>
      </c>
      <c r="H552">
        <v>75.400000000000006</v>
      </c>
      <c r="I552" s="1">
        <v>1100</v>
      </c>
      <c r="J552" s="1">
        <v>171</v>
      </c>
      <c r="K552" s="1">
        <v>720</v>
      </c>
      <c r="L552">
        <v>0.92</v>
      </c>
      <c r="M5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55831</v>
      </c>
      <c r="N552" s="1">
        <f>International_Education_Costs[[#This Row],[Total_Cost]]/International_Education_Costs[[#This Row],[Duration_Years]]</f>
        <v>18610.333333333332</v>
      </c>
      <c r="O552" s="1">
        <f>International_Education_Costs[[#This Row],[Rent_USD]] * 12 * International_Education_Costs[[#This Row],[Duration_Years]]</f>
        <v>39600</v>
      </c>
      <c r="P552" s="1">
        <f>International_Education_Costs[[#This Row],[Total_Cost]]-International_Education_Costs[[#This Row],[Tuition_USD]]</f>
        <v>41931</v>
      </c>
      <c r="Q552" s="2">
        <f>International_Education_Costs[[#This Row],[Tuition_USD]]/International_Education_Costs[[#This Row],[Total_Cost]]</f>
        <v>0.24896562841432179</v>
      </c>
    </row>
    <row r="553" spans="1:17" x14ac:dyDescent="0.25">
      <c r="A553" t="s">
        <v>105</v>
      </c>
      <c r="B553" t="s">
        <v>737</v>
      </c>
      <c r="C553" t="s">
        <v>738</v>
      </c>
      <c r="D553" t="s">
        <v>137</v>
      </c>
      <c r="E553" t="s">
        <v>122</v>
      </c>
      <c r="F553">
        <v>4</v>
      </c>
      <c r="G553" s="1">
        <v>6800</v>
      </c>
      <c r="H553">
        <v>56.7</v>
      </c>
      <c r="I553" s="1">
        <v>500</v>
      </c>
      <c r="J553" s="1">
        <v>75</v>
      </c>
      <c r="K553" s="1">
        <v>400</v>
      </c>
      <c r="L553">
        <v>0.92</v>
      </c>
      <c r="M5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32475</v>
      </c>
      <c r="N553" s="1">
        <f>International_Education_Costs[[#This Row],[Total_Cost]]/International_Education_Costs[[#This Row],[Duration_Years]]</f>
        <v>8118.75</v>
      </c>
      <c r="O553" s="1">
        <f>International_Education_Costs[[#This Row],[Rent_USD]] * 12 * International_Education_Costs[[#This Row],[Duration_Years]]</f>
        <v>24000</v>
      </c>
      <c r="P553" s="1">
        <f>International_Education_Costs[[#This Row],[Total_Cost]]-International_Education_Costs[[#This Row],[Tuition_USD]]</f>
        <v>25675</v>
      </c>
      <c r="Q553" s="2">
        <f>International_Education_Costs[[#This Row],[Tuition_USD]]/International_Education_Costs[[#This Row],[Total_Cost]]</f>
        <v>0.20939183987682833</v>
      </c>
    </row>
    <row r="554" spans="1:17" x14ac:dyDescent="0.25">
      <c r="A554" t="s">
        <v>76</v>
      </c>
      <c r="B554" t="s">
        <v>739</v>
      </c>
      <c r="C554" t="s">
        <v>740</v>
      </c>
      <c r="D554" t="s">
        <v>63</v>
      </c>
      <c r="E554" t="s">
        <v>75</v>
      </c>
      <c r="F554">
        <v>3</v>
      </c>
      <c r="G554" s="1">
        <v>27500</v>
      </c>
      <c r="H554">
        <v>67.5</v>
      </c>
      <c r="I554" s="1">
        <v>800</v>
      </c>
      <c r="J554" s="1">
        <v>330</v>
      </c>
      <c r="K554" s="1">
        <v>600</v>
      </c>
      <c r="L554">
        <v>1.65</v>
      </c>
      <c r="M5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58430</v>
      </c>
      <c r="N554" s="1">
        <f>International_Education_Costs[[#This Row],[Total_Cost]]/International_Education_Costs[[#This Row],[Duration_Years]]</f>
        <v>19476.666666666668</v>
      </c>
      <c r="O554" s="1">
        <f>International_Education_Costs[[#This Row],[Rent_USD]] * 12 * International_Education_Costs[[#This Row],[Duration_Years]]</f>
        <v>28800</v>
      </c>
      <c r="P554" s="1">
        <f>International_Education_Costs[[#This Row],[Total_Cost]]-International_Education_Costs[[#This Row],[Tuition_USD]]</f>
        <v>30930</v>
      </c>
      <c r="Q554" s="2">
        <f>International_Education_Costs[[#This Row],[Tuition_USD]]/International_Education_Costs[[#This Row],[Total_Cost]]</f>
        <v>0.47064863939756973</v>
      </c>
    </row>
    <row r="555" spans="1:17" x14ac:dyDescent="0.25">
      <c r="A555" t="s">
        <v>12</v>
      </c>
      <c r="B555" t="s">
        <v>329</v>
      </c>
      <c r="C555" t="s">
        <v>330</v>
      </c>
      <c r="D555" t="s">
        <v>208</v>
      </c>
      <c r="E555" t="s">
        <v>16</v>
      </c>
      <c r="F555">
        <v>2</v>
      </c>
      <c r="G555" s="1">
        <v>56000</v>
      </c>
      <c r="H555">
        <v>65.400000000000006</v>
      </c>
      <c r="I555" s="1">
        <v>1500</v>
      </c>
      <c r="J555" s="1">
        <v>160</v>
      </c>
      <c r="K555" s="1">
        <v>1500</v>
      </c>
      <c r="L555">
        <v>1</v>
      </c>
      <c r="M5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95160</v>
      </c>
      <c r="N555" s="1">
        <f>International_Education_Costs[[#This Row],[Total_Cost]]/International_Education_Costs[[#This Row],[Duration_Years]]</f>
        <v>47580</v>
      </c>
      <c r="O555" s="1">
        <f>International_Education_Costs[[#This Row],[Rent_USD]] * 12 * International_Education_Costs[[#This Row],[Duration_Years]]</f>
        <v>36000</v>
      </c>
      <c r="P555" s="1">
        <f>International_Education_Costs[[#This Row],[Total_Cost]]-International_Education_Costs[[#This Row],[Tuition_USD]]</f>
        <v>39160</v>
      </c>
      <c r="Q555" s="2">
        <f>International_Education_Costs[[#This Row],[Tuition_USD]]/International_Education_Costs[[#This Row],[Total_Cost]]</f>
        <v>0.58848255569567043</v>
      </c>
    </row>
    <row r="556" spans="1:17" x14ac:dyDescent="0.25">
      <c r="A556" t="s">
        <v>52</v>
      </c>
      <c r="B556" t="s">
        <v>1355</v>
      </c>
      <c r="C556" t="s">
        <v>1356</v>
      </c>
      <c r="D556" t="s">
        <v>40</v>
      </c>
      <c r="E556" t="s">
        <v>16</v>
      </c>
      <c r="F556">
        <v>2</v>
      </c>
      <c r="G556" s="1">
        <v>0</v>
      </c>
      <c r="H556">
        <v>68.5</v>
      </c>
      <c r="I556" s="1">
        <v>800</v>
      </c>
      <c r="J556" s="1">
        <v>120</v>
      </c>
      <c r="K556" s="1">
        <v>750</v>
      </c>
      <c r="L556">
        <v>10.45</v>
      </c>
      <c r="M5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20820</v>
      </c>
      <c r="N556" s="1">
        <f>International_Education_Costs[[#This Row],[Total_Cost]]/International_Education_Costs[[#This Row],[Duration_Years]]</f>
        <v>10410</v>
      </c>
      <c r="O556" s="1">
        <f>International_Education_Costs[[#This Row],[Rent_USD]] * 12 * International_Education_Costs[[#This Row],[Duration_Years]]</f>
        <v>19200</v>
      </c>
      <c r="P556" s="1">
        <f>International_Education_Costs[[#This Row],[Total_Cost]]-International_Education_Costs[[#This Row],[Tuition_USD]]</f>
        <v>20820</v>
      </c>
      <c r="Q556" s="2">
        <f>International_Education_Costs[[#This Row],[Tuition_USD]]/International_Education_Costs[[#This Row],[Total_Cost]]</f>
        <v>0</v>
      </c>
    </row>
    <row r="557" spans="1:17" x14ac:dyDescent="0.25">
      <c r="A557" t="s">
        <v>37</v>
      </c>
      <c r="B557" t="s">
        <v>388</v>
      </c>
      <c r="C557" t="s">
        <v>389</v>
      </c>
      <c r="D557" t="s">
        <v>245</v>
      </c>
      <c r="E557" t="s">
        <v>122</v>
      </c>
      <c r="F557">
        <v>4</v>
      </c>
      <c r="G557" s="1">
        <v>14200</v>
      </c>
      <c r="H557">
        <v>71.2</v>
      </c>
      <c r="I557" s="1">
        <v>900</v>
      </c>
      <c r="J557" s="1">
        <v>171</v>
      </c>
      <c r="K557" s="1">
        <v>720</v>
      </c>
      <c r="L557">
        <v>0.92</v>
      </c>
      <c r="M5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60451</v>
      </c>
      <c r="N557" s="1">
        <f>International_Education_Costs[[#This Row],[Total_Cost]]/International_Education_Costs[[#This Row],[Duration_Years]]</f>
        <v>15112.75</v>
      </c>
      <c r="O557" s="1">
        <f>International_Education_Costs[[#This Row],[Rent_USD]] * 12 * International_Education_Costs[[#This Row],[Duration_Years]]</f>
        <v>43200</v>
      </c>
      <c r="P557" s="1">
        <f>International_Education_Costs[[#This Row],[Total_Cost]]-International_Education_Costs[[#This Row],[Tuition_USD]]</f>
        <v>46251</v>
      </c>
      <c r="Q557" s="2">
        <f>International_Education_Costs[[#This Row],[Tuition_USD]]/International_Education_Costs[[#This Row],[Total_Cost]]</f>
        <v>0.23490099419364444</v>
      </c>
    </row>
    <row r="558" spans="1:17" x14ac:dyDescent="0.25">
      <c r="A558" t="s">
        <v>105</v>
      </c>
      <c r="B558" t="s">
        <v>741</v>
      </c>
      <c r="C558" t="s">
        <v>742</v>
      </c>
      <c r="D558" t="s">
        <v>216</v>
      </c>
      <c r="E558" t="s">
        <v>16</v>
      </c>
      <c r="F558">
        <v>2</v>
      </c>
      <c r="G558" s="1">
        <v>5900</v>
      </c>
      <c r="H558">
        <v>55.4</v>
      </c>
      <c r="I558" s="1">
        <v>480</v>
      </c>
      <c r="J558" s="1">
        <v>75</v>
      </c>
      <c r="K558" s="1">
        <v>400</v>
      </c>
      <c r="L558">
        <v>0.92</v>
      </c>
      <c r="M5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18295</v>
      </c>
      <c r="N558" s="1">
        <f>International_Education_Costs[[#This Row],[Total_Cost]]/International_Education_Costs[[#This Row],[Duration_Years]]</f>
        <v>9147.5</v>
      </c>
      <c r="O558" s="1">
        <f>International_Education_Costs[[#This Row],[Rent_USD]] * 12 * International_Education_Costs[[#This Row],[Duration_Years]]</f>
        <v>11520</v>
      </c>
      <c r="P558" s="1">
        <f>International_Education_Costs[[#This Row],[Total_Cost]]-International_Education_Costs[[#This Row],[Tuition_USD]]</f>
        <v>12395</v>
      </c>
      <c r="Q558" s="2">
        <f>International_Education_Costs[[#This Row],[Tuition_USD]]/International_Education_Costs[[#This Row],[Total_Cost]]</f>
        <v>0.32249248428532384</v>
      </c>
    </row>
    <row r="559" spans="1:17" x14ac:dyDescent="0.25">
      <c r="A559" t="s">
        <v>76</v>
      </c>
      <c r="B559" t="s">
        <v>77</v>
      </c>
      <c r="C559" t="s">
        <v>743</v>
      </c>
      <c r="D559" t="s">
        <v>71</v>
      </c>
      <c r="E559" t="s">
        <v>16</v>
      </c>
      <c r="F559">
        <v>2</v>
      </c>
      <c r="G559" s="1">
        <v>29500</v>
      </c>
      <c r="H559">
        <v>79.5</v>
      </c>
      <c r="I559" s="1">
        <v>1150</v>
      </c>
      <c r="J559" s="1">
        <v>330</v>
      </c>
      <c r="K559" s="1">
        <v>600</v>
      </c>
      <c r="L559">
        <v>1.65</v>
      </c>
      <c r="M5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58630</v>
      </c>
      <c r="N559" s="1">
        <f>International_Education_Costs[[#This Row],[Total_Cost]]/International_Education_Costs[[#This Row],[Duration_Years]]</f>
        <v>29315</v>
      </c>
      <c r="O559" s="1">
        <f>International_Education_Costs[[#This Row],[Rent_USD]] * 12 * International_Education_Costs[[#This Row],[Duration_Years]]</f>
        <v>27600</v>
      </c>
      <c r="P559" s="1">
        <f>International_Education_Costs[[#This Row],[Total_Cost]]-International_Education_Costs[[#This Row],[Tuition_USD]]</f>
        <v>29130</v>
      </c>
      <c r="Q559" s="2">
        <f>International_Education_Costs[[#This Row],[Tuition_USD]]/International_Education_Costs[[#This Row],[Total_Cost]]</f>
        <v>0.5031553812041617</v>
      </c>
    </row>
    <row r="560" spans="1:17" x14ac:dyDescent="0.25">
      <c r="A560" t="s">
        <v>12</v>
      </c>
      <c r="B560" t="s">
        <v>518</v>
      </c>
      <c r="C560" t="s">
        <v>519</v>
      </c>
      <c r="D560" t="s">
        <v>15</v>
      </c>
      <c r="E560" t="s">
        <v>16</v>
      </c>
      <c r="F560">
        <v>2</v>
      </c>
      <c r="G560" s="1">
        <v>47000</v>
      </c>
      <c r="H560">
        <v>67.8</v>
      </c>
      <c r="I560" s="1">
        <v>1400</v>
      </c>
      <c r="J560" s="1">
        <v>160</v>
      </c>
      <c r="K560" s="1">
        <v>1500</v>
      </c>
      <c r="L560">
        <v>1</v>
      </c>
      <c r="M5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83760</v>
      </c>
      <c r="N560" s="1">
        <f>International_Education_Costs[[#This Row],[Total_Cost]]/International_Education_Costs[[#This Row],[Duration_Years]]</f>
        <v>41880</v>
      </c>
      <c r="O560" s="1">
        <f>International_Education_Costs[[#This Row],[Rent_USD]] * 12 * International_Education_Costs[[#This Row],[Duration_Years]]</f>
        <v>33600</v>
      </c>
      <c r="P560" s="1">
        <f>International_Education_Costs[[#This Row],[Total_Cost]]-International_Education_Costs[[#This Row],[Tuition_USD]]</f>
        <v>36760</v>
      </c>
      <c r="Q560" s="2">
        <f>International_Education_Costs[[#This Row],[Tuition_USD]]/International_Education_Costs[[#This Row],[Total_Cost]]</f>
        <v>0.56112702960840499</v>
      </c>
    </row>
    <row r="561" spans="1:17" x14ac:dyDescent="0.25">
      <c r="A561" t="s">
        <v>52</v>
      </c>
      <c r="B561" t="s">
        <v>744</v>
      </c>
      <c r="C561" t="s">
        <v>745</v>
      </c>
      <c r="D561" t="s">
        <v>216</v>
      </c>
      <c r="E561" t="s">
        <v>75</v>
      </c>
      <c r="F561">
        <v>3</v>
      </c>
      <c r="G561" s="1">
        <v>0</v>
      </c>
      <c r="H561">
        <v>67.2</v>
      </c>
      <c r="I561" s="1">
        <v>750</v>
      </c>
      <c r="J561" s="1">
        <v>120</v>
      </c>
      <c r="K561" s="1">
        <v>750</v>
      </c>
      <c r="L561">
        <v>10.45</v>
      </c>
      <c r="M5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29370</v>
      </c>
      <c r="N561" s="1">
        <f>International_Education_Costs[[#This Row],[Total_Cost]]/International_Education_Costs[[#This Row],[Duration_Years]]</f>
        <v>9790</v>
      </c>
      <c r="O561" s="1">
        <f>International_Education_Costs[[#This Row],[Rent_USD]] * 12 * International_Education_Costs[[#This Row],[Duration_Years]]</f>
        <v>27000</v>
      </c>
      <c r="P561" s="1">
        <f>International_Education_Costs[[#This Row],[Total_Cost]]-International_Education_Costs[[#This Row],[Tuition_USD]]</f>
        <v>29370</v>
      </c>
      <c r="Q561" s="2">
        <f>International_Education_Costs[[#This Row],[Tuition_USD]]/International_Education_Costs[[#This Row],[Total_Cost]]</f>
        <v>0</v>
      </c>
    </row>
    <row r="562" spans="1:17" x14ac:dyDescent="0.25">
      <c r="A562" t="s">
        <v>37</v>
      </c>
      <c r="B562" t="s">
        <v>395</v>
      </c>
      <c r="C562" t="s">
        <v>396</v>
      </c>
      <c r="D562" t="s">
        <v>20</v>
      </c>
      <c r="E562" t="s">
        <v>16</v>
      </c>
      <c r="F562">
        <v>2</v>
      </c>
      <c r="G562" s="1">
        <v>14000</v>
      </c>
      <c r="H562">
        <v>70.5</v>
      </c>
      <c r="I562" s="1">
        <v>950</v>
      </c>
      <c r="J562" s="1">
        <v>171</v>
      </c>
      <c r="K562" s="1">
        <v>720</v>
      </c>
      <c r="L562">
        <v>0.92</v>
      </c>
      <c r="M5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38411</v>
      </c>
      <c r="N562" s="1">
        <f>International_Education_Costs[[#This Row],[Total_Cost]]/International_Education_Costs[[#This Row],[Duration_Years]]</f>
        <v>19205.5</v>
      </c>
      <c r="O562" s="1">
        <f>International_Education_Costs[[#This Row],[Rent_USD]] * 12 * International_Education_Costs[[#This Row],[Duration_Years]]</f>
        <v>22800</v>
      </c>
      <c r="P562" s="1">
        <f>International_Education_Costs[[#This Row],[Total_Cost]]-International_Education_Costs[[#This Row],[Tuition_USD]]</f>
        <v>24411</v>
      </c>
      <c r="Q562" s="2">
        <f>International_Education_Costs[[#This Row],[Tuition_USD]]/International_Education_Costs[[#This Row],[Total_Cost]]</f>
        <v>0.36447892530785453</v>
      </c>
    </row>
    <row r="563" spans="1:17" x14ac:dyDescent="0.25">
      <c r="A563" t="s">
        <v>105</v>
      </c>
      <c r="B563" t="s">
        <v>746</v>
      </c>
      <c r="C563" t="s">
        <v>747</v>
      </c>
      <c r="D563" t="s">
        <v>63</v>
      </c>
      <c r="E563" t="s">
        <v>16</v>
      </c>
      <c r="F563">
        <v>2</v>
      </c>
      <c r="G563" s="1">
        <v>5700</v>
      </c>
      <c r="H563">
        <v>54.3</v>
      </c>
      <c r="I563" s="1">
        <v>450</v>
      </c>
      <c r="J563" s="1">
        <v>75</v>
      </c>
      <c r="K563" s="1">
        <v>400</v>
      </c>
      <c r="L563">
        <v>0.92</v>
      </c>
      <c r="M5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17375</v>
      </c>
      <c r="N563" s="1">
        <f>International_Education_Costs[[#This Row],[Total_Cost]]/International_Education_Costs[[#This Row],[Duration_Years]]</f>
        <v>8687.5</v>
      </c>
      <c r="O563" s="1">
        <f>International_Education_Costs[[#This Row],[Rent_USD]] * 12 * International_Education_Costs[[#This Row],[Duration_Years]]</f>
        <v>10800</v>
      </c>
      <c r="P563" s="1">
        <f>International_Education_Costs[[#This Row],[Total_Cost]]-International_Education_Costs[[#This Row],[Tuition_USD]]</f>
        <v>11675</v>
      </c>
      <c r="Q563" s="2">
        <f>International_Education_Costs[[#This Row],[Tuition_USD]]/International_Education_Costs[[#This Row],[Total_Cost]]</f>
        <v>0.32805755395683456</v>
      </c>
    </row>
    <row r="564" spans="1:17" x14ac:dyDescent="0.25">
      <c r="A564" t="s">
        <v>76</v>
      </c>
      <c r="B564" t="s">
        <v>724</v>
      </c>
      <c r="C564" t="s">
        <v>748</v>
      </c>
      <c r="D564" t="s">
        <v>749</v>
      </c>
      <c r="E564" t="s">
        <v>122</v>
      </c>
      <c r="F564">
        <v>4</v>
      </c>
      <c r="G564" s="1">
        <v>28000</v>
      </c>
      <c r="H564">
        <v>72.400000000000006</v>
      </c>
      <c r="I564" s="1">
        <v>900</v>
      </c>
      <c r="J564" s="1">
        <v>330</v>
      </c>
      <c r="K564" s="1">
        <v>600</v>
      </c>
      <c r="L564">
        <v>1.65</v>
      </c>
      <c r="M5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73930</v>
      </c>
      <c r="N564" s="1">
        <f>International_Education_Costs[[#This Row],[Total_Cost]]/International_Education_Costs[[#This Row],[Duration_Years]]</f>
        <v>18482.5</v>
      </c>
      <c r="O564" s="1">
        <f>International_Education_Costs[[#This Row],[Rent_USD]] * 12 * International_Education_Costs[[#This Row],[Duration_Years]]</f>
        <v>43200</v>
      </c>
      <c r="P564" s="1">
        <f>International_Education_Costs[[#This Row],[Total_Cost]]-International_Education_Costs[[#This Row],[Tuition_USD]]</f>
        <v>45930</v>
      </c>
      <c r="Q564" s="2">
        <f>International_Education_Costs[[#This Row],[Tuition_USD]]/International_Education_Costs[[#This Row],[Total_Cost]]</f>
        <v>0.37873664277018804</v>
      </c>
    </row>
    <row r="565" spans="1:17" x14ac:dyDescent="0.25">
      <c r="A565" t="s">
        <v>12</v>
      </c>
      <c r="B565" t="s">
        <v>288</v>
      </c>
      <c r="C565" t="s">
        <v>289</v>
      </c>
      <c r="D565" t="s">
        <v>20</v>
      </c>
      <c r="E565" t="s">
        <v>16</v>
      </c>
      <c r="F565">
        <v>2</v>
      </c>
      <c r="G565" s="1">
        <v>48000</v>
      </c>
      <c r="H565">
        <v>73.2</v>
      </c>
      <c r="I565" s="1">
        <v>1600</v>
      </c>
      <c r="J565" s="1">
        <v>160</v>
      </c>
      <c r="K565" s="1">
        <v>1500</v>
      </c>
      <c r="L565">
        <v>1</v>
      </c>
      <c r="M5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89560</v>
      </c>
      <c r="N565" s="1">
        <f>International_Education_Costs[[#This Row],[Total_Cost]]/International_Education_Costs[[#This Row],[Duration_Years]]</f>
        <v>44780</v>
      </c>
      <c r="O565" s="1">
        <f>International_Education_Costs[[#This Row],[Rent_USD]] * 12 * International_Education_Costs[[#This Row],[Duration_Years]]</f>
        <v>38400</v>
      </c>
      <c r="P565" s="1">
        <f>International_Education_Costs[[#This Row],[Total_Cost]]-International_Education_Costs[[#This Row],[Tuition_USD]]</f>
        <v>41560</v>
      </c>
      <c r="Q565" s="2">
        <f>International_Education_Costs[[#This Row],[Tuition_USD]]/International_Education_Costs[[#This Row],[Total_Cost]]</f>
        <v>0.53595355069227335</v>
      </c>
    </row>
    <row r="566" spans="1:17" x14ac:dyDescent="0.25">
      <c r="A566" t="s">
        <v>52</v>
      </c>
      <c r="B566" t="s">
        <v>1357</v>
      </c>
      <c r="C566" t="s">
        <v>750</v>
      </c>
      <c r="D566" t="s">
        <v>208</v>
      </c>
      <c r="E566" t="s">
        <v>16</v>
      </c>
      <c r="F566">
        <v>2</v>
      </c>
      <c r="G566" s="1">
        <v>0</v>
      </c>
      <c r="H566">
        <v>66.5</v>
      </c>
      <c r="I566" s="1">
        <v>700</v>
      </c>
      <c r="J566" s="1">
        <v>120</v>
      </c>
      <c r="K566" s="1">
        <v>750</v>
      </c>
      <c r="L566">
        <v>10.45</v>
      </c>
      <c r="M5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18420</v>
      </c>
      <c r="N566" s="1">
        <f>International_Education_Costs[[#This Row],[Total_Cost]]/International_Education_Costs[[#This Row],[Duration_Years]]</f>
        <v>9210</v>
      </c>
      <c r="O566" s="1">
        <f>International_Education_Costs[[#This Row],[Rent_USD]] * 12 * International_Education_Costs[[#This Row],[Duration_Years]]</f>
        <v>16800</v>
      </c>
      <c r="P566" s="1">
        <f>International_Education_Costs[[#This Row],[Total_Cost]]-International_Education_Costs[[#This Row],[Tuition_USD]]</f>
        <v>18420</v>
      </c>
      <c r="Q566" s="2">
        <f>International_Education_Costs[[#This Row],[Tuition_USD]]/International_Education_Costs[[#This Row],[Total_Cost]]</f>
        <v>0</v>
      </c>
    </row>
    <row r="567" spans="1:17" x14ac:dyDescent="0.25">
      <c r="A567" t="s">
        <v>37</v>
      </c>
      <c r="B567" t="s">
        <v>402</v>
      </c>
      <c r="C567" t="s">
        <v>403</v>
      </c>
      <c r="D567" t="s">
        <v>59</v>
      </c>
      <c r="E567" t="s">
        <v>16</v>
      </c>
      <c r="F567">
        <v>2</v>
      </c>
      <c r="G567" s="1">
        <v>14500</v>
      </c>
      <c r="H567">
        <v>69.8</v>
      </c>
      <c r="I567" s="1">
        <v>900</v>
      </c>
      <c r="J567" s="1">
        <v>171</v>
      </c>
      <c r="K567" s="1">
        <v>720</v>
      </c>
      <c r="L567">
        <v>0.92</v>
      </c>
      <c r="M5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37711</v>
      </c>
      <c r="N567" s="1">
        <f>International_Education_Costs[[#This Row],[Total_Cost]]/International_Education_Costs[[#This Row],[Duration_Years]]</f>
        <v>18855.5</v>
      </c>
      <c r="O567" s="1">
        <f>International_Education_Costs[[#This Row],[Rent_USD]] * 12 * International_Education_Costs[[#This Row],[Duration_Years]]</f>
        <v>21600</v>
      </c>
      <c r="P567" s="1">
        <f>International_Education_Costs[[#This Row],[Total_Cost]]-International_Education_Costs[[#This Row],[Tuition_USD]]</f>
        <v>23211</v>
      </c>
      <c r="Q567" s="2">
        <f>International_Education_Costs[[#This Row],[Tuition_USD]]/International_Education_Costs[[#This Row],[Total_Cost]]</f>
        <v>0.38450319535414068</v>
      </c>
    </row>
    <row r="568" spans="1:17" x14ac:dyDescent="0.25">
      <c r="A568" t="s">
        <v>105</v>
      </c>
      <c r="B568" t="s">
        <v>751</v>
      </c>
      <c r="C568" t="s">
        <v>752</v>
      </c>
      <c r="D568" t="s">
        <v>753</v>
      </c>
      <c r="E568" t="s">
        <v>75</v>
      </c>
      <c r="F568">
        <v>3</v>
      </c>
      <c r="G568" s="1">
        <v>5500</v>
      </c>
      <c r="H568">
        <v>53.2</v>
      </c>
      <c r="I568" s="1">
        <v>400</v>
      </c>
      <c r="J568" s="1">
        <v>75</v>
      </c>
      <c r="K568" s="1">
        <v>400</v>
      </c>
      <c r="L568">
        <v>0.92</v>
      </c>
      <c r="M5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21175</v>
      </c>
      <c r="N568" s="1">
        <f>International_Education_Costs[[#This Row],[Total_Cost]]/International_Education_Costs[[#This Row],[Duration_Years]]</f>
        <v>7058.333333333333</v>
      </c>
      <c r="O568" s="1">
        <f>International_Education_Costs[[#This Row],[Rent_USD]] * 12 * International_Education_Costs[[#This Row],[Duration_Years]]</f>
        <v>14400</v>
      </c>
      <c r="P568" s="1">
        <f>International_Education_Costs[[#This Row],[Total_Cost]]-International_Education_Costs[[#This Row],[Tuition_USD]]</f>
        <v>15675</v>
      </c>
      <c r="Q568" s="2">
        <f>International_Education_Costs[[#This Row],[Tuition_USD]]/International_Education_Costs[[#This Row],[Total_Cost]]</f>
        <v>0.25974025974025972</v>
      </c>
    </row>
    <row r="569" spans="1:17" x14ac:dyDescent="0.25">
      <c r="A569" t="s">
        <v>184</v>
      </c>
      <c r="B569" t="s">
        <v>754</v>
      </c>
      <c r="C569" t="s">
        <v>1358</v>
      </c>
      <c r="D569" t="s">
        <v>15</v>
      </c>
      <c r="E569" t="s">
        <v>16</v>
      </c>
      <c r="F569">
        <v>2</v>
      </c>
      <c r="G569" s="1">
        <v>3500</v>
      </c>
      <c r="H569">
        <v>71.400000000000006</v>
      </c>
      <c r="I569" s="1">
        <v>1100</v>
      </c>
      <c r="J569" s="1">
        <v>80</v>
      </c>
      <c r="K569" s="1">
        <v>750</v>
      </c>
      <c r="L569">
        <v>0.92</v>
      </c>
      <c r="M5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31480</v>
      </c>
      <c r="N569" s="1">
        <f>International_Education_Costs[[#This Row],[Total_Cost]]/International_Education_Costs[[#This Row],[Duration_Years]]</f>
        <v>15740</v>
      </c>
      <c r="O569" s="1">
        <f>International_Education_Costs[[#This Row],[Rent_USD]] * 12 * International_Education_Costs[[#This Row],[Duration_Years]]</f>
        <v>26400</v>
      </c>
      <c r="P569" s="1">
        <f>International_Education_Costs[[#This Row],[Total_Cost]]-International_Education_Costs[[#This Row],[Tuition_USD]]</f>
        <v>27980</v>
      </c>
      <c r="Q569" s="2">
        <f>International_Education_Costs[[#This Row],[Tuition_USD]]/International_Education_Costs[[#This Row],[Total_Cost]]</f>
        <v>0.11118170266836086</v>
      </c>
    </row>
    <row r="570" spans="1:17" x14ac:dyDescent="0.25">
      <c r="A570" t="s">
        <v>187</v>
      </c>
      <c r="B570" t="s">
        <v>188</v>
      </c>
      <c r="C570" t="s">
        <v>189</v>
      </c>
      <c r="D570" t="s">
        <v>252</v>
      </c>
      <c r="E570" t="s">
        <v>16</v>
      </c>
      <c r="F570">
        <v>2</v>
      </c>
      <c r="G570" s="1">
        <v>4000</v>
      </c>
      <c r="H570">
        <v>73.2</v>
      </c>
      <c r="I570" s="1">
        <v>1200</v>
      </c>
      <c r="J570" s="1">
        <v>120</v>
      </c>
      <c r="K570" s="1">
        <v>700</v>
      </c>
      <c r="L570">
        <v>0.92</v>
      </c>
      <c r="M5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34320</v>
      </c>
      <c r="N570" s="1">
        <f>International_Education_Costs[[#This Row],[Total_Cost]]/International_Education_Costs[[#This Row],[Duration_Years]]</f>
        <v>17160</v>
      </c>
      <c r="O570" s="1">
        <f>International_Education_Costs[[#This Row],[Rent_USD]] * 12 * International_Education_Costs[[#This Row],[Duration_Years]]</f>
        <v>28800</v>
      </c>
      <c r="P570" s="1">
        <f>International_Education_Costs[[#This Row],[Total_Cost]]-International_Education_Costs[[#This Row],[Tuition_USD]]</f>
        <v>30320</v>
      </c>
      <c r="Q570" s="2">
        <f>International_Education_Costs[[#This Row],[Tuition_USD]]/International_Education_Costs[[#This Row],[Total_Cost]]</f>
        <v>0.11655011655011654</v>
      </c>
    </row>
    <row r="571" spans="1:17" x14ac:dyDescent="0.25">
      <c r="A571" t="s">
        <v>348</v>
      </c>
      <c r="B571" t="s">
        <v>349</v>
      </c>
      <c r="C571" t="s">
        <v>350</v>
      </c>
      <c r="D571" t="s">
        <v>125</v>
      </c>
      <c r="E571" t="s">
        <v>122</v>
      </c>
      <c r="F571">
        <v>4</v>
      </c>
      <c r="G571" s="1">
        <v>0</v>
      </c>
      <c r="H571">
        <v>65.8</v>
      </c>
      <c r="I571" s="1">
        <v>650</v>
      </c>
      <c r="J571" s="1">
        <v>100</v>
      </c>
      <c r="K571" s="1">
        <v>600</v>
      </c>
      <c r="L571">
        <v>0.92</v>
      </c>
      <c r="M5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33700</v>
      </c>
      <c r="N571" s="1">
        <f>International_Education_Costs[[#This Row],[Total_Cost]]/International_Education_Costs[[#This Row],[Duration_Years]]</f>
        <v>8425</v>
      </c>
      <c r="O571" s="1">
        <f>International_Education_Costs[[#This Row],[Rent_USD]] * 12 * International_Education_Costs[[#This Row],[Duration_Years]]</f>
        <v>31200</v>
      </c>
      <c r="P571" s="1">
        <f>International_Education_Costs[[#This Row],[Total_Cost]]-International_Education_Costs[[#This Row],[Tuition_USD]]</f>
        <v>33700</v>
      </c>
      <c r="Q571" s="2">
        <f>International_Education_Costs[[#This Row],[Tuition_USD]]/International_Education_Costs[[#This Row],[Total_Cost]]</f>
        <v>0</v>
      </c>
    </row>
    <row r="572" spans="1:17" x14ac:dyDescent="0.25">
      <c r="A572" t="s">
        <v>80</v>
      </c>
      <c r="B572" t="s">
        <v>81</v>
      </c>
      <c r="C572" t="s">
        <v>755</v>
      </c>
      <c r="D572" t="s">
        <v>208</v>
      </c>
      <c r="E572" t="s">
        <v>16</v>
      </c>
      <c r="F572">
        <v>2</v>
      </c>
      <c r="G572" s="1">
        <v>1500</v>
      </c>
      <c r="H572">
        <v>78.5</v>
      </c>
      <c r="I572" s="1">
        <v>950</v>
      </c>
      <c r="J572" s="1">
        <v>160</v>
      </c>
      <c r="K572" s="1">
        <v>850</v>
      </c>
      <c r="L572">
        <v>0.92</v>
      </c>
      <c r="M5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26160</v>
      </c>
      <c r="N572" s="1">
        <f>International_Education_Costs[[#This Row],[Total_Cost]]/International_Education_Costs[[#This Row],[Duration_Years]]</f>
        <v>13080</v>
      </c>
      <c r="O572" s="1">
        <f>International_Education_Costs[[#This Row],[Rent_USD]] * 12 * International_Education_Costs[[#This Row],[Duration_Years]]</f>
        <v>22800</v>
      </c>
      <c r="P572" s="1">
        <f>International_Education_Costs[[#This Row],[Total_Cost]]-International_Education_Costs[[#This Row],[Tuition_USD]]</f>
        <v>24660</v>
      </c>
      <c r="Q572" s="2">
        <f>International_Education_Costs[[#This Row],[Tuition_USD]]/International_Education_Costs[[#This Row],[Total_Cost]]</f>
        <v>5.7339449541284407E-2</v>
      </c>
    </row>
    <row r="573" spans="1:17" x14ac:dyDescent="0.25">
      <c r="A573" t="s">
        <v>345</v>
      </c>
      <c r="B573" t="s">
        <v>346</v>
      </c>
      <c r="C573" t="s">
        <v>347</v>
      </c>
      <c r="D573" t="s">
        <v>63</v>
      </c>
      <c r="E573" t="s">
        <v>75</v>
      </c>
      <c r="F573">
        <v>4</v>
      </c>
      <c r="G573" s="1">
        <v>800</v>
      </c>
      <c r="H573">
        <v>52.4</v>
      </c>
      <c r="I573" s="1">
        <v>600</v>
      </c>
      <c r="J573" s="1">
        <v>40</v>
      </c>
      <c r="K573" s="1">
        <v>400</v>
      </c>
      <c r="L573">
        <v>17.05</v>
      </c>
      <c r="M5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31240</v>
      </c>
      <c r="N573" s="1">
        <f>International_Education_Costs[[#This Row],[Total_Cost]]/International_Education_Costs[[#This Row],[Duration_Years]]</f>
        <v>7810</v>
      </c>
      <c r="O573" s="1">
        <f>International_Education_Costs[[#This Row],[Rent_USD]] * 12 * International_Education_Costs[[#This Row],[Duration_Years]]</f>
        <v>28800</v>
      </c>
      <c r="P573" s="1">
        <f>International_Education_Costs[[#This Row],[Total_Cost]]-International_Education_Costs[[#This Row],[Tuition_USD]]</f>
        <v>30440</v>
      </c>
      <c r="Q573" s="2">
        <f>International_Education_Costs[[#This Row],[Tuition_USD]]/International_Education_Costs[[#This Row],[Total_Cost]]</f>
        <v>2.5608194622279128E-2</v>
      </c>
    </row>
    <row r="574" spans="1:17" x14ac:dyDescent="0.25">
      <c r="A574" t="s">
        <v>184</v>
      </c>
      <c r="B574" t="s">
        <v>185</v>
      </c>
      <c r="C574" t="s">
        <v>1359</v>
      </c>
      <c r="D574" t="s">
        <v>40</v>
      </c>
      <c r="E574" t="s">
        <v>16</v>
      </c>
      <c r="F574">
        <v>2</v>
      </c>
      <c r="G574" s="1">
        <v>3800</v>
      </c>
      <c r="H574">
        <v>73.599999999999994</v>
      </c>
      <c r="I574" s="1">
        <v>1000</v>
      </c>
      <c r="J574" s="1">
        <v>80</v>
      </c>
      <c r="K574" s="1">
        <v>750</v>
      </c>
      <c r="L574">
        <v>0.92</v>
      </c>
      <c r="M5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29380</v>
      </c>
      <c r="N574" s="1">
        <f>International_Education_Costs[[#This Row],[Total_Cost]]/International_Education_Costs[[#This Row],[Duration_Years]]</f>
        <v>14690</v>
      </c>
      <c r="O574" s="1">
        <f>International_Education_Costs[[#This Row],[Rent_USD]] * 12 * International_Education_Costs[[#This Row],[Duration_Years]]</f>
        <v>24000</v>
      </c>
      <c r="P574" s="1">
        <f>International_Education_Costs[[#This Row],[Total_Cost]]-International_Education_Costs[[#This Row],[Tuition_USD]]</f>
        <v>25580</v>
      </c>
      <c r="Q574" s="2">
        <f>International_Education_Costs[[#This Row],[Tuition_USD]]/International_Education_Costs[[#This Row],[Total_Cost]]</f>
        <v>0.12933968686181074</v>
      </c>
    </row>
    <row r="575" spans="1:17" x14ac:dyDescent="0.25">
      <c r="A575" t="s">
        <v>187</v>
      </c>
      <c r="B575" t="s">
        <v>756</v>
      </c>
      <c r="C575" t="s">
        <v>757</v>
      </c>
      <c r="D575" t="s">
        <v>137</v>
      </c>
      <c r="E575" t="s">
        <v>122</v>
      </c>
      <c r="F575">
        <v>4</v>
      </c>
      <c r="G575" s="1">
        <v>3500</v>
      </c>
      <c r="H575">
        <v>71.2</v>
      </c>
      <c r="I575" s="1">
        <v>1100</v>
      </c>
      <c r="J575" s="1">
        <v>120</v>
      </c>
      <c r="K575" s="1">
        <v>700</v>
      </c>
      <c r="L575">
        <v>0.92</v>
      </c>
      <c r="M5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59220</v>
      </c>
      <c r="N575" s="1">
        <f>International_Education_Costs[[#This Row],[Total_Cost]]/International_Education_Costs[[#This Row],[Duration_Years]]</f>
        <v>14805</v>
      </c>
      <c r="O575" s="1">
        <f>International_Education_Costs[[#This Row],[Rent_USD]] * 12 * International_Education_Costs[[#This Row],[Duration_Years]]</f>
        <v>52800</v>
      </c>
      <c r="P575" s="1">
        <f>International_Education_Costs[[#This Row],[Total_Cost]]-International_Education_Costs[[#This Row],[Tuition_USD]]</f>
        <v>55720</v>
      </c>
      <c r="Q575" s="2">
        <f>International_Education_Costs[[#This Row],[Tuition_USD]]/International_Education_Costs[[#This Row],[Total_Cost]]</f>
        <v>5.9101654846335699E-2</v>
      </c>
    </row>
    <row r="576" spans="1:17" x14ac:dyDescent="0.25">
      <c r="A576" t="s">
        <v>348</v>
      </c>
      <c r="B576" t="s">
        <v>758</v>
      </c>
      <c r="C576" t="s">
        <v>759</v>
      </c>
      <c r="D576" t="s">
        <v>63</v>
      </c>
      <c r="E576" t="s">
        <v>16</v>
      </c>
      <c r="F576">
        <v>2</v>
      </c>
      <c r="G576" s="1">
        <v>0</v>
      </c>
      <c r="H576">
        <v>62.4</v>
      </c>
      <c r="I576" s="1">
        <v>500</v>
      </c>
      <c r="J576" s="1">
        <v>100</v>
      </c>
      <c r="K576" s="1">
        <v>600</v>
      </c>
      <c r="L576">
        <v>0.92</v>
      </c>
      <c r="M5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13300</v>
      </c>
      <c r="N576" s="1">
        <f>International_Education_Costs[[#This Row],[Total_Cost]]/International_Education_Costs[[#This Row],[Duration_Years]]</f>
        <v>6650</v>
      </c>
      <c r="O576" s="1">
        <f>International_Education_Costs[[#This Row],[Rent_USD]] * 12 * International_Education_Costs[[#This Row],[Duration_Years]]</f>
        <v>12000</v>
      </c>
      <c r="P576" s="1">
        <f>International_Education_Costs[[#This Row],[Total_Cost]]-International_Education_Costs[[#This Row],[Tuition_USD]]</f>
        <v>13300</v>
      </c>
      <c r="Q576" s="2">
        <f>International_Education_Costs[[#This Row],[Tuition_USD]]/International_Education_Costs[[#This Row],[Total_Cost]]</f>
        <v>0</v>
      </c>
    </row>
    <row r="577" spans="1:17" x14ac:dyDescent="0.25">
      <c r="A577" t="s">
        <v>80</v>
      </c>
      <c r="B577" t="s">
        <v>760</v>
      </c>
      <c r="C577" t="s">
        <v>761</v>
      </c>
      <c r="D577" t="s">
        <v>32</v>
      </c>
      <c r="E577" t="s">
        <v>75</v>
      </c>
      <c r="F577">
        <v>3</v>
      </c>
      <c r="G577" s="1">
        <v>1500</v>
      </c>
      <c r="H577">
        <v>71.2</v>
      </c>
      <c r="I577" s="1">
        <v>750</v>
      </c>
      <c r="J577" s="1">
        <v>160</v>
      </c>
      <c r="K577" s="1">
        <v>850</v>
      </c>
      <c r="L577">
        <v>0.92</v>
      </c>
      <c r="M5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31210</v>
      </c>
      <c r="N577" s="1">
        <f>International_Education_Costs[[#This Row],[Total_Cost]]/International_Education_Costs[[#This Row],[Duration_Years]]</f>
        <v>10403.333333333334</v>
      </c>
      <c r="O577" s="1">
        <f>International_Education_Costs[[#This Row],[Rent_USD]] * 12 * International_Education_Costs[[#This Row],[Duration_Years]]</f>
        <v>27000</v>
      </c>
      <c r="P577" s="1">
        <f>International_Education_Costs[[#This Row],[Total_Cost]]-International_Education_Costs[[#This Row],[Tuition_USD]]</f>
        <v>29710</v>
      </c>
      <c r="Q577" s="2">
        <f>International_Education_Costs[[#This Row],[Tuition_USD]]/International_Education_Costs[[#This Row],[Total_Cost]]</f>
        <v>4.806151874399231E-2</v>
      </c>
    </row>
    <row r="578" spans="1:17" x14ac:dyDescent="0.25">
      <c r="A578" t="s">
        <v>345</v>
      </c>
      <c r="B578" t="s">
        <v>762</v>
      </c>
      <c r="C578" t="s">
        <v>1360</v>
      </c>
      <c r="D578" t="s">
        <v>20</v>
      </c>
      <c r="E578" t="s">
        <v>16</v>
      </c>
      <c r="F578">
        <v>2</v>
      </c>
      <c r="G578" s="1">
        <v>12000</v>
      </c>
      <c r="H578">
        <v>48.9</v>
      </c>
      <c r="I578" s="1">
        <v>700</v>
      </c>
      <c r="J578" s="1">
        <v>40</v>
      </c>
      <c r="K578" s="1">
        <v>400</v>
      </c>
      <c r="L578">
        <v>17.05</v>
      </c>
      <c r="M5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29640</v>
      </c>
      <c r="N578" s="1">
        <f>International_Education_Costs[[#This Row],[Total_Cost]]/International_Education_Costs[[#This Row],[Duration_Years]]</f>
        <v>14820</v>
      </c>
      <c r="O578" s="1">
        <f>International_Education_Costs[[#This Row],[Rent_USD]] * 12 * International_Education_Costs[[#This Row],[Duration_Years]]</f>
        <v>16800</v>
      </c>
      <c r="P578" s="1">
        <f>International_Education_Costs[[#This Row],[Total_Cost]]-International_Education_Costs[[#This Row],[Tuition_USD]]</f>
        <v>17640</v>
      </c>
      <c r="Q578" s="2">
        <f>International_Education_Costs[[#This Row],[Tuition_USD]]/International_Education_Costs[[#This Row],[Total_Cost]]</f>
        <v>0.40485829959514169</v>
      </c>
    </row>
    <row r="579" spans="1:17" x14ac:dyDescent="0.25">
      <c r="A579" t="s">
        <v>184</v>
      </c>
      <c r="B579" t="s">
        <v>763</v>
      </c>
      <c r="C579" t="s">
        <v>1361</v>
      </c>
      <c r="D579" t="s">
        <v>20</v>
      </c>
      <c r="E579" t="s">
        <v>16</v>
      </c>
      <c r="F579">
        <v>2</v>
      </c>
      <c r="G579" s="1">
        <v>3200</v>
      </c>
      <c r="H579">
        <v>68.5</v>
      </c>
      <c r="I579" s="1">
        <v>800</v>
      </c>
      <c r="J579" s="1">
        <v>80</v>
      </c>
      <c r="K579" s="1">
        <v>750</v>
      </c>
      <c r="L579">
        <v>0.92</v>
      </c>
      <c r="M5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23980</v>
      </c>
      <c r="N579" s="1">
        <f>International_Education_Costs[[#This Row],[Total_Cost]]/International_Education_Costs[[#This Row],[Duration_Years]]</f>
        <v>11990</v>
      </c>
      <c r="O579" s="1">
        <f>International_Education_Costs[[#This Row],[Rent_USD]] * 12 * International_Education_Costs[[#This Row],[Duration_Years]]</f>
        <v>19200</v>
      </c>
      <c r="P579" s="1">
        <f>International_Education_Costs[[#This Row],[Total_Cost]]-International_Education_Costs[[#This Row],[Tuition_USD]]</f>
        <v>20780</v>
      </c>
      <c r="Q579" s="2">
        <f>International_Education_Costs[[#This Row],[Tuition_USD]]/International_Education_Costs[[#This Row],[Total_Cost]]</f>
        <v>0.13344453711426188</v>
      </c>
    </row>
    <row r="580" spans="1:17" x14ac:dyDescent="0.25">
      <c r="A580" t="s">
        <v>187</v>
      </c>
      <c r="B580" t="s">
        <v>764</v>
      </c>
      <c r="C580" t="s">
        <v>765</v>
      </c>
      <c r="D580" t="s">
        <v>63</v>
      </c>
      <c r="E580" t="s">
        <v>16</v>
      </c>
      <c r="F580">
        <v>2</v>
      </c>
      <c r="G580" s="1">
        <v>3800</v>
      </c>
      <c r="H580">
        <v>69.8</v>
      </c>
      <c r="I580" s="1">
        <v>900</v>
      </c>
      <c r="J580" s="1">
        <v>120</v>
      </c>
      <c r="K580" s="1">
        <v>700</v>
      </c>
      <c r="L580">
        <v>0.92</v>
      </c>
      <c r="M5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26920</v>
      </c>
      <c r="N580" s="1">
        <f>International_Education_Costs[[#This Row],[Total_Cost]]/International_Education_Costs[[#This Row],[Duration_Years]]</f>
        <v>13460</v>
      </c>
      <c r="O580" s="1">
        <f>International_Education_Costs[[#This Row],[Rent_USD]] * 12 * International_Education_Costs[[#This Row],[Duration_Years]]</f>
        <v>21600</v>
      </c>
      <c r="P580" s="1">
        <f>International_Education_Costs[[#This Row],[Total_Cost]]-International_Education_Costs[[#This Row],[Tuition_USD]]</f>
        <v>23120</v>
      </c>
      <c r="Q580" s="2">
        <f>International_Education_Costs[[#This Row],[Tuition_USD]]/International_Education_Costs[[#This Row],[Total_Cost]]</f>
        <v>0.14115898959881129</v>
      </c>
    </row>
    <row r="581" spans="1:17" x14ac:dyDescent="0.25">
      <c r="A581" t="s">
        <v>348</v>
      </c>
      <c r="B581" t="s">
        <v>766</v>
      </c>
      <c r="C581" t="s">
        <v>767</v>
      </c>
      <c r="D581" t="s">
        <v>768</v>
      </c>
      <c r="E581" t="s">
        <v>122</v>
      </c>
      <c r="F581">
        <v>4</v>
      </c>
      <c r="G581" s="1">
        <v>0</v>
      </c>
      <c r="H581">
        <v>60.5</v>
      </c>
      <c r="I581" s="1">
        <v>450</v>
      </c>
      <c r="J581" s="1">
        <v>100</v>
      </c>
      <c r="K581" s="1">
        <v>600</v>
      </c>
      <c r="L581">
        <v>0.92</v>
      </c>
      <c r="M5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24100</v>
      </c>
      <c r="N581" s="1">
        <f>International_Education_Costs[[#This Row],[Total_Cost]]/International_Education_Costs[[#This Row],[Duration_Years]]</f>
        <v>6025</v>
      </c>
      <c r="O581" s="1">
        <f>International_Education_Costs[[#This Row],[Rent_USD]] * 12 * International_Education_Costs[[#This Row],[Duration_Years]]</f>
        <v>21600</v>
      </c>
      <c r="P581" s="1">
        <f>International_Education_Costs[[#This Row],[Total_Cost]]-International_Education_Costs[[#This Row],[Tuition_USD]]</f>
        <v>24100</v>
      </c>
      <c r="Q581" s="2">
        <f>International_Education_Costs[[#This Row],[Tuition_USD]]/International_Education_Costs[[#This Row],[Total_Cost]]</f>
        <v>0</v>
      </c>
    </row>
    <row r="582" spans="1:17" x14ac:dyDescent="0.25">
      <c r="A582" t="s">
        <v>80</v>
      </c>
      <c r="B582" t="s">
        <v>769</v>
      </c>
      <c r="C582" t="s">
        <v>770</v>
      </c>
      <c r="D582" t="s">
        <v>40</v>
      </c>
      <c r="E582" t="s">
        <v>16</v>
      </c>
      <c r="F582">
        <v>2</v>
      </c>
      <c r="G582" s="1">
        <v>1500</v>
      </c>
      <c r="H582">
        <v>70.400000000000006</v>
      </c>
      <c r="I582" s="1">
        <v>700</v>
      </c>
      <c r="J582" s="1">
        <v>160</v>
      </c>
      <c r="K582" s="1">
        <v>850</v>
      </c>
      <c r="L582">
        <v>0.92</v>
      </c>
      <c r="M5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20160</v>
      </c>
      <c r="N582" s="1">
        <f>International_Education_Costs[[#This Row],[Total_Cost]]/International_Education_Costs[[#This Row],[Duration_Years]]</f>
        <v>10080</v>
      </c>
      <c r="O582" s="1">
        <f>International_Education_Costs[[#This Row],[Rent_USD]] * 12 * International_Education_Costs[[#This Row],[Duration_Years]]</f>
        <v>16800</v>
      </c>
      <c r="P582" s="1">
        <f>International_Education_Costs[[#This Row],[Total_Cost]]-International_Education_Costs[[#This Row],[Tuition_USD]]</f>
        <v>18660</v>
      </c>
      <c r="Q582" s="2">
        <f>International_Education_Costs[[#This Row],[Tuition_USD]]/International_Education_Costs[[#This Row],[Total_Cost]]</f>
        <v>7.4404761904761904E-2</v>
      </c>
    </row>
    <row r="583" spans="1:17" x14ac:dyDescent="0.25">
      <c r="A583" t="s">
        <v>345</v>
      </c>
      <c r="B583" t="s">
        <v>771</v>
      </c>
      <c r="C583" t="s">
        <v>772</v>
      </c>
      <c r="D583" t="s">
        <v>208</v>
      </c>
      <c r="E583" t="s">
        <v>75</v>
      </c>
      <c r="F583">
        <v>4</v>
      </c>
      <c r="G583" s="1">
        <v>900</v>
      </c>
      <c r="H583">
        <v>45.6</v>
      </c>
      <c r="I583" s="1">
        <v>500</v>
      </c>
      <c r="J583" s="1">
        <v>40</v>
      </c>
      <c r="K583" s="1">
        <v>400</v>
      </c>
      <c r="L583">
        <v>17.05</v>
      </c>
      <c r="M5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26540</v>
      </c>
      <c r="N583" s="1">
        <f>International_Education_Costs[[#This Row],[Total_Cost]]/International_Education_Costs[[#This Row],[Duration_Years]]</f>
        <v>6635</v>
      </c>
      <c r="O583" s="1">
        <f>International_Education_Costs[[#This Row],[Rent_USD]] * 12 * International_Education_Costs[[#This Row],[Duration_Years]]</f>
        <v>24000</v>
      </c>
      <c r="P583" s="1">
        <f>International_Education_Costs[[#This Row],[Total_Cost]]-International_Education_Costs[[#This Row],[Tuition_USD]]</f>
        <v>25640</v>
      </c>
      <c r="Q583" s="2">
        <f>International_Education_Costs[[#This Row],[Tuition_USD]]/International_Education_Costs[[#This Row],[Total_Cost]]</f>
        <v>3.3911077618688772E-2</v>
      </c>
    </row>
    <row r="584" spans="1:17" x14ac:dyDescent="0.25">
      <c r="A584" t="s">
        <v>184</v>
      </c>
      <c r="B584" t="s">
        <v>773</v>
      </c>
      <c r="C584" t="s">
        <v>774</v>
      </c>
      <c r="D584" t="s">
        <v>137</v>
      </c>
      <c r="E584" t="s">
        <v>16</v>
      </c>
      <c r="F584">
        <v>2</v>
      </c>
      <c r="G584" s="1">
        <v>3000</v>
      </c>
      <c r="H584">
        <v>65.400000000000006</v>
      </c>
      <c r="I584" s="1">
        <v>750</v>
      </c>
      <c r="J584" s="1">
        <v>80</v>
      </c>
      <c r="K584" s="1">
        <v>750</v>
      </c>
      <c r="L584">
        <v>0.92</v>
      </c>
      <c r="M5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22580</v>
      </c>
      <c r="N584" s="1">
        <f>International_Education_Costs[[#This Row],[Total_Cost]]/International_Education_Costs[[#This Row],[Duration_Years]]</f>
        <v>11290</v>
      </c>
      <c r="O584" s="1">
        <f>International_Education_Costs[[#This Row],[Rent_USD]] * 12 * International_Education_Costs[[#This Row],[Duration_Years]]</f>
        <v>18000</v>
      </c>
      <c r="P584" s="1">
        <f>International_Education_Costs[[#This Row],[Total_Cost]]-International_Education_Costs[[#This Row],[Tuition_USD]]</f>
        <v>19580</v>
      </c>
      <c r="Q584" s="2">
        <f>International_Education_Costs[[#This Row],[Tuition_USD]]/International_Education_Costs[[#This Row],[Total_Cost]]</f>
        <v>0.1328609388839681</v>
      </c>
    </row>
    <row r="585" spans="1:17" x14ac:dyDescent="0.25">
      <c r="A585" t="s">
        <v>187</v>
      </c>
      <c r="B585" t="s">
        <v>775</v>
      </c>
      <c r="C585" t="s">
        <v>776</v>
      </c>
      <c r="D585" t="s">
        <v>223</v>
      </c>
      <c r="E585" t="s">
        <v>122</v>
      </c>
      <c r="F585">
        <v>4</v>
      </c>
      <c r="G585" s="1">
        <v>3600</v>
      </c>
      <c r="H585">
        <v>70.5</v>
      </c>
      <c r="I585" s="1">
        <v>950</v>
      </c>
      <c r="J585" s="1">
        <v>120</v>
      </c>
      <c r="K585" s="1">
        <v>700</v>
      </c>
      <c r="L585">
        <v>0.92</v>
      </c>
      <c r="M5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52120</v>
      </c>
      <c r="N585" s="1">
        <f>International_Education_Costs[[#This Row],[Total_Cost]]/International_Education_Costs[[#This Row],[Duration_Years]]</f>
        <v>13030</v>
      </c>
      <c r="O585" s="1">
        <f>International_Education_Costs[[#This Row],[Rent_USD]] * 12 * International_Education_Costs[[#This Row],[Duration_Years]]</f>
        <v>45600</v>
      </c>
      <c r="P585" s="1">
        <f>International_Education_Costs[[#This Row],[Total_Cost]]-International_Education_Costs[[#This Row],[Tuition_USD]]</f>
        <v>48520</v>
      </c>
      <c r="Q585" s="2">
        <f>International_Education_Costs[[#This Row],[Tuition_USD]]/International_Education_Costs[[#This Row],[Total_Cost]]</f>
        <v>6.9071373752877974E-2</v>
      </c>
    </row>
    <row r="586" spans="1:17" x14ac:dyDescent="0.25">
      <c r="A586" t="s">
        <v>348</v>
      </c>
      <c r="B586" t="s">
        <v>777</v>
      </c>
      <c r="C586" t="s">
        <v>778</v>
      </c>
      <c r="D586" t="s">
        <v>15</v>
      </c>
      <c r="E586" t="s">
        <v>16</v>
      </c>
      <c r="F586">
        <v>2</v>
      </c>
      <c r="G586" s="1">
        <v>0</v>
      </c>
      <c r="H586">
        <v>61.2</v>
      </c>
      <c r="I586" s="1">
        <v>480</v>
      </c>
      <c r="J586" s="1">
        <v>100</v>
      </c>
      <c r="K586" s="1">
        <v>600</v>
      </c>
      <c r="L586">
        <v>0.92</v>
      </c>
      <c r="M5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12820</v>
      </c>
      <c r="N586" s="1">
        <f>International_Education_Costs[[#This Row],[Total_Cost]]/International_Education_Costs[[#This Row],[Duration_Years]]</f>
        <v>6410</v>
      </c>
      <c r="O586" s="1">
        <f>International_Education_Costs[[#This Row],[Rent_USD]] * 12 * International_Education_Costs[[#This Row],[Duration_Years]]</f>
        <v>11520</v>
      </c>
      <c r="P586" s="1">
        <f>International_Education_Costs[[#This Row],[Total_Cost]]-International_Education_Costs[[#This Row],[Tuition_USD]]</f>
        <v>12820</v>
      </c>
      <c r="Q586" s="2">
        <f>International_Education_Costs[[#This Row],[Tuition_USD]]/International_Education_Costs[[#This Row],[Total_Cost]]</f>
        <v>0</v>
      </c>
    </row>
    <row r="587" spans="1:17" x14ac:dyDescent="0.25">
      <c r="A587" t="s">
        <v>80</v>
      </c>
      <c r="B587" t="s">
        <v>779</v>
      </c>
      <c r="C587" t="s">
        <v>780</v>
      </c>
      <c r="D587" t="s">
        <v>71</v>
      </c>
      <c r="E587" t="s">
        <v>75</v>
      </c>
      <c r="F587">
        <v>3</v>
      </c>
      <c r="G587" s="1">
        <v>1500</v>
      </c>
      <c r="H587">
        <v>72.3</v>
      </c>
      <c r="I587" s="1">
        <v>800</v>
      </c>
      <c r="J587" s="1">
        <v>160</v>
      </c>
      <c r="K587" s="1">
        <v>850</v>
      </c>
      <c r="L587">
        <v>0.92</v>
      </c>
      <c r="M5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33010</v>
      </c>
      <c r="N587" s="1">
        <f>International_Education_Costs[[#This Row],[Total_Cost]]/International_Education_Costs[[#This Row],[Duration_Years]]</f>
        <v>11003.333333333334</v>
      </c>
      <c r="O587" s="1">
        <f>International_Education_Costs[[#This Row],[Rent_USD]] * 12 * International_Education_Costs[[#This Row],[Duration_Years]]</f>
        <v>28800</v>
      </c>
      <c r="P587" s="1">
        <f>International_Education_Costs[[#This Row],[Total_Cost]]-International_Education_Costs[[#This Row],[Tuition_USD]]</f>
        <v>31510</v>
      </c>
      <c r="Q587" s="2">
        <f>International_Education_Costs[[#This Row],[Tuition_USD]]/International_Education_Costs[[#This Row],[Total_Cost]]</f>
        <v>4.5440775522568921E-2</v>
      </c>
    </row>
    <row r="588" spans="1:17" x14ac:dyDescent="0.25">
      <c r="A588" t="s">
        <v>345</v>
      </c>
      <c r="B588" t="s">
        <v>781</v>
      </c>
      <c r="C588" t="s">
        <v>782</v>
      </c>
      <c r="D588" t="s">
        <v>63</v>
      </c>
      <c r="E588" t="s">
        <v>16</v>
      </c>
      <c r="F588">
        <v>2</v>
      </c>
      <c r="G588" s="1">
        <v>10000</v>
      </c>
      <c r="H588">
        <v>44.5</v>
      </c>
      <c r="I588" s="1">
        <v>450</v>
      </c>
      <c r="J588" s="1">
        <v>40</v>
      </c>
      <c r="K588" s="1">
        <v>400</v>
      </c>
      <c r="L588">
        <v>17.05</v>
      </c>
      <c r="M5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21640</v>
      </c>
      <c r="N588" s="1">
        <f>International_Education_Costs[[#This Row],[Total_Cost]]/International_Education_Costs[[#This Row],[Duration_Years]]</f>
        <v>10820</v>
      </c>
      <c r="O588" s="1">
        <f>International_Education_Costs[[#This Row],[Rent_USD]] * 12 * International_Education_Costs[[#This Row],[Duration_Years]]</f>
        <v>10800</v>
      </c>
      <c r="P588" s="1">
        <f>International_Education_Costs[[#This Row],[Total_Cost]]-International_Education_Costs[[#This Row],[Tuition_USD]]</f>
        <v>11640</v>
      </c>
      <c r="Q588" s="2">
        <f>International_Education_Costs[[#This Row],[Tuition_USD]]/International_Education_Costs[[#This Row],[Total_Cost]]</f>
        <v>0.46210720887245843</v>
      </c>
    </row>
    <row r="589" spans="1:17" x14ac:dyDescent="0.25">
      <c r="A589" t="s">
        <v>184</v>
      </c>
      <c r="B589" t="s">
        <v>783</v>
      </c>
      <c r="C589" t="s">
        <v>784</v>
      </c>
      <c r="D589" t="s">
        <v>15</v>
      </c>
      <c r="E589" t="s">
        <v>122</v>
      </c>
      <c r="F589">
        <v>4</v>
      </c>
      <c r="G589" s="1">
        <v>3400</v>
      </c>
      <c r="H589">
        <v>67.8</v>
      </c>
      <c r="I589" s="1">
        <v>850</v>
      </c>
      <c r="J589" s="1">
        <v>80</v>
      </c>
      <c r="K589" s="1">
        <v>750</v>
      </c>
      <c r="L589">
        <v>0.92</v>
      </c>
      <c r="M5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47280</v>
      </c>
      <c r="N589" s="1">
        <f>International_Education_Costs[[#This Row],[Total_Cost]]/International_Education_Costs[[#This Row],[Duration_Years]]</f>
        <v>11820</v>
      </c>
      <c r="O589" s="1">
        <f>International_Education_Costs[[#This Row],[Rent_USD]] * 12 * International_Education_Costs[[#This Row],[Duration_Years]]</f>
        <v>40800</v>
      </c>
      <c r="P589" s="1">
        <f>International_Education_Costs[[#This Row],[Total_Cost]]-International_Education_Costs[[#This Row],[Tuition_USD]]</f>
        <v>43880</v>
      </c>
      <c r="Q589" s="2">
        <f>International_Education_Costs[[#This Row],[Tuition_USD]]/International_Education_Costs[[#This Row],[Total_Cost]]</f>
        <v>7.1912013536379021E-2</v>
      </c>
    </row>
    <row r="590" spans="1:17" x14ac:dyDescent="0.25">
      <c r="A590" t="s">
        <v>187</v>
      </c>
      <c r="B590" t="s">
        <v>785</v>
      </c>
      <c r="C590" t="s">
        <v>786</v>
      </c>
      <c r="D590" t="s">
        <v>301</v>
      </c>
      <c r="E590" t="s">
        <v>16</v>
      </c>
      <c r="F590">
        <v>2</v>
      </c>
      <c r="G590" s="1">
        <v>3500</v>
      </c>
      <c r="H590">
        <v>71.2</v>
      </c>
      <c r="I590" s="1">
        <v>1000</v>
      </c>
      <c r="J590" s="1">
        <v>120</v>
      </c>
      <c r="K590" s="1">
        <v>700</v>
      </c>
      <c r="L590">
        <v>0.92</v>
      </c>
      <c r="M5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29020</v>
      </c>
      <c r="N590" s="1">
        <f>International_Education_Costs[[#This Row],[Total_Cost]]/International_Education_Costs[[#This Row],[Duration_Years]]</f>
        <v>14510</v>
      </c>
      <c r="O590" s="1">
        <f>International_Education_Costs[[#This Row],[Rent_USD]] * 12 * International_Education_Costs[[#This Row],[Duration_Years]]</f>
        <v>24000</v>
      </c>
      <c r="P590" s="1">
        <f>International_Education_Costs[[#This Row],[Total_Cost]]-International_Education_Costs[[#This Row],[Tuition_USD]]</f>
        <v>25520</v>
      </c>
      <c r="Q590" s="2">
        <f>International_Education_Costs[[#This Row],[Tuition_USD]]/International_Education_Costs[[#This Row],[Total_Cost]]</f>
        <v>0.1206064782908339</v>
      </c>
    </row>
    <row r="591" spans="1:17" x14ac:dyDescent="0.25">
      <c r="A591" t="s">
        <v>348</v>
      </c>
      <c r="B591" t="s">
        <v>787</v>
      </c>
      <c r="C591" t="s">
        <v>788</v>
      </c>
      <c r="D591" t="s">
        <v>430</v>
      </c>
      <c r="E591" t="s">
        <v>16</v>
      </c>
      <c r="F591">
        <v>2</v>
      </c>
      <c r="G591" s="1">
        <v>0</v>
      </c>
      <c r="H591">
        <v>59.8</v>
      </c>
      <c r="I591" s="1">
        <v>400</v>
      </c>
      <c r="J591" s="1">
        <v>100</v>
      </c>
      <c r="K591" s="1">
        <v>600</v>
      </c>
      <c r="L591">
        <v>0.92</v>
      </c>
      <c r="M5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10900</v>
      </c>
      <c r="N591" s="1">
        <f>International_Education_Costs[[#This Row],[Total_Cost]]/International_Education_Costs[[#This Row],[Duration_Years]]</f>
        <v>5450</v>
      </c>
      <c r="O591" s="1">
        <f>International_Education_Costs[[#This Row],[Rent_USD]] * 12 * International_Education_Costs[[#This Row],[Duration_Years]]</f>
        <v>9600</v>
      </c>
      <c r="P591" s="1">
        <f>International_Education_Costs[[#This Row],[Total_Cost]]-International_Education_Costs[[#This Row],[Tuition_USD]]</f>
        <v>10900</v>
      </c>
      <c r="Q591" s="2">
        <f>International_Education_Costs[[#This Row],[Tuition_USD]]/International_Education_Costs[[#This Row],[Total_Cost]]</f>
        <v>0</v>
      </c>
    </row>
    <row r="592" spans="1:17" x14ac:dyDescent="0.25">
      <c r="A592" t="s">
        <v>80</v>
      </c>
      <c r="B592" t="s">
        <v>789</v>
      </c>
      <c r="C592" t="s">
        <v>790</v>
      </c>
      <c r="D592" t="s">
        <v>690</v>
      </c>
      <c r="E592" t="s">
        <v>16</v>
      </c>
      <c r="F592">
        <v>2</v>
      </c>
      <c r="G592" s="1">
        <v>1500</v>
      </c>
      <c r="H592">
        <v>71.5</v>
      </c>
      <c r="I592" s="1">
        <v>780</v>
      </c>
      <c r="J592" s="1">
        <v>160</v>
      </c>
      <c r="K592" s="1">
        <v>850</v>
      </c>
      <c r="L592">
        <v>0.92</v>
      </c>
      <c r="M5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22080</v>
      </c>
      <c r="N592" s="1">
        <f>International_Education_Costs[[#This Row],[Total_Cost]]/International_Education_Costs[[#This Row],[Duration_Years]]</f>
        <v>11040</v>
      </c>
      <c r="O592" s="1">
        <f>International_Education_Costs[[#This Row],[Rent_USD]] * 12 * International_Education_Costs[[#This Row],[Duration_Years]]</f>
        <v>18720</v>
      </c>
      <c r="P592" s="1">
        <f>International_Education_Costs[[#This Row],[Total_Cost]]-International_Education_Costs[[#This Row],[Tuition_USD]]</f>
        <v>20580</v>
      </c>
      <c r="Q592" s="2">
        <f>International_Education_Costs[[#This Row],[Tuition_USD]]/International_Education_Costs[[#This Row],[Total_Cost]]</f>
        <v>6.7934782608695649E-2</v>
      </c>
    </row>
    <row r="593" spans="1:17" x14ac:dyDescent="0.25">
      <c r="A593" t="s">
        <v>345</v>
      </c>
      <c r="B593" t="s">
        <v>791</v>
      </c>
      <c r="C593" t="s">
        <v>792</v>
      </c>
      <c r="D593" t="s">
        <v>71</v>
      </c>
      <c r="E593" t="s">
        <v>75</v>
      </c>
      <c r="F593">
        <v>4</v>
      </c>
      <c r="G593" s="1">
        <v>11000</v>
      </c>
      <c r="H593">
        <v>46.7</v>
      </c>
      <c r="I593" s="1">
        <v>480</v>
      </c>
      <c r="J593" s="1">
        <v>40</v>
      </c>
      <c r="K593" s="1">
        <v>400</v>
      </c>
      <c r="L593">
        <v>17.05</v>
      </c>
      <c r="M5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35680</v>
      </c>
      <c r="N593" s="1">
        <f>International_Education_Costs[[#This Row],[Total_Cost]]/International_Education_Costs[[#This Row],[Duration_Years]]</f>
        <v>8920</v>
      </c>
      <c r="O593" s="1">
        <f>International_Education_Costs[[#This Row],[Rent_USD]] * 12 * International_Education_Costs[[#This Row],[Duration_Years]]</f>
        <v>23040</v>
      </c>
      <c r="P593" s="1">
        <f>International_Education_Costs[[#This Row],[Total_Cost]]-International_Education_Costs[[#This Row],[Tuition_USD]]</f>
        <v>24680</v>
      </c>
      <c r="Q593" s="2">
        <f>International_Education_Costs[[#This Row],[Tuition_USD]]/International_Education_Costs[[#This Row],[Total_Cost]]</f>
        <v>0.30829596412556054</v>
      </c>
    </row>
    <row r="594" spans="1:17" x14ac:dyDescent="0.25">
      <c r="A594" t="s">
        <v>184</v>
      </c>
      <c r="B594" t="s">
        <v>793</v>
      </c>
      <c r="C594" t="s">
        <v>794</v>
      </c>
      <c r="D594" t="s">
        <v>40</v>
      </c>
      <c r="E594" t="s">
        <v>16</v>
      </c>
      <c r="F594">
        <v>2</v>
      </c>
      <c r="G594" s="1">
        <v>2800</v>
      </c>
      <c r="H594">
        <v>64.5</v>
      </c>
      <c r="I594" s="1">
        <v>700</v>
      </c>
      <c r="J594" s="1">
        <v>80</v>
      </c>
      <c r="K594" s="1">
        <v>750</v>
      </c>
      <c r="L594">
        <v>0.92</v>
      </c>
      <c r="M5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21180</v>
      </c>
      <c r="N594" s="1">
        <f>International_Education_Costs[[#This Row],[Total_Cost]]/International_Education_Costs[[#This Row],[Duration_Years]]</f>
        <v>10590</v>
      </c>
      <c r="O594" s="1">
        <f>International_Education_Costs[[#This Row],[Rent_USD]] * 12 * International_Education_Costs[[#This Row],[Duration_Years]]</f>
        <v>16800</v>
      </c>
      <c r="P594" s="1">
        <f>International_Education_Costs[[#This Row],[Total_Cost]]-International_Education_Costs[[#This Row],[Tuition_USD]]</f>
        <v>18380</v>
      </c>
      <c r="Q594" s="2">
        <f>International_Education_Costs[[#This Row],[Tuition_USD]]/International_Education_Costs[[#This Row],[Total_Cost]]</f>
        <v>0.13220018885741266</v>
      </c>
    </row>
    <row r="595" spans="1:17" x14ac:dyDescent="0.25">
      <c r="A595" t="s">
        <v>187</v>
      </c>
      <c r="B595" t="s">
        <v>795</v>
      </c>
      <c r="C595" t="s">
        <v>796</v>
      </c>
      <c r="D595" t="s">
        <v>208</v>
      </c>
      <c r="E595" t="s">
        <v>122</v>
      </c>
      <c r="F595">
        <v>4</v>
      </c>
      <c r="G595" s="1">
        <v>3200</v>
      </c>
      <c r="H595">
        <v>67.8</v>
      </c>
      <c r="I595" s="1">
        <v>800</v>
      </c>
      <c r="J595" s="1">
        <v>120</v>
      </c>
      <c r="K595" s="1">
        <v>700</v>
      </c>
      <c r="L595">
        <v>0.92</v>
      </c>
      <c r="M5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44520</v>
      </c>
      <c r="N595" s="1">
        <f>International_Education_Costs[[#This Row],[Total_Cost]]/International_Education_Costs[[#This Row],[Duration_Years]]</f>
        <v>11130</v>
      </c>
      <c r="O595" s="1">
        <f>International_Education_Costs[[#This Row],[Rent_USD]] * 12 * International_Education_Costs[[#This Row],[Duration_Years]]</f>
        <v>38400</v>
      </c>
      <c r="P595" s="1">
        <f>International_Education_Costs[[#This Row],[Total_Cost]]-International_Education_Costs[[#This Row],[Tuition_USD]]</f>
        <v>41320</v>
      </c>
      <c r="Q595" s="2">
        <f>International_Education_Costs[[#This Row],[Tuition_USD]]/International_Education_Costs[[#This Row],[Total_Cost]]</f>
        <v>7.1877807726864335E-2</v>
      </c>
    </row>
    <row r="596" spans="1:17" x14ac:dyDescent="0.25">
      <c r="A596" t="s">
        <v>348</v>
      </c>
      <c r="B596" t="s">
        <v>797</v>
      </c>
      <c r="C596" t="s">
        <v>798</v>
      </c>
      <c r="D596" t="s">
        <v>216</v>
      </c>
      <c r="E596" t="s">
        <v>75</v>
      </c>
      <c r="F596">
        <v>4</v>
      </c>
      <c r="G596" s="1">
        <v>0</v>
      </c>
      <c r="H596">
        <v>58.9</v>
      </c>
      <c r="I596" s="1">
        <v>380</v>
      </c>
      <c r="J596" s="1">
        <v>100</v>
      </c>
      <c r="K596" s="1">
        <v>600</v>
      </c>
      <c r="L596">
        <v>0.92</v>
      </c>
      <c r="M5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20740</v>
      </c>
      <c r="N596" s="1">
        <f>International_Education_Costs[[#This Row],[Total_Cost]]/International_Education_Costs[[#This Row],[Duration_Years]]</f>
        <v>5185</v>
      </c>
      <c r="O596" s="1">
        <f>International_Education_Costs[[#This Row],[Rent_USD]] * 12 * International_Education_Costs[[#This Row],[Duration_Years]]</f>
        <v>18240</v>
      </c>
      <c r="P596" s="1">
        <f>International_Education_Costs[[#This Row],[Total_Cost]]-International_Education_Costs[[#This Row],[Tuition_USD]]</f>
        <v>20740</v>
      </c>
      <c r="Q596" s="2">
        <f>International_Education_Costs[[#This Row],[Tuition_USD]]/International_Education_Costs[[#This Row],[Total_Cost]]</f>
        <v>0</v>
      </c>
    </row>
    <row r="597" spans="1:17" x14ac:dyDescent="0.25">
      <c r="A597" t="s">
        <v>80</v>
      </c>
      <c r="B597" t="s">
        <v>799</v>
      </c>
      <c r="C597" t="s">
        <v>800</v>
      </c>
      <c r="D597" t="s">
        <v>20</v>
      </c>
      <c r="E597" t="s">
        <v>16</v>
      </c>
      <c r="F597">
        <v>2</v>
      </c>
      <c r="G597" s="1">
        <v>1500</v>
      </c>
      <c r="H597">
        <v>69.400000000000006</v>
      </c>
      <c r="I597" s="1">
        <v>720</v>
      </c>
      <c r="J597" s="1">
        <v>160</v>
      </c>
      <c r="K597" s="1">
        <v>850</v>
      </c>
      <c r="L597">
        <v>0.92</v>
      </c>
      <c r="M5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20640</v>
      </c>
      <c r="N597" s="1">
        <f>International_Education_Costs[[#This Row],[Total_Cost]]/International_Education_Costs[[#This Row],[Duration_Years]]</f>
        <v>10320</v>
      </c>
      <c r="O597" s="1">
        <f>International_Education_Costs[[#This Row],[Rent_USD]] * 12 * International_Education_Costs[[#This Row],[Duration_Years]]</f>
        <v>17280</v>
      </c>
      <c r="P597" s="1">
        <f>International_Education_Costs[[#This Row],[Total_Cost]]-International_Education_Costs[[#This Row],[Tuition_USD]]</f>
        <v>19140</v>
      </c>
      <c r="Q597" s="2">
        <f>International_Education_Costs[[#This Row],[Tuition_USD]]/International_Education_Costs[[#This Row],[Total_Cost]]</f>
        <v>7.2674418604651167E-2</v>
      </c>
    </row>
    <row r="598" spans="1:17" x14ac:dyDescent="0.25">
      <c r="A598" t="s">
        <v>345</v>
      </c>
      <c r="B598" t="s">
        <v>801</v>
      </c>
      <c r="C598" t="s">
        <v>802</v>
      </c>
      <c r="D598" t="s">
        <v>63</v>
      </c>
      <c r="E598" t="s">
        <v>16</v>
      </c>
      <c r="F598">
        <v>2</v>
      </c>
      <c r="G598" s="1">
        <v>3500</v>
      </c>
      <c r="H598">
        <v>43.2</v>
      </c>
      <c r="I598" s="1">
        <v>400</v>
      </c>
      <c r="J598" s="1">
        <v>40</v>
      </c>
      <c r="K598" s="1">
        <v>400</v>
      </c>
      <c r="L598">
        <v>17.05</v>
      </c>
      <c r="M5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13940</v>
      </c>
      <c r="N598" s="1">
        <f>International_Education_Costs[[#This Row],[Total_Cost]]/International_Education_Costs[[#This Row],[Duration_Years]]</f>
        <v>6970</v>
      </c>
      <c r="O598" s="1">
        <f>International_Education_Costs[[#This Row],[Rent_USD]] * 12 * International_Education_Costs[[#This Row],[Duration_Years]]</f>
        <v>9600</v>
      </c>
      <c r="P598" s="1">
        <f>International_Education_Costs[[#This Row],[Total_Cost]]-International_Education_Costs[[#This Row],[Tuition_USD]]</f>
        <v>10440</v>
      </c>
      <c r="Q598" s="2">
        <f>International_Education_Costs[[#This Row],[Tuition_USD]]/International_Education_Costs[[#This Row],[Total_Cost]]</f>
        <v>0.25107604017216645</v>
      </c>
    </row>
    <row r="599" spans="1:17" x14ac:dyDescent="0.25">
      <c r="A599" t="s">
        <v>184</v>
      </c>
      <c r="B599" t="s">
        <v>803</v>
      </c>
      <c r="C599" t="s">
        <v>804</v>
      </c>
      <c r="D599" t="s">
        <v>137</v>
      </c>
      <c r="E599" t="s">
        <v>16</v>
      </c>
      <c r="F599">
        <v>2</v>
      </c>
      <c r="G599" s="1">
        <v>2900</v>
      </c>
      <c r="H599">
        <v>63.2</v>
      </c>
      <c r="I599" s="1">
        <v>650</v>
      </c>
      <c r="J599" s="1">
        <v>80</v>
      </c>
      <c r="K599" s="1">
        <v>750</v>
      </c>
      <c r="L599">
        <v>0.92</v>
      </c>
      <c r="M5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20080</v>
      </c>
      <c r="N599" s="1">
        <f>International_Education_Costs[[#This Row],[Total_Cost]]/International_Education_Costs[[#This Row],[Duration_Years]]</f>
        <v>10040</v>
      </c>
      <c r="O599" s="1">
        <f>International_Education_Costs[[#This Row],[Rent_USD]] * 12 * International_Education_Costs[[#This Row],[Duration_Years]]</f>
        <v>15600</v>
      </c>
      <c r="P599" s="1">
        <f>International_Education_Costs[[#This Row],[Total_Cost]]-International_Education_Costs[[#This Row],[Tuition_USD]]</f>
        <v>17180</v>
      </c>
      <c r="Q599" s="2">
        <f>International_Education_Costs[[#This Row],[Tuition_USD]]/International_Education_Costs[[#This Row],[Total_Cost]]</f>
        <v>0.14442231075697212</v>
      </c>
    </row>
    <row r="600" spans="1:17" x14ac:dyDescent="0.25">
      <c r="A600" t="s">
        <v>187</v>
      </c>
      <c r="B600" t="s">
        <v>805</v>
      </c>
      <c r="C600" t="s">
        <v>806</v>
      </c>
      <c r="D600" t="s">
        <v>63</v>
      </c>
      <c r="E600" t="s">
        <v>16</v>
      </c>
      <c r="F600">
        <v>2</v>
      </c>
      <c r="G600" s="1">
        <v>3300</v>
      </c>
      <c r="H600">
        <v>68.900000000000006</v>
      </c>
      <c r="I600" s="1">
        <v>850</v>
      </c>
      <c r="J600" s="1">
        <v>120</v>
      </c>
      <c r="K600" s="1">
        <v>700</v>
      </c>
      <c r="L600">
        <v>0.92</v>
      </c>
      <c r="M6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25220</v>
      </c>
      <c r="N600" s="1">
        <f>International_Education_Costs[[#This Row],[Total_Cost]]/International_Education_Costs[[#This Row],[Duration_Years]]</f>
        <v>12610</v>
      </c>
      <c r="O600" s="1">
        <f>International_Education_Costs[[#This Row],[Rent_USD]] * 12 * International_Education_Costs[[#This Row],[Duration_Years]]</f>
        <v>20400</v>
      </c>
      <c r="P600" s="1">
        <f>International_Education_Costs[[#This Row],[Total_Cost]]-International_Education_Costs[[#This Row],[Tuition_USD]]</f>
        <v>21920</v>
      </c>
      <c r="Q600" s="2">
        <f>International_Education_Costs[[#This Row],[Tuition_USD]]/International_Education_Costs[[#This Row],[Total_Cost]]</f>
        <v>0.13084853291038859</v>
      </c>
    </row>
    <row r="601" spans="1:17" x14ac:dyDescent="0.25">
      <c r="A601" t="s">
        <v>348</v>
      </c>
      <c r="B601" t="s">
        <v>807</v>
      </c>
      <c r="C601" t="s">
        <v>808</v>
      </c>
      <c r="D601" t="s">
        <v>452</v>
      </c>
      <c r="E601" t="s">
        <v>16</v>
      </c>
      <c r="F601">
        <v>2</v>
      </c>
      <c r="G601" s="1">
        <v>0</v>
      </c>
      <c r="H601">
        <v>61.2</v>
      </c>
      <c r="I601" s="1">
        <v>420</v>
      </c>
      <c r="J601" s="1">
        <v>100</v>
      </c>
      <c r="K601" s="1">
        <v>600</v>
      </c>
      <c r="L601">
        <v>0.92</v>
      </c>
      <c r="M6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11380</v>
      </c>
      <c r="N601" s="1">
        <f>International_Education_Costs[[#This Row],[Total_Cost]]/International_Education_Costs[[#This Row],[Duration_Years]]</f>
        <v>5690</v>
      </c>
      <c r="O601" s="1">
        <f>International_Education_Costs[[#This Row],[Rent_USD]] * 12 * International_Education_Costs[[#This Row],[Duration_Years]]</f>
        <v>10080</v>
      </c>
      <c r="P601" s="1">
        <f>International_Education_Costs[[#This Row],[Total_Cost]]-International_Education_Costs[[#This Row],[Tuition_USD]]</f>
        <v>11380</v>
      </c>
      <c r="Q601" s="2">
        <f>International_Education_Costs[[#This Row],[Tuition_USD]]/International_Education_Costs[[#This Row],[Total_Cost]]</f>
        <v>0</v>
      </c>
    </row>
    <row r="602" spans="1:17" x14ac:dyDescent="0.25">
      <c r="A602" t="s">
        <v>80</v>
      </c>
      <c r="B602" t="s">
        <v>809</v>
      </c>
      <c r="C602" t="s">
        <v>1362</v>
      </c>
      <c r="D602" t="s">
        <v>93</v>
      </c>
      <c r="E602" t="s">
        <v>122</v>
      </c>
      <c r="F602">
        <v>4</v>
      </c>
      <c r="G602" s="1">
        <v>1500</v>
      </c>
      <c r="H602">
        <v>68.7</v>
      </c>
      <c r="I602" s="1">
        <v>700</v>
      </c>
      <c r="J602" s="1">
        <v>160</v>
      </c>
      <c r="K602" s="1">
        <v>850</v>
      </c>
      <c r="L602">
        <v>0.92</v>
      </c>
      <c r="M6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38660</v>
      </c>
      <c r="N602" s="1">
        <f>International_Education_Costs[[#This Row],[Total_Cost]]/International_Education_Costs[[#This Row],[Duration_Years]]</f>
        <v>9665</v>
      </c>
      <c r="O602" s="1">
        <f>International_Education_Costs[[#This Row],[Rent_USD]] * 12 * International_Education_Costs[[#This Row],[Duration_Years]]</f>
        <v>33600</v>
      </c>
      <c r="P602" s="1">
        <f>International_Education_Costs[[#This Row],[Total_Cost]]-International_Education_Costs[[#This Row],[Tuition_USD]]</f>
        <v>37160</v>
      </c>
      <c r="Q602" s="2">
        <f>International_Education_Costs[[#This Row],[Tuition_USD]]/International_Education_Costs[[#This Row],[Total_Cost]]</f>
        <v>3.8799793067770302E-2</v>
      </c>
    </row>
    <row r="603" spans="1:17" x14ac:dyDescent="0.25">
      <c r="A603" t="s">
        <v>345</v>
      </c>
      <c r="B603" t="s">
        <v>810</v>
      </c>
      <c r="C603" t="s">
        <v>811</v>
      </c>
      <c r="D603" t="s">
        <v>223</v>
      </c>
      <c r="E603" t="s">
        <v>75</v>
      </c>
      <c r="F603">
        <v>4</v>
      </c>
      <c r="G603" s="1">
        <v>9500</v>
      </c>
      <c r="H603">
        <v>45.4</v>
      </c>
      <c r="I603" s="1">
        <v>550</v>
      </c>
      <c r="J603" s="1">
        <v>40</v>
      </c>
      <c r="K603" s="1">
        <v>400</v>
      </c>
      <c r="L603">
        <v>17.05</v>
      </c>
      <c r="M6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37540</v>
      </c>
      <c r="N603" s="1">
        <f>International_Education_Costs[[#This Row],[Total_Cost]]/International_Education_Costs[[#This Row],[Duration_Years]]</f>
        <v>9385</v>
      </c>
      <c r="O603" s="1">
        <f>International_Education_Costs[[#This Row],[Rent_USD]] * 12 * International_Education_Costs[[#This Row],[Duration_Years]]</f>
        <v>26400</v>
      </c>
      <c r="P603" s="1">
        <f>International_Education_Costs[[#This Row],[Total_Cost]]-International_Education_Costs[[#This Row],[Tuition_USD]]</f>
        <v>28040</v>
      </c>
      <c r="Q603" s="2">
        <f>International_Education_Costs[[#This Row],[Tuition_USD]]/International_Education_Costs[[#This Row],[Total_Cost]]</f>
        <v>0.25306339904102293</v>
      </c>
    </row>
    <row r="604" spans="1:17" x14ac:dyDescent="0.25">
      <c r="A604" t="s">
        <v>184</v>
      </c>
      <c r="B604" t="s">
        <v>812</v>
      </c>
      <c r="C604" t="s">
        <v>813</v>
      </c>
      <c r="D604" t="s">
        <v>20</v>
      </c>
      <c r="E604" t="s">
        <v>122</v>
      </c>
      <c r="F604">
        <v>4</v>
      </c>
      <c r="G604" s="1">
        <v>3100</v>
      </c>
      <c r="H604">
        <v>62.1</v>
      </c>
      <c r="I604" s="1">
        <v>600</v>
      </c>
      <c r="J604" s="1">
        <v>80</v>
      </c>
      <c r="K604" s="1">
        <v>750</v>
      </c>
      <c r="L604">
        <v>0.92</v>
      </c>
      <c r="M6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34980</v>
      </c>
      <c r="N604" s="1">
        <f>International_Education_Costs[[#This Row],[Total_Cost]]/International_Education_Costs[[#This Row],[Duration_Years]]</f>
        <v>8745</v>
      </c>
      <c r="O604" s="1">
        <f>International_Education_Costs[[#This Row],[Rent_USD]] * 12 * International_Education_Costs[[#This Row],[Duration_Years]]</f>
        <v>28800</v>
      </c>
      <c r="P604" s="1">
        <f>International_Education_Costs[[#This Row],[Total_Cost]]-International_Education_Costs[[#This Row],[Tuition_USD]]</f>
        <v>31880</v>
      </c>
      <c r="Q604" s="2">
        <f>International_Education_Costs[[#This Row],[Tuition_USD]]/International_Education_Costs[[#This Row],[Total_Cost]]</f>
        <v>8.862206975414523E-2</v>
      </c>
    </row>
    <row r="605" spans="1:17" x14ac:dyDescent="0.25">
      <c r="A605" t="s">
        <v>187</v>
      </c>
      <c r="B605" t="s">
        <v>814</v>
      </c>
      <c r="C605" t="s">
        <v>815</v>
      </c>
      <c r="D605" t="s">
        <v>40</v>
      </c>
      <c r="E605" t="s">
        <v>16</v>
      </c>
      <c r="F605">
        <v>2</v>
      </c>
      <c r="G605" s="1">
        <v>3400</v>
      </c>
      <c r="H605">
        <v>69.5</v>
      </c>
      <c r="I605" s="1">
        <v>900</v>
      </c>
      <c r="J605" s="1">
        <v>120</v>
      </c>
      <c r="K605" s="1">
        <v>700</v>
      </c>
      <c r="L605">
        <v>0.92</v>
      </c>
      <c r="M6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26520</v>
      </c>
      <c r="N605" s="1">
        <f>International_Education_Costs[[#This Row],[Total_Cost]]/International_Education_Costs[[#This Row],[Duration_Years]]</f>
        <v>13260</v>
      </c>
      <c r="O605" s="1">
        <f>International_Education_Costs[[#This Row],[Rent_USD]] * 12 * International_Education_Costs[[#This Row],[Duration_Years]]</f>
        <v>21600</v>
      </c>
      <c r="P605" s="1">
        <f>International_Education_Costs[[#This Row],[Total_Cost]]-International_Education_Costs[[#This Row],[Tuition_USD]]</f>
        <v>23120</v>
      </c>
      <c r="Q605" s="2">
        <f>International_Education_Costs[[#This Row],[Tuition_USD]]/International_Education_Costs[[#This Row],[Total_Cost]]</f>
        <v>0.12820512820512819</v>
      </c>
    </row>
    <row r="606" spans="1:17" x14ac:dyDescent="0.25">
      <c r="A606" t="s">
        <v>348</v>
      </c>
      <c r="B606" t="s">
        <v>816</v>
      </c>
      <c r="C606" t="s">
        <v>817</v>
      </c>
      <c r="D606" t="s">
        <v>818</v>
      </c>
      <c r="E606" t="s">
        <v>16</v>
      </c>
      <c r="F606">
        <v>2</v>
      </c>
      <c r="G606" s="1">
        <v>0</v>
      </c>
      <c r="H606">
        <v>60.4</v>
      </c>
      <c r="I606" s="1">
        <v>450</v>
      </c>
      <c r="J606" s="1">
        <v>100</v>
      </c>
      <c r="K606" s="1">
        <v>600</v>
      </c>
      <c r="L606">
        <v>0.92</v>
      </c>
      <c r="M6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12100</v>
      </c>
      <c r="N606" s="1">
        <f>International_Education_Costs[[#This Row],[Total_Cost]]/International_Education_Costs[[#This Row],[Duration_Years]]</f>
        <v>6050</v>
      </c>
      <c r="O606" s="1">
        <f>International_Education_Costs[[#This Row],[Rent_USD]] * 12 * International_Education_Costs[[#This Row],[Duration_Years]]</f>
        <v>10800</v>
      </c>
      <c r="P606" s="1">
        <f>International_Education_Costs[[#This Row],[Total_Cost]]-International_Education_Costs[[#This Row],[Tuition_USD]]</f>
        <v>12100</v>
      </c>
      <c r="Q606" s="2">
        <f>International_Education_Costs[[#This Row],[Tuition_USD]]/International_Education_Costs[[#This Row],[Total_Cost]]</f>
        <v>0</v>
      </c>
    </row>
    <row r="607" spans="1:17" x14ac:dyDescent="0.25">
      <c r="A607" t="s">
        <v>80</v>
      </c>
      <c r="B607" t="s">
        <v>819</v>
      </c>
      <c r="C607" t="s">
        <v>820</v>
      </c>
      <c r="D607" t="s">
        <v>242</v>
      </c>
      <c r="E607" t="s">
        <v>75</v>
      </c>
      <c r="F607">
        <v>3</v>
      </c>
      <c r="G607" s="1">
        <v>1500</v>
      </c>
      <c r="H607">
        <v>70.2</v>
      </c>
      <c r="I607" s="1">
        <v>800</v>
      </c>
      <c r="J607" s="1">
        <v>160</v>
      </c>
      <c r="K607" s="1">
        <v>850</v>
      </c>
      <c r="L607">
        <v>0.92</v>
      </c>
      <c r="M6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33010</v>
      </c>
      <c r="N607" s="1">
        <f>International_Education_Costs[[#This Row],[Total_Cost]]/International_Education_Costs[[#This Row],[Duration_Years]]</f>
        <v>11003.333333333334</v>
      </c>
      <c r="O607" s="1">
        <f>International_Education_Costs[[#This Row],[Rent_USD]] * 12 * International_Education_Costs[[#This Row],[Duration_Years]]</f>
        <v>28800</v>
      </c>
      <c r="P607" s="1">
        <f>International_Education_Costs[[#This Row],[Total_Cost]]-International_Education_Costs[[#This Row],[Tuition_USD]]</f>
        <v>31510</v>
      </c>
      <c r="Q607" s="2">
        <f>International_Education_Costs[[#This Row],[Tuition_USD]]/International_Education_Costs[[#This Row],[Total_Cost]]</f>
        <v>4.5440775522568921E-2</v>
      </c>
    </row>
    <row r="608" spans="1:17" x14ac:dyDescent="0.25">
      <c r="A608" t="s">
        <v>345</v>
      </c>
      <c r="B608" t="s">
        <v>821</v>
      </c>
      <c r="C608" t="s">
        <v>822</v>
      </c>
      <c r="D608" t="s">
        <v>496</v>
      </c>
      <c r="E608" t="s">
        <v>16</v>
      </c>
      <c r="F608">
        <v>2</v>
      </c>
      <c r="G608" s="1">
        <v>2800</v>
      </c>
      <c r="H608">
        <v>42.8</v>
      </c>
      <c r="I608" s="1">
        <v>380</v>
      </c>
      <c r="J608" s="1">
        <v>40</v>
      </c>
      <c r="K608" s="1">
        <v>400</v>
      </c>
      <c r="L608">
        <v>17.05</v>
      </c>
      <c r="M6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12760</v>
      </c>
      <c r="N608" s="1">
        <f>International_Education_Costs[[#This Row],[Total_Cost]]/International_Education_Costs[[#This Row],[Duration_Years]]</f>
        <v>6380</v>
      </c>
      <c r="O608" s="1">
        <f>International_Education_Costs[[#This Row],[Rent_USD]] * 12 * International_Education_Costs[[#This Row],[Duration_Years]]</f>
        <v>9120</v>
      </c>
      <c r="P608" s="1">
        <f>International_Education_Costs[[#This Row],[Total_Cost]]-International_Education_Costs[[#This Row],[Tuition_USD]]</f>
        <v>9960</v>
      </c>
      <c r="Q608" s="2">
        <f>International_Education_Costs[[#This Row],[Tuition_USD]]/International_Education_Costs[[#This Row],[Total_Cost]]</f>
        <v>0.21943573667711599</v>
      </c>
    </row>
    <row r="609" spans="1:17" x14ac:dyDescent="0.25">
      <c r="A609" t="s">
        <v>338</v>
      </c>
      <c r="B609" t="s">
        <v>339</v>
      </c>
      <c r="C609" t="s">
        <v>340</v>
      </c>
      <c r="D609" t="s">
        <v>63</v>
      </c>
      <c r="E609" t="s">
        <v>16</v>
      </c>
      <c r="F609">
        <v>2</v>
      </c>
      <c r="G609" s="1">
        <v>1500</v>
      </c>
      <c r="H609">
        <v>51.2</v>
      </c>
      <c r="I609" s="1">
        <v>600</v>
      </c>
      <c r="J609" s="1">
        <v>90</v>
      </c>
      <c r="K609" s="1">
        <v>500</v>
      </c>
      <c r="L609">
        <v>28.5</v>
      </c>
      <c r="M6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16990</v>
      </c>
      <c r="N609" s="1">
        <f>International_Education_Costs[[#This Row],[Total_Cost]]/International_Education_Costs[[#This Row],[Duration_Years]]</f>
        <v>8495</v>
      </c>
      <c r="O609" s="1">
        <f>International_Education_Costs[[#This Row],[Rent_USD]] * 12 * International_Education_Costs[[#This Row],[Duration_Years]]</f>
        <v>14400</v>
      </c>
      <c r="P609" s="1">
        <f>International_Education_Costs[[#This Row],[Total_Cost]]-International_Education_Costs[[#This Row],[Tuition_USD]]</f>
        <v>15490</v>
      </c>
      <c r="Q609" s="2">
        <f>International_Education_Costs[[#This Row],[Tuition_USD]]/International_Education_Costs[[#This Row],[Total_Cost]]</f>
        <v>8.8287227781047681E-2</v>
      </c>
    </row>
    <row r="610" spans="1:17" x14ac:dyDescent="0.25">
      <c r="A610" t="s">
        <v>348</v>
      </c>
      <c r="B610" t="s">
        <v>349</v>
      </c>
      <c r="C610" t="s">
        <v>823</v>
      </c>
      <c r="D610" t="s">
        <v>20</v>
      </c>
      <c r="E610" t="s">
        <v>16</v>
      </c>
      <c r="F610">
        <v>2</v>
      </c>
      <c r="G610" s="1">
        <v>0</v>
      </c>
      <c r="H610">
        <v>65.8</v>
      </c>
      <c r="I610" s="1">
        <v>650</v>
      </c>
      <c r="J610" s="1">
        <v>100</v>
      </c>
      <c r="K610" s="1">
        <v>600</v>
      </c>
      <c r="L610">
        <v>0.92</v>
      </c>
      <c r="M6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16900</v>
      </c>
      <c r="N610" s="1">
        <f>International_Education_Costs[[#This Row],[Total_Cost]]/International_Education_Costs[[#This Row],[Duration_Years]]</f>
        <v>8450</v>
      </c>
      <c r="O610" s="1">
        <f>International_Education_Costs[[#This Row],[Rent_USD]] * 12 * International_Education_Costs[[#This Row],[Duration_Years]]</f>
        <v>15600</v>
      </c>
      <c r="P610" s="1">
        <f>International_Education_Costs[[#This Row],[Total_Cost]]-International_Education_Costs[[#This Row],[Tuition_USD]]</f>
        <v>16900</v>
      </c>
      <c r="Q610" s="2">
        <f>International_Education_Costs[[#This Row],[Tuition_USD]]/International_Education_Costs[[#This Row],[Total_Cost]]</f>
        <v>0</v>
      </c>
    </row>
    <row r="611" spans="1:17" x14ac:dyDescent="0.25">
      <c r="A611" t="s">
        <v>84</v>
      </c>
      <c r="B611" t="s">
        <v>824</v>
      </c>
      <c r="C611" t="s">
        <v>86</v>
      </c>
      <c r="D611" t="s">
        <v>40</v>
      </c>
      <c r="E611" t="s">
        <v>122</v>
      </c>
      <c r="F611">
        <v>4</v>
      </c>
      <c r="G611" s="1">
        <v>3800</v>
      </c>
      <c r="H611">
        <v>76.5</v>
      </c>
      <c r="I611" s="1">
        <v>950</v>
      </c>
      <c r="J611" s="1">
        <v>180</v>
      </c>
      <c r="K611" s="1">
        <v>800</v>
      </c>
      <c r="L611">
        <v>0.92</v>
      </c>
      <c r="M6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52780</v>
      </c>
      <c r="N611" s="1">
        <f>International_Education_Costs[[#This Row],[Total_Cost]]/International_Education_Costs[[#This Row],[Duration_Years]]</f>
        <v>13195</v>
      </c>
      <c r="O611" s="1">
        <f>International_Education_Costs[[#This Row],[Rent_USD]] * 12 * International_Education_Costs[[#This Row],[Duration_Years]]</f>
        <v>45600</v>
      </c>
      <c r="P611" s="1">
        <f>International_Education_Costs[[#This Row],[Total_Cost]]-International_Education_Costs[[#This Row],[Tuition_USD]]</f>
        <v>48980</v>
      </c>
      <c r="Q611" s="2">
        <f>International_Education_Costs[[#This Row],[Tuition_USD]]/International_Education_Costs[[#This Row],[Total_Cost]]</f>
        <v>7.1996968548692683E-2</v>
      </c>
    </row>
    <row r="612" spans="1:17" x14ac:dyDescent="0.25">
      <c r="A612" t="s">
        <v>825</v>
      </c>
      <c r="B612" t="s">
        <v>826</v>
      </c>
      <c r="C612" t="s">
        <v>827</v>
      </c>
      <c r="D612" t="s">
        <v>208</v>
      </c>
      <c r="E612" t="s">
        <v>16</v>
      </c>
      <c r="F612">
        <v>2</v>
      </c>
      <c r="G612" s="1">
        <v>6500</v>
      </c>
      <c r="H612">
        <v>53.4</v>
      </c>
      <c r="I612" s="1">
        <v>500</v>
      </c>
      <c r="J612" s="1">
        <v>140</v>
      </c>
      <c r="K612" s="1">
        <v>450</v>
      </c>
      <c r="L612">
        <v>350.25</v>
      </c>
      <c r="M6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19540</v>
      </c>
      <c r="N612" s="1">
        <f>International_Education_Costs[[#This Row],[Total_Cost]]/International_Education_Costs[[#This Row],[Duration_Years]]</f>
        <v>9770</v>
      </c>
      <c r="O612" s="1">
        <f>International_Education_Costs[[#This Row],[Rent_USD]] * 12 * International_Education_Costs[[#This Row],[Duration_Years]]</f>
        <v>12000</v>
      </c>
      <c r="P612" s="1">
        <f>International_Education_Costs[[#This Row],[Total_Cost]]-International_Education_Costs[[#This Row],[Tuition_USD]]</f>
        <v>13040</v>
      </c>
      <c r="Q612" s="2">
        <f>International_Education_Costs[[#This Row],[Tuition_USD]]/International_Education_Costs[[#This Row],[Total_Cost]]</f>
        <v>0.33265097236438074</v>
      </c>
    </row>
    <row r="613" spans="1:17" x14ac:dyDescent="0.25">
      <c r="A613" t="s">
        <v>341</v>
      </c>
      <c r="B613" t="s">
        <v>342</v>
      </c>
      <c r="C613" t="s">
        <v>343</v>
      </c>
      <c r="D613" t="s">
        <v>15</v>
      </c>
      <c r="E613" t="s">
        <v>75</v>
      </c>
      <c r="F613">
        <v>4</v>
      </c>
      <c r="G613" s="1">
        <v>5500</v>
      </c>
      <c r="H613">
        <v>62.3</v>
      </c>
      <c r="I613" s="1">
        <v>600</v>
      </c>
      <c r="J613" s="1">
        <v>160</v>
      </c>
      <c r="K613" s="1">
        <v>400</v>
      </c>
      <c r="L613">
        <v>95.5</v>
      </c>
      <c r="M6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36060</v>
      </c>
      <c r="N613" s="1">
        <f>International_Education_Costs[[#This Row],[Total_Cost]]/International_Education_Costs[[#This Row],[Duration_Years]]</f>
        <v>9015</v>
      </c>
      <c r="O613" s="1">
        <f>International_Education_Costs[[#This Row],[Rent_USD]] * 12 * International_Education_Costs[[#This Row],[Duration_Years]]</f>
        <v>28800</v>
      </c>
      <c r="P613" s="1">
        <f>International_Education_Costs[[#This Row],[Total_Cost]]-International_Education_Costs[[#This Row],[Tuition_USD]]</f>
        <v>30560</v>
      </c>
      <c r="Q613" s="2">
        <f>International_Education_Costs[[#This Row],[Tuition_USD]]/International_Education_Costs[[#This Row],[Total_Cost]]</f>
        <v>0.15252357182473655</v>
      </c>
    </row>
    <row r="614" spans="1:17" x14ac:dyDescent="0.25">
      <c r="A614" t="s">
        <v>338</v>
      </c>
      <c r="B614" t="s">
        <v>828</v>
      </c>
      <c r="C614" t="s">
        <v>829</v>
      </c>
      <c r="D614" t="s">
        <v>252</v>
      </c>
      <c r="E614" t="s">
        <v>16</v>
      </c>
      <c r="F614">
        <v>2</v>
      </c>
      <c r="G614" s="1">
        <v>1200</v>
      </c>
      <c r="H614">
        <v>48.5</v>
      </c>
      <c r="I614" s="1">
        <v>450</v>
      </c>
      <c r="J614" s="1">
        <v>90</v>
      </c>
      <c r="K614" s="1">
        <v>500</v>
      </c>
      <c r="L614">
        <v>28.5</v>
      </c>
      <c r="M6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13090</v>
      </c>
      <c r="N614" s="1">
        <f>International_Education_Costs[[#This Row],[Total_Cost]]/International_Education_Costs[[#This Row],[Duration_Years]]</f>
        <v>6545</v>
      </c>
      <c r="O614" s="1">
        <f>International_Education_Costs[[#This Row],[Rent_USD]] * 12 * International_Education_Costs[[#This Row],[Duration_Years]]</f>
        <v>10800</v>
      </c>
      <c r="P614" s="1">
        <f>International_Education_Costs[[#This Row],[Total_Cost]]-International_Education_Costs[[#This Row],[Tuition_USD]]</f>
        <v>11890</v>
      </c>
      <c r="Q614" s="2">
        <f>International_Education_Costs[[#This Row],[Tuition_USD]]/International_Education_Costs[[#This Row],[Total_Cost]]</f>
        <v>9.1673032849503441E-2</v>
      </c>
    </row>
    <row r="615" spans="1:17" x14ac:dyDescent="0.25">
      <c r="A615" t="s">
        <v>348</v>
      </c>
      <c r="B615" t="s">
        <v>758</v>
      </c>
      <c r="C615" t="s">
        <v>830</v>
      </c>
      <c r="D615" t="s">
        <v>216</v>
      </c>
      <c r="E615" t="s">
        <v>122</v>
      </c>
      <c r="F615">
        <v>4</v>
      </c>
      <c r="G615" s="1">
        <v>0</v>
      </c>
      <c r="H615">
        <v>62.4</v>
      </c>
      <c r="I615" s="1">
        <v>500</v>
      </c>
      <c r="J615" s="1">
        <v>100</v>
      </c>
      <c r="K615" s="1">
        <v>600</v>
      </c>
      <c r="L615">
        <v>0.92</v>
      </c>
      <c r="M6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26500</v>
      </c>
      <c r="N615" s="1">
        <f>International_Education_Costs[[#This Row],[Total_Cost]]/International_Education_Costs[[#This Row],[Duration_Years]]</f>
        <v>6625</v>
      </c>
      <c r="O615" s="1">
        <f>International_Education_Costs[[#This Row],[Rent_USD]] * 12 * International_Education_Costs[[#This Row],[Duration_Years]]</f>
        <v>24000</v>
      </c>
      <c r="P615" s="1">
        <f>International_Education_Costs[[#This Row],[Total_Cost]]-International_Education_Costs[[#This Row],[Tuition_USD]]</f>
        <v>26500</v>
      </c>
      <c r="Q615" s="2">
        <f>International_Education_Costs[[#This Row],[Tuition_USD]]/International_Education_Costs[[#This Row],[Total_Cost]]</f>
        <v>0</v>
      </c>
    </row>
    <row r="616" spans="1:17" x14ac:dyDescent="0.25">
      <c r="A616" t="s">
        <v>84</v>
      </c>
      <c r="B616" t="s">
        <v>831</v>
      </c>
      <c r="C616" t="s">
        <v>832</v>
      </c>
      <c r="D616" t="s">
        <v>15</v>
      </c>
      <c r="E616" t="s">
        <v>16</v>
      </c>
      <c r="F616">
        <v>2</v>
      </c>
      <c r="G616" s="1">
        <v>3500</v>
      </c>
      <c r="H616">
        <v>72.8</v>
      </c>
      <c r="I616" s="1">
        <v>850</v>
      </c>
      <c r="J616" s="1">
        <v>180</v>
      </c>
      <c r="K616" s="1">
        <v>800</v>
      </c>
      <c r="L616">
        <v>0.92</v>
      </c>
      <c r="M6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25680</v>
      </c>
      <c r="N616" s="1">
        <f>International_Education_Costs[[#This Row],[Total_Cost]]/International_Education_Costs[[#This Row],[Duration_Years]]</f>
        <v>12840</v>
      </c>
      <c r="O616" s="1">
        <f>International_Education_Costs[[#This Row],[Rent_USD]] * 12 * International_Education_Costs[[#This Row],[Duration_Years]]</f>
        <v>20400</v>
      </c>
      <c r="P616" s="1">
        <f>International_Education_Costs[[#This Row],[Total_Cost]]-International_Education_Costs[[#This Row],[Tuition_USD]]</f>
        <v>22180</v>
      </c>
      <c r="Q616" s="2">
        <f>International_Education_Costs[[#This Row],[Tuition_USD]]/International_Education_Costs[[#This Row],[Total_Cost]]</f>
        <v>0.13629283489096572</v>
      </c>
    </row>
    <row r="617" spans="1:17" x14ac:dyDescent="0.25">
      <c r="A617" t="s">
        <v>825</v>
      </c>
      <c r="B617" t="s">
        <v>833</v>
      </c>
      <c r="C617" t="s">
        <v>834</v>
      </c>
      <c r="D617" t="s">
        <v>690</v>
      </c>
      <c r="E617" t="s">
        <v>75</v>
      </c>
      <c r="F617">
        <v>3</v>
      </c>
      <c r="G617" s="1">
        <v>5800</v>
      </c>
      <c r="H617">
        <v>48.9</v>
      </c>
      <c r="I617" s="1">
        <v>400</v>
      </c>
      <c r="J617" s="1">
        <v>140</v>
      </c>
      <c r="K617" s="1">
        <v>450</v>
      </c>
      <c r="L617">
        <v>350.25</v>
      </c>
      <c r="M6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21690</v>
      </c>
      <c r="N617" s="1">
        <f>International_Education_Costs[[#This Row],[Total_Cost]]/International_Education_Costs[[#This Row],[Duration_Years]]</f>
        <v>7230</v>
      </c>
      <c r="O617" s="1">
        <f>International_Education_Costs[[#This Row],[Rent_USD]] * 12 * International_Education_Costs[[#This Row],[Duration_Years]]</f>
        <v>14400</v>
      </c>
      <c r="P617" s="1">
        <f>International_Education_Costs[[#This Row],[Total_Cost]]-International_Education_Costs[[#This Row],[Tuition_USD]]</f>
        <v>15890</v>
      </c>
      <c r="Q617" s="2">
        <f>International_Education_Costs[[#This Row],[Tuition_USD]]/International_Education_Costs[[#This Row],[Total_Cost]]</f>
        <v>0.26740433379437528</v>
      </c>
    </row>
    <row r="618" spans="1:17" x14ac:dyDescent="0.25">
      <c r="A618" t="s">
        <v>341</v>
      </c>
      <c r="B618" t="s">
        <v>835</v>
      </c>
      <c r="C618" t="s">
        <v>836</v>
      </c>
      <c r="D618" t="s">
        <v>20</v>
      </c>
      <c r="E618" t="s">
        <v>16</v>
      </c>
      <c r="F618">
        <v>2</v>
      </c>
      <c r="G618" s="1">
        <v>5000</v>
      </c>
      <c r="H618">
        <v>60.1</v>
      </c>
      <c r="I618" s="1">
        <v>550</v>
      </c>
      <c r="J618" s="1">
        <v>160</v>
      </c>
      <c r="K618" s="1">
        <v>400</v>
      </c>
      <c r="L618">
        <v>95.5</v>
      </c>
      <c r="M6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19160</v>
      </c>
      <c r="N618" s="1">
        <f>International_Education_Costs[[#This Row],[Total_Cost]]/International_Education_Costs[[#This Row],[Duration_Years]]</f>
        <v>9580</v>
      </c>
      <c r="O618" s="1">
        <f>International_Education_Costs[[#This Row],[Rent_USD]] * 12 * International_Education_Costs[[#This Row],[Duration_Years]]</f>
        <v>13200</v>
      </c>
      <c r="P618" s="1">
        <f>International_Education_Costs[[#This Row],[Total_Cost]]-International_Education_Costs[[#This Row],[Tuition_USD]]</f>
        <v>14160</v>
      </c>
      <c r="Q618" s="2">
        <f>International_Education_Costs[[#This Row],[Tuition_USD]]/International_Education_Costs[[#This Row],[Total_Cost]]</f>
        <v>0.26096033402922758</v>
      </c>
    </row>
    <row r="619" spans="1:17" x14ac:dyDescent="0.25">
      <c r="A619" t="s">
        <v>338</v>
      </c>
      <c r="B619" t="s">
        <v>837</v>
      </c>
      <c r="C619" t="s">
        <v>838</v>
      </c>
      <c r="D619" t="s">
        <v>115</v>
      </c>
      <c r="E619" t="s">
        <v>122</v>
      </c>
      <c r="F619">
        <v>4</v>
      </c>
      <c r="G619" s="1">
        <v>1300</v>
      </c>
      <c r="H619">
        <v>47.8</v>
      </c>
      <c r="I619" s="1">
        <v>400</v>
      </c>
      <c r="J619" s="1">
        <v>90</v>
      </c>
      <c r="K619" s="1">
        <v>500</v>
      </c>
      <c r="L619">
        <v>28.5</v>
      </c>
      <c r="M6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22590</v>
      </c>
      <c r="N619" s="1">
        <f>International_Education_Costs[[#This Row],[Total_Cost]]/International_Education_Costs[[#This Row],[Duration_Years]]</f>
        <v>5647.5</v>
      </c>
      <c r="O619" s="1">
        <f>International_Education_Costs[[#This Row],[Rent_USD]] * 12 * International_Education_Costs[[#This Row],[Duration_Years]]</f>
        <v>19200</v>
      </c>
      <c r="P619" s="1">
        <f>International_Education_Costs[[#This Row],[Total_Cost]]-International_Education_Costs[[#This Row],[Tuition_USD]]</f>
        <v>21290</v>
      </c>
      <c r="Q619" s="2">
        <f>International_Education_Costs[[#This Row],[Tuition_USD]]/International_Education_Costs[[#This Row],[Total_Cost]]</f>
        <v>5.7547587428065518E-2</v>
      </c>
    </row>
    <row r="620" spans="1:17" x14ac:dyDescent="0.25">
      <c r="A620" t="s">
        <v>348</v>
      </c>
      <c r="B620" t="s">
        <v>766</v>
      </c>
      <c r="C620" t="s">
        <v>767</v>
      </c>
      <c r="D620" t="s">
        <v>63</v>
      </c>
      <c r="E620" t="s">
        <v>16</v>
      </c>
      <c r="F620">
        <v>2</v>
      </c>
      <c r="G620" s="1">
        <v>0</v>
      </c>
      <c r="H620">
        <v>60.5</v>
      </c>
      <c r="I620" s="1">
        <v>450</v>
      </c>
      <c r="J620" s="1">
        <v>100</v>
      </c>
      <c r="K620" s="1">
        <v>600</v>
      </c>
      <c r="L620">
        <v>0.92</v>
      </c>
      <c r="M6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12100</v>
      </c>
      <c r="N620" s="1">
        <f>International_Education_Costs[[#This Row],[Total_Cost]]/International_Education_Costs[[#This Row],[Duration_Years]]</f>
        <v>6050</v>
      </c>
      <c r="O620" s="1">
        <f>International_Education_Costs[[#This Row],[Rent_USD]] * 12 * International_Education_Costs[[#This Row],[Duration_Years]]</f>
        <v>10800</v>
      </c>
      <c r="P620" s="1">
        <f>International_Education_Costs[[#This Row],[Total_Cost]]-International_Education_Costs[[#This Row],[Tuition_USD]]</f>
        <v>12100</v>
      </c>
      <c r="Q620" s="2">
        <f>International_Education_Costs[[#This Row],[Tuition_USD]]/International_Education_Costs[[#This Row],[Total_Cost]]</f>
        <v>0</v>
      </c>
    </row>
    <row r="621" spans="1:17" x14ac:dyDescent="0.25">
      <c r="A621" t="s">
        <v>84</v>
      </c>
      <c r="B621" t="s">
        <v>85</v>
      </c>
      <c r="C621" t="s">
        <v>839</v>
      </c>
      <c r="D621" t="s">
        <v>137</v>
      </c>
      <c r="E621" t="s">
        <v>16</v>
      </c>
      <c r="F621">
        <v>2</v>
      </c>
      <c r="G621" s="1">
        <v>3600</v>
      </c>
      <c r="H621">
        <v>75.400000000000006</v>
      </c>
      <c r="I621" s="1">
        <v>900</v>
      </c>
      <c r="J621" s="1">
        <v>180</v>
      </c>
      <c r="K621" s="1">
        <v>800</v>
      </c>
      <c r="L621">
        <v>0.92</v>
      </c>
      <c r="M6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26980</v>
      </c>
      <c r="N621" s="1">
        <f>International_Education_Costs[[#This Row],[Total_Cost]]/International_Education_Costs[[#This Row],[Duration_Years]]</f>
        <v>13490</v>
      </c>
      <c r="O621" s="1">
        <f>International_Education_Costs[[#This Row],[Rent_USD]] * 12 * International_Education_Costs[[#This Row],[Duration_Years]]</f>
        <v>21600</v>
      </c>
      <c r="P621" s="1">
        <f>International_Education_Costs[[#This Row],[Total_Cost]]-International_Education_Costs[[#This Row],[Tuition_USD]]</f>
        <v>23380</v>
      </c>
      <c r="Q621" s="2">
        <f>International_Education_Costs[[#This Row],[Tuition_USD]]/International_Education_Costs[[#This Row],[Total_Cost]]</f>
        <v>0.1334321719792439</v>
      </c>
    </row>
    <row r="622" spans="1:17" x14ac:dyDescent="0.25">
      <c r="A622" t="s">
        <v>825</v>
      </c>
      <c r="B622" t="s">
        <v>840</v>
      </c>
      <c r="C622" t="s">
        <v>841</v>
      </c>
      <c r="D622" t="s">
        <v>15</v>
      </c>
      <c r="E622" t="s">
        <v>122</v>
      </c>
      <c r="F622">
        <v>4</v>
      </c>
      <c r="G622" s="1">
        <v>6000</v>
      </c>
      <c r="H622">
        <v>47.2</v>
      </c>
      <c r="I622" s="1">
        <v>380</v>
      </c>
      <c r="J622" s="1">
        <v>140</v>
      </c>
      <c r="K622" s="1">
        <v>450</v>
      </c>
      <c r="L622">
        <v>350.25</v>
      </c>
      <c r="M6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26180</v>
      </c>
      <c r="N622" s="1">
        <f>International_Education_Costs[[#This Row],[Total_Cost]]/International_Education_Costs[[#This Row],[Duration_Years]]</f>
        <v>6545</v>
      </c>
      <c r="O622" s="1">
        <f>International_Education_Costs[[#This Row],[Rent_USD]] * 12 * International_Education_Costs[[#This Row],[Duration_Years]]</f>
        <v>18240</v>
      </c>
      <c r="P622" s="1">
        <f>International_Education_Costs[[#This Row],[Total_Cost]]-International_Education_Costs[[#This Row],[Tuition_USD]]</f>
        <v>20180</v>
      </c>
      <c r="Q622" s="2">
        <f>International_Education_Costs[[#This Row],[Tuition_USD]]/International_Education_Costs[[#This Row],[Total_Cost]]</f>
        <v>0.22918258212375858</v>
      </c>
    </row>
    <row r="623" spans="1:17" x14ac:dyDescent="0.25">
      <c r="A623" t="s">
        <v>341</v>
      </c>
      <c r="B623" t="s">
        <v>842</v>
      </c>
      <c r="C623" t="s">
        <v>843</v>
      </c>
      <c r="D623" t="s">
        <v>99</v>
      </c>
      <c r="E623" t="s">
        <v>16</v>
      </c>
      <c r="F623">
        <v>2</v>
      </c>
      <c r="G623" s="1">
        <v>4800</v>
      </c>
      <c r="H623">
        <v>55.4</v>
      </c>
      <c r="I623" s="1">
        <v>400</v>
      </c>
      <c r="J623" s="1">
        <v>160</v>
      </c>
      <c r="K623" s="1">
        <v>400</v>
      </c>
      <c r="L623">
        <v>95.5</v>
      </c>
      <c r="M6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15360</v>
      </c>
      <c r="N623" s="1">
        <f>International_Education_Costs[[#This Row],[Total_Cost]]/International_Education_Costs[[#This Row],[Duration_Years]]</f>
        <v>7680</v>
      </c>
      <c r="O623" s="1">
        <f>International_Education_Costs[[#This Row],[Rent_USD]] * 12 * International_Education_Costs[[#This Row],[Duration_Years]]</f>
        <v>9600</v>
      </c>
      <c r="P623" s="1">
        <f>International_Education_Costs[[#This Row],[Total_Cost]]-International_Education_Costs[[#This Row],[Tuition_USD]]</f>
        <v>10560</v>
      </c>
      <c r="Q623" s="2">
        <f>International_Education_Costs[[#This Row],[Tuition_USD]]/International_Education_Costs[[#This Row],[Total_Cost]]</f>
        <v>0.3125</v>
      </c>
    </row>
    <row r="624" spans="1:17" x14ac:dyDescent="0.25">
      <c r="A624" t="s">
        <v>338</v>
      </c>
      <c r="B624" t="s">
        <v>844</v>
      </c>
      <c r="C624" t="s">
        <v>845</v>
      </c>
      <c r="D624" t="s">
        <v>216</v>
      </c>
      <c r="E624" t="s">
        <v>75</v>
      </c>
      <c r="F624">
        <v>4</v>
      </c>
      <c r="G624" s="1">
        <v>1000</v>
      </c>
      <c r="H624">
        <v>45.6</v>
      </c>
      <c r="I624" s="1">
        <v>350</v>
      </c>
      <c r="J624" s="1">
        <v>90</v>
      </c>
      <c r="K624" s="1">
        <v>500</v>
      </c>
      <c r="L624">
        <v>28.5</v>
      </c>
      <c r="M6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19890</v>
      </c>
      <c r="N624" s="1">
        <f>International_Education_Costs[[#This Row],[Total_Cost]]/International_Education_Costs[[#This Row],[Duration_Years]]</f>
        <v>4972.5</v>
      </c>
      <c r="O624" s="1">
        <f>International_Education_Costs[[#This Row],[Rent_USD]] * 12 * International_Education_Costs[[#This Row],[Duration_Years]]</f>
        <v>16800</v>
      </c>
      <c r="P624" s="1">
        <f>International_Education_Costs[[#This Row],[Total_Cost]]-International_Education_Costs[[#This Row],[Tuition_USD]]</f>
        <v>18890</v>
      </c>
      <c r="Q624" s="2">
        <f>International_Education_Costs[[#This Row],[Tuition_USD]]/International_Education_Costs[[#This Row],[Total_Cost]]</f>
        <v>5.0276520864756161E-2</v>
      </c>
    </row>
    <row r="625" spans="1:17" x14ac:dyDescent="0.25">
      <c r="A625" t="s">
        <v>348</v>
      </c>
      <c r="B625" t="s">
        <v>777</v>
      </c>
      <c r="C625" t="s">
        <v>778</v>
      </c>
      <c r="D625" t="s">
        <v>71</v>
      </c>
      <c r="E625" t="s">
        <v>16</v>
      </c>
      <c r="F625">
        <v>2</v>
      </c>
      <c r="G625" s="1">
        <v>0</v>
      </c>
      <c r="H625">
        <v>61.2</v>
      </c>
      <c r="I625" s="1">
        <v>480</v>
      </c>
      <c r="J625" s="1">
        <v>100</v>
      </c>
      <c r="K625" s="1">
        <v>600</v>
      </c>
      <c r="L625">
        <v>0.92</v>
      </c>
      <c r="M6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12820</v>
      </c>
      <c r="N625" s="1">
        <f>International_Education_Costs[[#This Row],[Total_Cost]]/International_Education_Costs[[#This Row],[Duration_Years]]</f>
        <v>6410</v>
      </c>
      <c r="O625" s="1">
        <f>International_Education_Costs[[#This Row],[Rent_USD]] * 12 * International_Education_Costs[[#This Row],[Duration_Years]]</f>
        <v>11520</v>
      </c>
      <c r="P625" s="1">
        <f>International_Education_Costs[[#This Row],[Total_Cost]]-International_Education_Costs[[#This Row],[Tuition_USD]]</f>
        <v>12820</v>
      </c>
      <c r="Q625" s="2">
        <f>International_Education_Costs[[#This Row],[Tuition_USD]]/International_Education_Costs[[#This Row],[Total_Cost]]</f>
        <v>0</v>
      </c>
    </row>
    <row r="626" spans="1:17" x14ac:dyDescent="0.25">
      <c r="A626" t="s">
        <v>84</v>
      </c>
      <c r="B626" t="s">
        <v>846</v>
      </c>
      <c r="C626" t="s">
        <v>847</v>
      </c>
      <c r="D626" t="s">
        <v>15</v>
      </c>
      <c r="E626" t="s">
        <v>122</v>
      </c>
      <c r="F626">
        <v>4</v>
      </c>
      <c r="G626" s="1">
        <v>3700</v>
      </c>
      <c r="H626">
        <v>71.2</v>
      </c>
      <c r="I626" s="1">
        <v>800</v>
      </c>
      <c r="J626" s="1">
        <v>180</v>
      </c>
      <c r="K626" s="1">
        <v>800</v>
      </c>
      <c r="L626">
        <v>0.92</v>
      </c>
      <c r="M6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45480</v>
      </c>
      <c r="N626" s="1">
        <f>International_Education_Costs[[#This Row],[Total_Cost]]/International_Education_Costs[[#This Row],[Duration_Years]]</f>
        <v>11370</v>
      </c>
      <c r="O626" s="1">
        <f>International_Education_Costs[[#This Row],[Rent_USD]] * 12 * International_Education_Costs[[#This Row],[Duration_Years]]</f>
        <v>38400</v>
      </c>
      <c r="P626" s="1">
        <f>International_Education_Costs[[#This Row],[Total_Cost]]-International_Education_Costs[[#This Row],[Tuition_USD]]</f>
        <v>41780</v>
      </c>
      <c r="Q626" s="2">
        <f>International_Education_Costs[[#This Row],[Tuition_USD]]/International_Education_Costs[[#This Row],[Total_Cost]]</f>
        <v>8.1354441512752854E-2</v>
      </c>
    </row>
    <row r="627" spans="1:17" x14ac:dyDescent="0.25">
      <c r="A627" t="s">
        <v>825</v>
      </c>
      <c r="B627" t="s">
        <v>848</v>
      </c>
      <c r="C627" t="s">
        <v>849</v>
      </c>
      <c r="D627" t="s">
        <v>242</v>
      </c>
      <c r="E627" t="s">
        <v>16</v>
      </c>
      <c r="F627">
        <v>2</v>
      </c>
      <c r="G627" s="1">
        <v>5500</v>
      </c>
      <c r="H627">
        <v>46.8</v>
      </c>
      <c r="I627" s="1">
        <v>350</v>
      </c>
      <c r="J627" s="1">
        <v>140</v>
      </c>
      <c r="K627" s="1">
        <v>450</v>
      </c>
      <c r="L627">
        <v>350.25</v>
      </c>
      <c r="M6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14940</v>
      </c>
      <c r="N627" s="1">
        <f>International_Education_Costs[[#This Row],[Total_Cost]]/International_Education_Costs[[#This Row],[Duration_Years]]</f>
        <v>7470</v>
      </c>
      <c r="O627" s="1">
        <f>International_Education_Costs[[#This Row],[Rent_USD]] * 12 * International_Education_Costs[[#This Row],[Duration_Years]]</f>
        <v>8400</v>
      </c>
      <c r="P627" s="1">
        <f>International_Education_Costs[[#This Row],[Total_Cost]]-International_Education_Costs[[#This Row],[Tuition_USD]]</f>
        <v>9440</v>
      </c>
      <c r="Q627" s="2">
        <f>International_Education_Costs[[#This Row],[Tuition_USD]]/International_Education_Costs[[#This Row],[Total_Cost]]</f>
        <v>0.36813922356091033</v>
      </c>
    </row>
    <row r="628" spans="1:17" x14ac:dyDescent="0.25">
      <c r="A628" t="s">
        <v>341</v>
      </c>
      <c r="B628" t="s">
        <v>850</v>
      </c>
      <c r="C628" t="s">
        <v>851</v>
      </c>
      <c r="D628" t="s">
        <v>40</v>
      </c>
      <c r="E628" t="s">
        <v>75</v>
      </c>
      <c r="F628">
        <v>4</v>
      </c>
      <c r="G628" s="1">
        <v>4500</v>
      </c>
      <c r="H628">
        <v>52.3</v>
      </c>
      <c r="I628" s="1">
        <v>380</v>
      </c>
      <c r="J628" s="1">
        <v>160</v>
      </c>
      <c r="K628" s="1">
        <v>400</v>
      </c>
      <c r="L628">
        <v>95.5</v>
      </c>
      <c r="M6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24500</v>
      </c>
      <c r="N628" s="1">
        <f>International_Education_Costs[[#This Row],[Total_Cost]]/International_Education_Costs[[#This Row],[Duration_Years]]</f>
        <v>6125</v>
      </c>
      <c r="O628" s="1">
        <f>International_Education_Costs[[#This Row],[Rent_USD]] * 12 * International_Education_Costs[[#This Row],[Duration_Years]]</f>
        <v>18240</v>
      </c>
      <c r="P628" s="1">
        <f>International_Education_Costs[[#This Row],[Total_Cost]]-International_Education_Costs[[#This Row],[Tuition_USD]]</f>
        <v>20000</v>
      </c>
      <c r="Q628" s="2">
        <f>International_Education_Costs[[#This Row],[Tuition_USD]]/International_Education_Costs[[#This Row],[Total_Cost]]</f>
        <v>0.18367346938775511</v>
      </c>
    </row>
    <row r="629" spans="1:17" x14ac:dyDescent="0.25">
      <c r="A629" t="s">
        <v>338</v>
      </c>
      <c r="B629" t="s">
        <v>852</v>
      </c>
      <c r="C629" t="s">
        <v>853</v>
      </c>
      <c r="D629" t="s">
        <v>15</v>
      </c>
      <c r="E629" t="s">
        <v>16</v>
      </c>
      <c r="F629">
        <v>2</v>
      </c>
      <c r="G629" s="1">
        <v>1100</v>
      </c>
      <c r="H629">
        <v>46.5</v>
      </c>
      <c r="I629" s="1">
        <v>380</v>
      </c>
      <c r="J629" s="1">
        <v>90</v>
      </c>
      <c r="K629" s="1">
        <v>500</v>
      </c>
      <c r="L629">
        <v>28.5</v>
      </c>
      <c r="M6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11310</v>
      </c>
      <c r="N629" s="1">
        <f>International_Education_Costs[[#This Row],[Total_Cost]]/International_Education_Costs[[#This Row],[Duration_Years]]</f>
        <v>5655</v>
      </c>
      <c r="O629" s="1">
        <f>International_Education_Costs[[#This Row],[Rent_USD]] * 12 * International_Education_Costs[[#This Row],[Duration_Years]]</f>
        <v>9120</v>
      </c>
      <c r="P629" s="1">
        <f>International_Education_Costs[[#This Row],[Total_Cost]]-International_Education_Costs[[#This Row],[Tuition_USD]]</f>
        <v>10210</v>
      </c>
      <c r="Q629" s="2">
        <f>International_Education_Costs[[#This Row],[Tuition_USD]]/International_Education_Costs[[#This Row],[Total_Cost]]</f>
        <v>9.7259062776304153E-2</v>
      </c>
    </row>
    <row r="630" spans="1:17" x14ac:dyDescent="0.25">
      <c r="A630" t="s">
        <v>348</v>
      </c>
      <c r="B630" t="s">
        <v>787</v>
      </c>
      <c r="C630" t="s">
        <v>788</v>
      </c>
      <c r="D630" t="s">
        <v>301</v>
      </c>
      <c r="E630" t="s">
        <v>122</v>
      </c>
      <c r="F630">
        <v>4</v>
      </c>
      <c r="G630" s="1">
        <v>0</v>
      </c>
      <c r="H630">
        <v>59.8</v>
      </c>
      <c r="I630" s="1">
        <v>400</v>
      </c>
      <c r="J630" s="1">
        <v>100</v>
      </c>
      <c r="K630" s="1">
        <v>600</v>
      </c>
      <c r="L630">
        <v>0.92</v>
      </c>
      <c r="M6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21700</v>
      </c>
      <c r="N630" s="1">
        <f>International_Education_Costs[[#This Row],[Total_Cost]]/International_Education_Costs[[#This Row],[Duration_Years]]</f>
        <v>5425</v>
      </c>
      <c r="O630" s="1">
        <f>International_Education_Costs[[#This Row],[Rent_USD]] * 12 * International_Education_Costs[[#This Row],[Duration_Years]]</f>
        <v>19200</v>
      </c>
      <c r="P630" s="1">
        <f>International_Education_Costs[[#This Row],[Total_Cost]]-International_Education_Costs[[#This Row],[Tuition_USD]]</f>
        <v>21700</v>
      </c>
      <c r="Q630" s="2">
        <f>International_Education_Costs[[#This Row],[Tuition_USD]]/International_Education_Costs[[#This Row],[Total_Cost]]</f>
        <v>0</v>
      </c>
    </row>
    <row r="631" spans="1:17" x14ac:dyDescent="0.25">
      <c r="A631" t="s">
        <v>84</v>
      </c>
      <c r="B631" t="s">
        <v>854</v>
      </c>
      <c r="C631" t="s">
        <v>855</v>
      </c>
      <c r="D631" t="s">
        <v>252</v>
      </c>
      <c r="E631" t="s">
        <v>16</v>
      </c>
      <c r="F631">
        <v>2</v>
      </c>
      <c r="G631" s="1">
        <v>3500</v>
      </c>
      <c r="H631">
        <v>70.5</v>
      </c>
      <c r="I631" s="1">
        <v>780</v>
      </c>
      <c r="J631" s="1">
        <v>180</v>
      </c>
      <c r="K631" s="1">
        <v>800</v>
      </c>
      <c r="L631">
        <v>0.92</v>
      </c>
      <c r="M6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24000</v>
      </c>
      <c r="N631" s="1">
        <f>International_Education_Costs[[#This Row],[Total_Cost]]/International_Education_Costs[[#This Row],[Duration_Years]]</f>
        <v>12000</v>
      </c>
      <c r="O631" s="1">
        <f>International_Education_Costs[[#This Row],[Rent_USD]] * 12 * International_Education_Costs[[#This Row],[Duration_Years]]</f>
        <v>18720</v>
      </c>
      <c r="P631" s="1">
        <f>International_Education_Costs[[#This Row],[Total_Cost]]-International_Education_Costs[[#This Row],[Tuition_USD]]</f>
        <v>20500</v>
      </c>
      <c r="Q631" s="2">
        <f>International_Education_Costs[[#This Row],[Tuition_USD]]/International_Education_Costs[[#This Row],[Total_Cost]]</f>
        <v>0.14583333333333334</v>
      </c>
    </row>
    <row r="632" spans="1:17" x14ac:dyDescent="0.25">
      <c r="A632" t="s">
        <v>825</v>
      </c>
      <c r="B632" t="s">
        <v>856</v>
      </c>
      <c r="C632" t="s">
        <v>857</v>
      </c>
      <c r="D632" t="s">
        <v>137</v>
      </c>
      <c r="E632" t="s">
        <v>75</v>
      </c>
      <c r="F632">
        <v>3</v>
      </c>
      <c r="G632" s="1">
        <v>5200</v>
      </c>
      <c r="H632">
        <v>45.6</v>
      </c>
      <c r="I632" s="1">
        <v>320</v>
      </c>
      <c r="J632" s="1">
        <v>140</v>
      </c>
      <c r="K632" s="1">
        <v>450</v>
      </c>
      <c r="L632">
        <v>350.25</v>
      </c>
      <c r="M6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18210</v>
      </c>
      <c r="N632" s="1">
        <f>International_Education_Costs[[#This Row],[Total_Cost]]/International_Education_Costs[[#This Row],[Duration_Years]]</f>
        <v>6070</v>
      </c>
      <c r="O632" s="1">
        <f>International_Education_Costs[[#This Row],[Rent_USD]] * 12 * International_Education_Costs[[#This Row],[Duration_Years]]</f>
        <v>11520</v>
      </c>
      <c r="P632" s="1">
        <f>International_Education_Costs[[#This Row],[Total_Cost]]-International_Education_Costs[[#This Row],[Tuition_USD]]</f>
        <v>13010</v>
      </c>
      <c r="Q632" s="2">
        <f>International_Education_Costs[[#This Row],[Tuition_USD]]/International_Education_Costs[[#This Row],[Total_Cost]]</f>
        <v>0.28555738605162001</v>
      </c>
    </row>
    <row r="633" spans="1:17" x14ac:dyDescent="0.25">
      <c r="A633" t="s">
        <v>341</v>
      </c>
      <c r="B633" t="s">
        <v>858</v>
      </c>
      <c r="C633" t="s">
        <v>859</v>
      </c>
      <c r="D633" t="s">
        <v>208</v>
      </c>
      <c r="E633" t="s">
        <v>16</v>
      </c>
      <c r="F633">
        <v>2</v>
      </c>
      <c r="G633" s="1">
        <v>4600</v>
      </c>
      <c r="H633">
        <v>51.2</v>
      </c>
      <c r="I633" s="1">
        <v>350</v>
      </c>
      <c r="J633" s="1">
        <v>160</v>
      </c>
      <c r="K633" s="1">
        <v>400</v>
      </c>
      <c r="L633">
        <v>95.5</v>
      </c>
      <c r="M6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13960</v>
      </c>
      <c r="N633" s="1">
        <f>International_Education_Costs[[#This Row],[Total_Cost]]/International_Education_Costs[[#This Row],[Duration_Years]]</f>
        <v>6980</v>
      </c>
      <c r="O633" s="1">
        <f>International_Education_Costs[[#This Row],[Rent_USD]] * 12 * International_Education_Costs[[#This Row],[Duration_Years]]</f>
        <v>8400</v>
      </c>
      <c r="P633" s="1">
        <f>International_Education_Costs[[#This Row],[Total_Cost]]-International_Education_Costs[[#This Row],[Tuition_USD]]</f>
        <v>9360</v>
      </c>
      <c r="Q633" s="2">
        <f>International_Education_Costs[[#This Row],[Tuition_USD]]/International_Education_Costs[[#This Row],[Total_Cost]]</f>
        <v>0.32951289398280803</v>
      </c>
    </row>
    <row r="634" spans="1:17" x14ac:dyDescent="0.25">
      <c r="A634" t="s">
        <v>338</v>
      </c>
      <c r="B634" t="s">
        <v>860</v>
      </c>
      <c r="C634" t="s">
        <v>861</v>
      </c>
      <c r="D634" t="s">
        <v>20</v>
      </c>
      <c r="E634" t="s">
        <v>122</v>
      </c>
      <c r="F634">
        <v>4</v>
      </c>
      <c r="G634" s="1">
        <v>1400</v>
      </c>
      <c r="H634">
        <v>47.8</v>
      </c>
      <c r="I634" s="1">
        <v>420</v>
      </c>
      <c r="J634" s="1">
        <v>90</v>
      </c>
      <c r="K634" s="1">
        <v>500</v>
      </c>
      <c r="L634">
        <v>28.5</v>
      </c>
      <c r="M6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23650</v>
      </c>
      <c r="N634" s="1">
        <f>International_Education_Costs[[#This Row],[Total_Cost]]/International_Education_Costs[[#This Row],[Duration_Years]]</f>
        <v>5912.5</v>
      </c>
      <c r="O634" s="1">
        <f>International_Education_Costs[[#This Row],[Rent_USD]] * 12 * International_Education_Costs[[#This Row],[Duration_Years]]</f>
        <v>20160</v>
      </c>
      <c r="P634" s="1">
        <f>International_Education_Costs[[#This Row],[Total_Cost]]-International_Education_Costs[[#This Row],[Tuition_USD]]</f>
        <v>22250</v>
      </c>
      <c r="Q634" s="2">
        <f>International_Education_Costs[[#This Row],[Tuition_USD]]/International_Education_Costs[[#This Row],[Total_Cost]]</f>
        <v>5.9196617336152217E-2</v>
      </c>
    </row>
    <row r="635" spans="1:17" x14ac:dyDescent="0.25">
      <c r="A635" t="s">
        <v>348</v>
      </c>
      <c r="B635" t="s">
        <v>862</v>
      </c>
      <c r="C635" t="s">
        <v>863</v>
      </c>
      <c r="D635" t="s">
        <v>223</v>
      </c>
      <c r="E635" t="s">
        <v>16</v>
      </c>
      <c r="F635">
        <v>2</v>
      </c>
      <c r="G635" s="1">
        <v>0</v>
      </c>
      <c r="H635">
        <v>63.4</v>
      </c>
      <c r="I635" s="1">
        <v>550</v>
      </c>
      <c r="J635" s="1">
        <v>100</v>
      </c>
      <c r="K635" s="1">
        <v>600</v>
      </c>
      <c r="L635">
        <v>0.92</v>
      </c>
      <c r="M6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14500</v>
      </c>
      <c r="N635" s="1">
        <f>International_Education_Costs[[#This Row],[Total_Cost]]/International_Education_Costs[[#This Row],[Duration_Years]]</f>
        <v>7250</v>
      </c>
      <c r="O635" s="1">
        <f>International_Education_Costs[[#This Row],[Rent_USD]] * 12 * International_Education_Costs[[#This Row],[Duration_Years]]</f>
        <v>13200</v>
      </c>
      <c r="P635" s="1">
        <f>International_Education_Costs[[#This Row],[Total_Cost]]-International_Education_Costs[[#This Row],[Tuition_USD]]</f>
        <v>14500</v>
      </c>
      <c r="Q635" s="2">
        <f>International_Education_Costs[[#This Row],[Tuition_USD]]/International_Education_Costs[[#This Row],[Total_Cost]]</f>
        <v>0</v>
      </c>
    </row>
    <row r="636" spans="1:17" x14ac:dyDescent="0.25">
      <c r="A636" t="s">
        <v>84</v>
      </c>
      <c r="B636" t="s">
        <v>864</v>
      </c>
      <c r="C636" t="s">
        <v>865</v>
      </c>
      <c r="D636" t="s">
        <v>40</v>
      </c>
      <c r="E636" t="s">
        <v>75</v>
      </c>
      <c r="F636">
        <v>3</v>
      </c>
      <c r="G636" s="1">
        <v>3400</v>
      </c>
      <c r="H636">
        <v>69.8</v>
      </c>
      <c r="I636" s="1">
        <v>750</v>
      </c>
      <c r="J636" s="1">
        <v>180</v>
      </c>
      <c r="K636" s="1">
        <v>800</v>
      </c>
      <c r="L636">
        <v>0.92</v>
      </c>
      <c r="M6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32980</v>
      </c>
      <c r="N636" s="1">
        <f>International_Education_Costs[[#This Row],[Total_Cost]]/International_Education_Costs[[#This Row],[Duration_Years]]</f>
        <v>10993.333333333334</v>
      </c>
      <c r="O636" s="1">
        <f>International_Education_Costs[[#This Row],[Rent_USD]] * 12 * International_Education_Costs[[#This Row],[Duration_Years]]</f>
        <v>27000</v>
      </c>
      <c r="P636" s="1">
        <f>International_Education_Costs[[#This Row],[Total_Cost]]-International_Education_Costs[[#This Row],[Tuition_USD]]</f>
        <v>29580</v>
      </c>
      <c r="Q636" s="2">
        <f>International_Education_Costs[[#This Row],[Tuition_USD]]/International_Education_Costs[[#This Row],[Total_Cost]]</f>
        <v>0.10309278350515463</v>
      </c>
    </row>
    <row r="637" spans="1:17" x14ac:dyDescent="0.25">
      <c r="A637" t="s">
        <v>825</v>
      </c>
      <c r="B637" t="s">
        <v>866</v>
      </c>
      <c r="C637" t="s">
        <v>867</v>
      </c>
      <c r="D637" t="s">
        <v>63</v>
      </c>
      <c r="E637" t="s">
        <v>16</v>
      </c>
      <c r="F637">
        <v>2</v>
      </c>
      <c r="G637" s="1">
        <v>5300</v>
      </c>
      <c r="H637">
        <v>44.5</v>
      </c>
      <c r="I637" s="1">
        <v>300</v>
      </c>
      <c r="J637" s="1">
        <v>140</v>
      </c>
      <c r="K637" s="1">
        <v>450</v>
      </c>
      <c r="L637">
        <v>350.25</v>
      </c>
      <c r="M6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13540</v>
      </c>
      <c r="N637" s="1">
        <f>International_Education_Costs[[#This Row],[Total_Cost]]/International_Education_Costs[[#This Row],[Duration_Years]]</f>
        <v>6770</v>
      </c>
      <c r="O637" s="1">
        <f>International_Education_Costs[[#This Row],[Rent_USD]] * 12 * International_Education_Costs[[#This Row],[Duration_Years]]</f>
        <v>7200</v>
      </c>
      <c r="P637" s="1">
        <f>International_Education_Costs[[#This Row],[Total_Cost]]-International_Education_Costs[[#This Row],[Tuition_USD]]</f>
        <v>8240</v>
      </c>
      <c r="Q637" s="2">
        <f>International_Education_Costs[[#This Row],[Tuition_USD]]/International_Education_Costs[[#This Row],[Total_Cost]]</f>
        <v>0.39143279172821271</v>
      </c>
    </row>
    <row r="638" spans="1:17" x14ac:dyDescent="0.25">
      <c r="A638" t="s">
        <v>341</v>
      </c>
      <c r="B638" t="s">
        <v>868</v>
      </c>
      <c r="C638" t="s">
        <v>869</v>
      </c>
      <c r="D638" t="s">
        <v>71</v>
      </c>
      <c r="E638" t="s">
        <v>122</v>
      </c>
      <c r="F638">
        <v>4</v>
      </c>
      <c r="G638" s="1">
        <v>4700</v>
      </c>
      <c r="H638">
        <v>53.4</v>
      </c>
      <c r="I638" s="1">
        <v>400</v>
      </c>
      <c r="J638" s="1">
        <v>160</v>
      </c>
      <c r="K638" s="1">
        <v>400</v>
      </c>
      <c r="L638">
        <v>95.5</v>
      </c>
      <c r="M6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25660</v>
      </c>
      <c r="N638" s="1">
        <f>International_Education_Costs[[#This Row],[Total_Cost]]/International_Education_Costs[[#This Row],[Duration_Years]]</f>
        <v>6415</v>
      </c>
      <c r="O638" s="1">
        <f>International_Education_Costs[[#This Row],[Rent_USD]] * 12 * International_Education_Costs[[#This Row],[Duration_Years]]</f>
        <v>19200</v>
      </c>
      <c r="P638" s="1">
        <f>International_Education_Costs[[#This Row],[Total_Cost]]-International_Education_Costs[[#This Row],[Tuition_USD]]</f>
        <v>20960</v>
      </c>
      <c r="Q638" s="2">
        <f>International_Education_Costs[[#This Row],[Tuition_USD]]/International_Education_Costs[[#This Row],[Total_Cost]]</f>
        <v>0.18316445830085737</v>
      </c>
    </row>
    <row r="639" spans="1:17" x14ac:dyDescent="0.25">
      <c r="A639" t="s">
        <v>338</v>
      </c>
      <c r="B639" t="s">
        <v>870</v>
      </c>
      <c r="C639" t="s">
        <v>871</v>
      </c>
      <c r="D639" t="s">
        <v>208</v>
      </c>
      <c r="E639" t="s">
        <v>16</v>
      </c>
      <c r="F639">
        <v>2</v>
      </c>
      <c r="G639" s="1">
        <v>1200</v>
      </c>
      <c r="H639">
        <v>45.2</v>
      </c>
      <c r="I639" s="1">
        <v>350</v>
      </c>
      <c r="J639" s="1">
        <v>90</v>
      </c>
      <c r="K639" s="1">
        <v>500</v>
      </c>
      <c r="L639">
        <v>28.5</v>
      </c>
      <c r="M6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10690</v>
      </c>
      <c r="N639" s="1">
        <f>International_Education_Costs[[#This Row],[Total_Cost]]/International_Education_Costs[[#This Row],[Duration_Years]]</f>
        <v>5345</v>
      </c>
      <c r="O639" s="1">
        <f>International_Education_Costs[[#This Row],[Rent_USD]] * 12 * International_Education_Costs[[#This Row],[Duration_Years]]</f>
        <v>8400</v>
      </c>
      <c r="P639" s="1">
        <f>International_Education_Costs[[#This Row],[Total_Cost]]-International_Education_Costs[[#This Row],[Tuition_USD]]</f>
        <v>9490</v>
      </c>
      <c r="Q639" s="2">
        <f>International_Education_Costs[[#This Row],[Tuition_USD]]/International_Education_Costs[[#This Row],[Total_Cost]]</f>
        <v>0.11225444340505145</v>
      </c>
    </row>
    <row r="640" spans="1:17" x14ac:dyDescent="0.25">
      <c r="A640" t="s">
        <v>348</v>
      </c>
      <c r="B640" t="s">
        <v>872</v>
      </c>
      <c r="C640" t="s">
        <v>873</v>
      </c>
      <c r="D640" t="s">
        <v>63</v>
      </c>
      <c r="E640" t="s">
        <v>75</v>
      </c>
      <c r="F640">
        <v>4</v>
      </c>
      <c r="G640" s="1">
        <v>0</v>
      </c>
      <c r="H640">
        <v>58.7</v>
      </c>
      <c r="I640" s="1">
        <v>380</v>
      </c>
      <c r="J640" s="1">
        <v>100</v>
      </c>
      <c r="K640" s="1">
        <v>600</v>
      </c>
      <c r="L640">
        <v>0.92</v>
      </c>
      <c r="M6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20740</v>
      </c>
      <c r="N640" s="1">
        <f>International_Education_Costs[[#This Row],[Total_Cost]]/International_Education_Costs[[#This Row],[Duration_Years]]</f>
        <v>5185</v>
      </c>
      <c r="O640" s="1">
        <f>International_Education_Costs[[#This Row],[Rent_USD]] * 12 * International_Education_Costs[[#This Row],[Duration_Years]]</f>
        <v>18240</v>
      </c>
      <c r="P640" s="1">
        <f>International_Education_Costs[[#This Row],[Total_Cost]]-International_Education_Costs[[#This Row],[Tuition_USD]]</f>
        <v>20740</v>
      </c>
      <c r="Q640" s="2">
        <f>International_Education_Costs[[#This Row],[Tuition_USD]]/International_Education_Costs[[#This Row],[Total_Cost]]</f>
        <v>0</v>
      </c>
    </row>
    <row r="641" spans="1:17" x14ac:dyDescent="0.25">
      <c r="A641" t="s">
        <v>84</v>
      </c>
      <c r="B641" t="s">
        <v>874</v>
      </c>
      <c r="C641" t="s">
        <v>875</v>
      </c>
      <c r="D641" t="s">
        <v>20</v>
      </c>
      <c r="E641" t="s">
        <v>122</v>
      </c>
      <c r="F641">
        <v>4</v>
      </c>
      <c r="G641" s="1">
        <v>3600</v>
      </c>
      <c r="H641">
        <v>68.900000000000006</v>
      </c>
      <c r="I641" s="1">
        <v>720</v>
      </c>
      <c r="J641" s="1">
        <v>180</v>
      </c>
      <c r="K641" s="1">
        <v>800</v>
      </c>
      <c r="L641">
        <v>0.92</v>
      </c>
      <c r="M6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41540</v>
      </c>
      <c r="N641" s="1">
        <f>International_Education_Costs[[#This Row],[Total_Cost]]/International_Education_Costs[[#This Row],[Duration_Years]]</f>
        <v>10385</v>
      </c>
      <c r="O641" s="1">
        <f>International_Education_Costs[[#This Row],[Rent_USD]] * 12 * International_Education_Costs[[#This Row],[Duration_Years]]</f>
        <v>34560</v>
      </c>
      <c r="P641" s="1">
        <f>International_Education_Costs[[#This Row],[Total_Cost]]-International_Education_Costs[[#This Row],[Tuition_USD]]</f>
        <v>37940</v>
      </c>
      <c r="Q641" s="2">
        <f>International_Education_Costs[[#This Row],[Tuition_USD]]/International_Education_Costs[[#This Row],[Total_Cost]]</f>
        <v>8.6663456909003372E-2</v>
      </c>
    </row>
    <row r="642" spans="1:17" x14ac:dyDescent="0.25">
      <c r="A642" t="s">
        <v>825</v>
      </c>
      <c r="B642" t="s">
        <v>876</v>
      </c>
      <c r="C642" t="s">
        <v>877</v>
      </c>
      <c r="D642" t="s">
        <v>216</v>
      </c>
      <c r="E642" t="s">
        <v>16</v>
      </c>
      <c r="F642">
        <v>2</v>
      </c>
      <c r="G642" s="1">
        <v>5100</v>
      </c>
      <c r="H642">
        <v>44.8</v>
      </c>
      <c r="I642" s="1">
        <v>310</v>
      </c>
      <c r="J642" s="1">
        <v>140</v>
      </c>
      <c r="K642" s="1">
        <v>450</v>
      </c>
      <c r="L642">
        <v>350.25</v>
      </c>
      <c r="M6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13580</v>
      </c>
      <c r="N642" s="1">
        <f>International_Education_Costs[[#This Row],[Total_Cost]]/International_Education_Costs[[#This Row],[Duration_Years]]</f>
        <v>6790</v>
      </c>
      <c r="O642" s="1">
        <f>International_Education_Costs[[#This Row],[Rent_USD]] * 12 * International_Education_Costs[[#This Row],[Duration_Years]]</f>
        <v>7440</v>
      </c>
      <c r="P642" s="1">
        <f>International_Education_Costs[[#This Row],[Total_Cost]]-International_Education_Costs[[#This Row],[Tuition_USD]]</f>
        <v>8480</v>
      </c>
      <c r="Q642" s="2">
        <f>International_Education_Costs[[#This Row],[Tuition_USD]]/International_Education_Costs[[#This Row],[Total_Cost]]</f>
        <v>0.37555228276877761</v>
      </c>
    </row>
    <row r="643" spans="1:17" x14ac:dyDescent="0.25">
      <c r="A643" t="s">
        <v>341</v>
      </c>
      <c r="B643" t="s">
        <v>878</v>
      </c>
      <c r="C643" t="s">
        <v>879</v>
      </c>
      <c r="D643" t="s">
        <v>15</v>
      </c>
      <c r="E643" t="s">
        <v>16</v>
      </c>
      <c r="F643">
        <v>2</v>
      </c>
      <c r="G643" s="1">
        <v>4400</v>
      </c>
      <c r="H643">
        <v>50.5</v>
      </c>
      <c r="I643" s="1">
        <v>370</v>
      </c>
      <c r="J643" s="1">
        <v>160</v>
      </c>
      <c r="K643" s="1">
        <v>400</v>
      </c>
      <c r="L643">
        <v>95.5</v>
      </c>
      <c r="M6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14240</v>
      </c>
      <c r="N643" s="1">
        <f>International_Education_Costs[[#This Row],[Total_Cost]]/International_Education_Costs[[#This Row],[Duration_Years]]</f>
        <v>7120</v>
      </c>
      <c r="O643" s="1">
        <f>International_Education_Costs[[#This Row],[Rent_USD]] * 12 * International_Education_Costs[[#This Row],[Duration_Years]]</f>
        <v>8880</v>
      </c>
      <c r="P643" s="1">
        <f>International_Education_Costs[[#This Row],[Total_Cost]]-International_Education_Costs[[#This Row],[Tuition_USD]]</f>
        <v>9840</v>
      </c>
      <c r="Q643" s="2">
        <f>International_Education_Costs[[#This Row],[Tuition_USD]]/International_Education_Costs[[#This Row],[Total_Cost]]</f>
        <v>0.3089887640449438</v>
      </c>
    </row>
    <row r="644" spans="1:17" x14ac:dyDescent="0.25">
      <c r="A644" t="s">
        <v>338</v>
      </c>
      <c r="B644" t="s">
        <v>880</v>
      </c>
      <c r="C644" t="s">
        <v>881</v>
      </c>
      <c r="D644" t="s">
        <v>40</v>
      </c>
      <c r="E644" t="s">
        <v>75</v>
      </c>
      <c r="F644">
        <v>4</v>
      </c>
      <c r="G644" s="1">
        <v>1000</v>
      </c>
      <c r="H644">
        <v>44.5</v>
      </c>
      <c r="I644" s="1">
        <v>330</v>
      </c>
      <c r="J644" s="1">
        <v>90</v>
      </c>
      <c r="K644" s="1">
        <v>500</v>
      </c>
      <c r="L644">
        <v>28.5</v>
      </c>
      <c r="M6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18930</v>
      </c>
      <c r="N644" s="1">
        <f>International_Education_Costs[[#This Row],[Total_Cost]]/International_Education_Costs[[#This Row],[Duration_Years]]</f>
        <v>4732.5</v>
      </c>
      <c r="O644" s="1">
        <f>International_Education_Costs[[#This Row],[Rent_USD]] * 12 * International_Education_Costs[[#This Row],[Duration_Years]]</f>
        <v>15840</v>
      </c>
      <c r="P644" s="1">
        <f>International_Education_Costs[[#This Row],[Total_Cost]]-International_Education_Costs[[#This Row],[Tuition_USD]]</f>
        <v>17930</v>
      </c>
      <c r="Q644" s="2">
        <f>International_Education_Costs[[#This Row],[Tuition_USD]]/International_Education_Costs[[#This Row],[Total_Cost]]</f>
        <v>5.2826201796090863E-2</v>
      </c>
    </row>
    <row r="645" spans="1:17" x14ac:dyDescent="0.25">
      <c r="A645" t="s">
        <v>348</v>
      </c>
      <c r="B645" t="s">
        <v>882</v>
      </c>
      <c r="C645" t="s">
        <v>808</v>
      </c>
      <c r="D645" t="s">
        <v>430</v>
      </c>
      <c r="E645" t="s">
        <v>16</v>
      </c>
      <c r="F645">
        <v>2</v>
      </c>
      <c r="G645" s="1">
        <v>0</v>
      </c>
      <c r="H645">
        <v>59.2</v>
      </c>
      <c r="I645" s="1">
        <v>400</v>
      </c>
      <c r="J645" s="1">
        <v>100</v>
      </c>
      <c r="K645" s="1">
        <v>600</v>
      </c>
      <c r="L645">
        <v>0.92</v>
      </c>
      <c r="M6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10900</v>
      </c>
      <c r="N645" s="1">
        <f>International_Education_Costs[[#This Row],[Total_Cost]]/International_Education_Costs[[#This Row],[Duration_Years]]</f>
        <v>5450</v>
      </c>
      <c r="O645" s="1">
        <f>International_Education_Costs[[#This Row],[Rent_USD]] * 12 * International_Education_Costs[[#This Row],[Duration_Years]]</f>
        <v>9600</v>
      </c>
      <c r="P645" s="1">
        <f>International_Education_Costs[[#This Row],[Total_Cost]]-International_Education_Costs[[#This Row],[Tuition_USD]]</f>
        <v>10900</v>
      </c>
      <c r="Q645" s="2">
        <f>International_Education_Costs[[#This Row],[Tuition_USD]]/International_Education_Costs[[#This Row],[Total_Cost]]</f>
        <v>0</v>
      </c>
    </row>
    <row r="646" spans="1:17" x14ac:dyDescent="0.25">
      <c r="A646" t="s">
        <v>84</v>
      </c>
      <c r="B646" t="s">
        <v>883</v>
      </c>
      <c r="C646" t="s">
        <v>884</v>
      </c>
      <c r="D646" t="s">
        <v>63</v>
      </c>
      <c r="E646" t="s">
        <v>16</v>
      </c>
      <c r="F646">
        <v>2</v>
      </c>
      <c r="G646" s="1">
        <v>3500</v>
      </c>
      <c r="H646">
        <v>67.8</v>
      </c>
      <c r="I646" s="1">
        <v>700</v>
      </c>
      <c r="J646" s="1">
        <v>180</v>
      </c>
      <c r="K646" s="1">
        <v>800</v>
      </c>
      <c r="L646">
        <v>0.92</v>
      </c>
      <c r="M6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22080</v>
      </c>
      <c r="N646" s="1">
        <f>International_Education_Costs[[#This Row],[Total_Cost]]/International_Education_Costs[[#This Row],[Duration_Years]]</f>
        <v>11040</v>
      </c>
      <c r="O646" s="1">
        <f>International_Education_Costs[[#This Row],[Rent_USD]] * 12 * International_Education_Costs[[#This Row],[Duration_Years]]</f>
        <v>16800</v>
      </c>
      <c r="P646" s="1">
        <f>International_Education_Costs[[#This Row],[Total_Cost]]-International_Education_Costs[[#This Row],[Tuition_USD]]</f>
        <v>18580</v>
      </c>
      <c r="Q646" s="2">
        <f>International_Education_Costs[[#This Row],[Tuition_USD]]/International_Education_Costs[[#This Row],[Total_Cost]]</f>
        <v>0.1585144927536232</v>
      </c>
    </row>
    <row r="647" spans="1:17" x14ac:dyDescent="0.25">
      <c r="A647" t="s">
        <v>825</v>
      </c>
      <c r="B647" t="s">
        <v>885</v>
      </c>
      <c r="C647" t="s">
        <v>886</v>
      </c>
      <c r="D647" t="s">
        <v>71</v>
      </c>
      <c r="E647" t="s">
        <v>122</v>
      </c>
      <c r="F647">
        <v>4</v>
      </c>
      <c r="G647" s="1">
        <v>5400</v>
      </c>
      <c r="H647">
        <v>43.9</v>
      </c>
      <c r="I647" s="1">
        <v>290</v>
      </c>
      <c r="J647" s="1">
        <v>140</v>
      </c>
      <c r="K647" s="1">
        <v>450</v>
      </c>
      <c r="L647">
        <v>350.25</v>
      </c>
      <c r="M6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21260</v>
      </c>
      <c r="N647" s="1">
        <f>International_Education_Costs[[#This Row],[Total_Cost]]/International_Education_Costs[[#This Row],[Duration_Years]]</f>
        <v>5315</v>
      </c>
      <c r="O647" s="1">
        <f>International_Education_Costs[[#This Row],[Rent_USD]] * 12 * International_Education_Costs[[#This Row],[Duration_Years]]</f>
        <v>13920</v>
      </c>
      <c r="P647" s="1">
        <f>International_Education_Costs[[#This Row],[Total_Cost]]-International_Education_Costs[[#This Row],[Tuition_USD]]</f>
        <v>15860</v>
      </c>
      <c r="Q647" s="2">
        <f>International_Education_Costs[[#This Row],[Tuition_USD]]/International_Education_Costs[[#This Row],[Total_Cost]]</f>
        <v>0.2539981185324553</v>
      </c>
    </row>
    <row r="648" spans="1:17" x14ac:dyDescent="0.25">
      <c r="A648" t="s">
        <v>341</v>
      </c>
      <c r="B648" t="s">
        <v>887</v>
      </c>
      <c r="C648" t="s">
        <v>888</v>
      </c>
      <c r="D648" t="s">
        <v>223</v>
      </c>
      <c r="E648" t="s">
        <v>75</v>
      </c>
      <c r="F648">
        <v>4</v>
      </c>
      <c r="G648" s="1">
        <v>4200</v>
      </c>
      <c r="H648">
        <v>49.8</v>
      </c>
      <c r="I648" s="1">
        <v>350</v>
      </c>
      <c r="J648" s="1">
        <v>160</v>
      </c>
      <c r="K648" s="1">
        <v>400</v>
      </c>
      <c r="L648">
        <v>95.5</v>
      </c>
      <c r="M6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22760</v>
      </c>
      <c r="N648" s="1">
        <f>International_Education_Costs[[#This Row],[Total_Cost]]/International_Education_Costs[[#This Row],[Duration_Years]]</f>
        <v>5690</v>
      </c>
      <c r="O648" s="1">
        <f>International_Education_Costs[[#This Row],[Rent_USD]] * 12 * International_Education_Costs[[#This Row],[Duration_Years]]</f>
        <v>16800</v>
      </c>
      <c r="P648" s="1">
        <f>International_Education_Costs[[#This Row],[Total_Cost]]-International_Education_Costs[[#This Row],[Tuition_USD]]</f>
        <v>18560</v>
      </c>
      <c r="Q648" s="2">
        <f>International_Education_Costs[[#This Row],[Tuition_USD]]/International_Education_Costs[[#This Row],[Total_Cost]]</f>
        <v>0.18453427065026362</v>
      </c>
    </row>
    <row r="649" spans="1:17" x14ac:dyDescent="0.25">
      <c r="A649" t="s">
        <v>335</v>
      </c>
      <c r="B649" t="s">
        <v>336</v>
      </c>
      <c r="C649" t="s">
        <v>337</v>
      </c>
      <c r="D649" t="s">
        <v>15</v>
      </c>
      <c r="E649" t="s">
        <v>16</v>
      </c>
      <c r="F649">
        <v>2</v>
      </c>
      <c r="G649" s="1">
        <v>0</v>
      </c>
      <c r="H649">
        <v>55.8</v>
      </c>
      <c r="I649" s="1">
        <v>600</v>
      </c>
      <c r="J649" s="1">
        <v>90</v>
      </c>
      <c r="K649" s="1">
        <v>400</v>
      </c>
      <c r="L649">
        <v>4.95</v>
      </c>
      <c r="M6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15290</v>
      </c>
      <c r="N649" s="1">
        <f>International_Education_Costs[[#This Row],[Total_Cost]]/International_Education_Costs[[#This Row],[Duration_Years]]</f>
        <v>7645</v>
      </c>
      <c r="O649" s="1">
        <f>International_Education_Costs[[#This Row],[Rent_USD]] * 12 * International_Education_Costs[[#This Row],[Duration_Years]]</f>
        <v>14400</v>
      </c>
      <c r="P649" s="1">
        <f>International_Education_Costs[[#This Row],[Total_Cost]]-International_Education_Costs[[#This Row],[Tuition_USD]]</f>
        <v>15290</v>
      </c>
      <c r="Q649" s="2">
        <f>International_Education_Costs[[#This Row],[Tuition_USD]]/International_Education_Costs[[#This Row],[Total_Cost]]</f>
        <v>0</v>
      </c>
    </row>
    <row r="650" spans="1:17" x14ac:dyDescent="0.25">
      <c r="A650" t="s">
        <v>156</v>
      </c>
      <c r="B650" t="s">
        <v>157</v>
      </c>
      <c r="C650" t="s">
        <v>158</v>
      </c>
      <c r="D650" t="s">
        <v>20</v>
      </c>
      <c r="E650" t="s">
        <v>122</v>
      </c>
      <c r="F650">
        <v>4</v>
      </c>
      <c r="G650" s="1">
        <v>2000</v>
      </c>
      <c r="H650">
        <v>45.2</v>
      </c>
      <c r="I650" s="1">
        <v>300</v>
      </c>
      <c r="J650" s="1">
        <v>180</v>
      </c>
      <c r="K650" s="1">
        <v>300</v>
      </c>
      <c r="L650">
        <v>82.75</v>
      </c>
      <c r="M6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17780</v>
      </c>
      <c r="N650" s="1">
        <f>International_Education_Costs[[#This Row],[Total_Cost]]/International_Education_Costs[[#This Row],[Duration_Years]]</f>
        <v>4445</v>
      </c>
      <c r="O650" s="1">
        <f>International_Education_Costs[[#This Row],[Rent_USD]] * 12 * International_Education_Costs[[#This Row],[Duration_Years]]</f>
        <v>14400</v>
      </c>
      <c r="P650" s="1">
        <f>International_Education_Costs[[#This Row],[Total_Cost]]-International_Education_Costs[[#This Row],[Tuition_USD]]</f>
        <v>15780</v>
      </c>
      <c r="Q650" s="2">
        <f>International_Education_Costs[[#This Row],[Tuition_USD]]/International_Education_Costs[[#This Row],[Total_Cost]]</f>
        <v>0.1124859392575928</v>
      </c>
    </row>
    <row r="651" spans="1:17" x14ac:dyDescent="0.25">
      <c r="A651" t="s">
        <v>351</v>
      </c>
      <c r="B651" t="s">
        <v>352</v>
      </c>
      <c r="C651" t="s">
        <v>353</v>
      </c>
      <c r="D651" t="s">
        <v>208</v>
      </c>
      <c r="E651" t="s">
        <v>16</v>
      </c>
      <c r="F651">
        <v>2</v>
      </c>
      <c r="G651" s="1">
        <v>15000</v>
      </c>
      <c r="H651">
        <v>51.4</v>
      </c>
      <c r="I651" s="1">
        <v>500</v>
      </c>
      <c r="J651" s="1">
        <v>80</v>
      </c>
      <c r="K651" s="1">
        <v>350</v>
      </c>
      <c r="L651">
        <v>35.25</v>
      </c>
      <c r="M6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27780</v>
      </c>
      <c r="N651" s="1">
        <f>International_Education_Costs[[#This Row],[Total_Cost]]/International_Education_Costs[[#This Row],[Duration_Years]]</f>
        <v>13890</v>
      </c>
      <c r="O651" s="1">
        <f>International_Education_Costs[[#This Row],[Rent_USD]] * 12 * International_Education_Costs[[#This Row],[Duration_Years]]</f>
        <v>12000</v>
      </c>
      <c r="P651" s="1">
        <f>International_Education_Costs[[#This Row],[Total_Cost]]-International_Education_Costs[[#This Row],[Tuition_USD]]</f>
        <v>12780</v>
      </c>
      <c r="Q651" s="2">
        <f>International_Education_Costs[[#This Row],[Tuition_USD]]/International_Education_Costs[[#This Row],[Total_Cost]]</f>
        <v>0.5399568034557235</v>
      </c>
    </row>
    <row r="652" spans="1:17" x14ac:dyDescent="0.25">
      <c r="A652" t="s">
        <v>366</v>
      </c>
      <c r="B652" t="s">
        <v>367</v>
      </c>
      <c r="C652" t="s">
        <v>889</v>
      </c>
      <c r="D652" t="s">
        <v>63</v>
      </c>
      <c r="E652" t="s">
        <v>75</v>
      </c>
      <c r="F652">
        <v>4</v>
      </c>
      <c r="G652" s="1">
        <v>2500</v>
      </c>
      <c r="H652">
        <v>31.8</v>
      </c>
      <c r="I652" s="1">
        <v>250</v>
      </c>
      <c r="J652" s="1">
        <v>100</v>
      </c>
      <c r="K652" s="1">
        <v>200</v>
      </c>
      <c r="L652">
        <v>30.9</v>
      </c>
      <c r="M6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15400</v>
      </c>
      <c r="N652" s="1">
        <f>International_Education_Costs[[#This Row],[Total_Cost]]/International_Education_Costs[[#This Row],[Duration_Years]]</f>
        <v>3850</v>
      </c>
      <c r="O652" s="1">
        <f>International_Education_Costs[[#This Row],[Rent_USD]] * 12 * International_Education_Costs[[#This Row],[Duration_Years]]</f>
        <v>12000</v>
      </c>
      <c r="P652" s="1">
        <f>International_Education_Costs[[#This Row],[Total_Cost]]-International_Education_Costs[[#This Row],[Tuition_USD]]</f>
        <v>12900</v>
      </c>
      <c r="Q652" s="2">
        <f>International_Education_Costs[[#This Row],[Tuition_USD]]/International_Education_Costs[[#This Row],[Total_Cost]]</f>
        <v>0.16233766233766234</v>
      </c>
    </row>
    <row r="653" spans="1:17" x14ac:dyDescent="0.25">
      <c r="A653" t="s">
        <v>41</v>
      </c>
      <c r="B653" t="s">
        <v>41</v>
      </c>
      <c r="C653" t="s">
        <v>42</v>
      </c>
      <c r="D653" t="s">
        <v>40</v>
      </c>
      <c r="E653" t="s">
        <v>16</v>
      </c>
      <c r="F653">
        <v>2</v>
      </c>
      <c r="G653" s="1">
        <v>42000</v>
      </c>
      <c r="H653">
        <v>83.8</v>
      </c>
      <c r="I653" s="1">
        <v>1200</v>
      </c>
      <c r="J653" s="1">
        <v>90</v>
      </c>
      <c r="K653" s="1">
        <v>800</v>
      </c>
      <c r="L653">
        <v>1.35</v>
      </c>
      <c r="M6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72490</v>
      </c>
      <c r="N653" s="1">
        <f>International_Education_Costs[[#This Row],[Total_Cost]]/International_Education_Costs[[#This Row],[Duration_Years]]</f>
        <v>36245</v>
      </c>
      <c r="O653" s="1">
        <f>International_Education_Costs[[#This Row],[Rent_USD]] * 12 * International_Education_Costs[[#This Row],[Duration_Years]]</f>
        <v>28800</v>
      </c>
      <c r="P653" s="1">
        <f>International_Education_Costs[[#This Row],[Total_Cost]]-International_Education_Costs[[#This Row],[Tuition_USD]]</f>
        <v>30490</v>
      </c>
      <c r="Q653" s="2">
        <f>International_Education_Costs[[#This Row],[Tuition_USD]]/International_Education_Costs[[#This Row],[Total_Cost]]</f>
        <v>0.57939026072561728</v>
      </c>
    </row>
    <row r="654" spans="1:17" x14ac:dyDescent="0.25">
      <c r="A654" t="s">
        <v>354</v>
      </c>
      <c r="B654" t="s">
        <v>355</v>
      </c>
      <c r="C654" t="s">
        <v>890</v>
      </c>
      <c r="D654" t="s">
        <v>71</v>
      </c>
      <c r="E654" t="s">
        <v>16</v>
      </c>
      <c r="F654">
        <v>2</v>
      </c>
      <c r="G654" s="1">
        <v>25000</v>
      </c>
      <c r="H654">
        <v>72.400000000000006</v>
      </c>
      <c r="I654" s="1">
        <v>1100</v>
      </c>
      <c r="J654" s="1">
        <v>270</v>
      </c>
      <c r="K654" s="1">
        <v>750</v>
      </c>
      <c r="L654">
        <v>3.67</v>
      </c>
      <c r="M6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53170</v>
      </c>
      <c r="N654" s="1">
        <f>International_Education_Costs[[#This Row],[Total_Cost]]/International_Education_Costs[[#This Row],[Duration_Years]]</f>
        <v>26585</v>
      </c>
      <c r="O654" s="1">
        <f>International_Education_Costs[[#This Row],[Rent_USD]] * 12 * International_Education_Costs[[#This Row],[Duration_Years]]</f>
        <v>26400</v>
      </c>
      <c r="P654" s="1">
        <f>International_Education_Costs[[#This Row],[Total_Cost]]-International_Education_Costs[[#This Row],[Tuition_USD]]</f>
        <v>28170</v>
      </c>
      <c r="Q654" s="2">
        <f>International_Education_Costs[[#This Row],[Tuition_USD]]/International_Education_Costs[[#This Row],[Total_Cost]]</f>
        <v>0.47018995674252401</v>
      </c>
    </row>
    <row r="655" spans="1:17" x14ac:dyDescent="0.25">
      <c r="A655" t="s">
        <v>335</v>
      </c>
      <c r="B655" t="s">
        <v>891</v>
      </c>
      <c r="C655" t="s">
        <v>892</v>
      </c>
      <c r="D655" t="s">
        <v>216</v>
      </c>
      <c r="E655" t="s">
        <v>122</v>
      </c>
      <c r="F655">
        <v>4</v>
      </c>
      <c r="G655" s="1">
        <v>8000</v>
      </c>
      <c r="H655">
        <v>53.2</v>
      </c>
      <c r="I655" s="1">
        <v>550</v>
      </c>
      <c r="J655" s="1">
        <v>90</v>
      </c>
      <c r="K655" s="1">
        <v>400</v>
      </c>
      <c r="L655">
        <v>4.95</v>
      </c>
      <c r="M6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36090</v>
      </c>
      <c r="N655" s="1">
        <f>International_Education_Costs[[#This Row],[Total_Cost]]/International_Education_Costs[[#This Row],[Duration_Years]]</f>
        <v>9022.5</v>
      </c>
      <c r="O655" s="1">
        <f>International_Education_Costs[[#This Row],[Rent_USD]] * 12 * International_Education_Costs[[#This Row],[Duration_Years]]</f>
        <v>26400</v>
      </c>
      <c r="P655" s="1">
        <f>International_Education_Costs[[#This Row],[Total_Cost]]-International_Education_Costs[[#This Row],[Tuition_USD]]</f>
        <v>28090</v>
      </c>
      <c r="Q655" s="2">
        <f>International_Education_Costs[[#This Row],[Tuition_USD]]/International_Education_Costs[[#This Row],[Total_Cost]]</f>
        <v>0.22166805209199225</v>
      </c>
    </row>
    <row r="656" spans="1:17" x14ac:dyDescent="0.25">
      <c r="A656" t="s">
        <v>156</v>
      </c>
      <c r="B656" t="s">
        <v>893</v>
      </c>
      <c r="C656" t="s">
        <v>894</v>
      </c>
      <c r="D656" t="s">
        <v>63</v>
      </c>
      <c r="E656" t="s">
        <v>16</v>
      </c>
      <c r="F656">
        <v>2</v>
      </c>
      <c r="G656" s="1">
        <v>1800</v>
      </c>
      <c r="H656">
        <v>47.5</v>
      </c>
      <c r="I656" s="1">
        <v>350</v>
      </c>
      <c r="J656" s="1">
        <v>180</v>
      </c>
      <c r="K656" s="1">
        <v>300</v>
      </c>
      <c r="L656">
        <v>82.75</v>
      </c>
      <c r="M6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10980</v>
      </c>
      <c r="N656" s="1">
        <f>International_Education_Costs[[#This Row],[Total_Cost]]/International_Education_Costs[[#This Row],[Duration_Years]]</f>
        <v>5490</v>
      </c>
      <c r="O656" s="1">
        <f>International_Education_Costs[[#This Row],[Rent_USD]] * 12 * International_Education_Costs[[#This Row],[Duration_Years]]</f>
        <v>8400</v>
      </c>
      <c r="P656" s="1">
        <f>International_Education_Costs[[#This Row],[Total_Cost]]-International_Education_Costs[[#This Row],[Tuition_USD]]</f>
        <v>9180</v>
      </c>
      <c r="Q656" s="2">
        <f>International_Education_Costs[[#This Row],[Tuition_USD]]/International_Education_Costs[[#This Row],[Total_Cost]]</f>
        <v>0.16393442622950818</v>
      </c>
    </row>
    <row r="657" spans="1:17" x14ac:dyDescent="0.25">
      <c r="A657" t="s">
        <v>351</v>
      </c>
      <c r="B657" t="s">
        <v>895</v>
      </c>
      <c r="C657" t="s">
        <v>896</v>
      </c>
      <c r="D657" t="s">
        <v>20</v>
      </c>
      <c r="E657" t="s">
        <v>75</v>
      </c>
      <c r="F657">
        <v>4</v>
      </c>
      <c r="G657" s="1">
        <v>12000</v>
      </c>
      <c r="H657">
        <v>45.6</v>
      </c>
      <c r="I657" s="1">
        <v>300</v>
      </c>
      <c r="J657" s="1">
        <v>80</v>
      </c>
      <c r="K657" s="1">
        <v>350</v>
      </c>
      <c r="L657">
        <v>35.25</v>
      </c>
      <c r="M6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27880</v>
      </c>
      <c r="N657" s="1">
        <f>International_Education_Costs[[#This Row],[Total_Cost]]/International_Education_Costs[[#This Row],[Duration_Years]]</f>
        <v>6970</v>
      </c>
      <c r="O657" s="1">
        <f>International_Education_Costs[[#This Row],[Rent_USD]] * 12 * International_Education_Costs[[#This Row],[Duration_Years]]</f>
        <v>14400</v>
      </c>
      <c r="P657" s="1">
        <f>International_Education_Costs[[#This Row],[Total_Cost]]-International_Education_Costs[[#This Row],[Tuition_USD]]</f>
        <v>15880</v>
      </c>
      <c r="Q657" s="2">
        <f>International_Education_Costs[[#This Row],[Tuition_USD]]/International_Education_Costs[[#This Row],[Total_Cost]]</f>
        <v>0.43041606886657102</v>
      </c>
    </row>
    <row r="658" spans="1:17" x14ac:dyDescent="0.25">
      <c r="A658" t="s">
        <v>41</v>
      </c>
      <c r="B658" t="s">
        <v>41</v>
      </c>
      <c r="C658" t="s">
        <v>405</v>
      </c>
      <c r="D658" t="s">
        <v>15</v>
      </c>
      <c r="E658" t="s">
        <v>122</v>
      </c>
      <c r="F658">
        <v>4</v>
      </c>
      <c r="G658" s="1">
        <v>40000</v>
      </c>
      <c r="H658">
        <v>83.8</v>
      </c>
      <c r="I658" s="1">
        <v>1100</v>
      </c>
      <c r="J658" s="1">
        <v>90</v>
      </c>
      <c r="K658" s="1">
        <v>800</v>
      </c>
      <c r="L658">
        <v>1.35</v>
      </c>
      <c r="M6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96090</v>
      </c>
      <c r="N658" s="1">
        <f>International_Education_Costs[[#This Row],[Total_Cost]]/International_Education_Costs[[#This Row],[Duration_Years]]</f>
        <v>24022.5</v>
      </c>
      <c r="O658" s="1">
        <f>International_Education_Costs[[#This Row],[Rent_USD]] * 12 * International_Education_Costs[[#This Row],[Duration_Years]]</f>
        <v>52800</v>
      </c>
      <c r="P658" s="1">
        <f>International_Education_Costs[[#This Row],[Total_Cost]]-International_Education_Costs[[#This Row],[Tuition_USD]]</f>
        <v>56090</v>
      </c>
      <c r="Q658" s="2">
        <f>International_Education_Costs[[#This Row],[Tuition_USD]]/International_Education_Costs[[#This Row],[Total_Cost]]</f>
        <v>0.41627640753460299</v>
      </c>
    </row>
    <row r="659" spans="1:17" x14ac:dyDescent="0.25">
      <c r="A659" t="s">
        <v>354</v>
      </c>
      <c r="B659" t="s">
        <v>897</v>
      </c>
      <c r="C659" t="s">
        <v>898</v>
      </c>
      <c r="D659" t="s">
        <v>137</v>
      </c>
      <c r="E659" t="s">
        <v>16</v>
      </c>
      <c r="F659">
        <v>2</v>
      </c>
      <c r="G659" s="1">
        <v>27000</v>
      </c>
      <c r="H659">
        <v>71.8</v>
      </c>
      <c r="I659" s="1">
        <v>1000</v>
      </c>
      <c r="J659" s="1">
        <v>270</v>
      </c>
      <c r="K659" s="1">
        <v>750</v>
      </c>
      <c r="L659">
        <v>3.67</v>
      </c>
      <c r="M6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52770</v>
      </c>
      <c r="N659" s="1">
        <f>International_Education_Costs[[#This Row],[Total_Cost]]/International_Education_Costs[[#This Row],[Duration_Years]]</f>
        <v>26385</v>
      </c>
      <c r="O659" s="1">
        <f>International_Education_Costs[[#This Row],[Rent_USD]] * 12 * International_Education_Costs[[#This Row],[Duration_Years]]</f>
        <v>24000</v>
      </c>
      <c r="P659" s="1">
        <f>International_Education_Costs[[#This Row],[Total_Cost]]-International_Education_Costs[[#This Row],[Tuition_USD]]</f>
        <v>25770</v>
      </c>
      <c r="Q659" s="2">
        <f>International_Education_Costs[[#This Row],[Tuition_USD]]/International_Education_Costs[[#This Row],[Total_Cost]]</f>
        <v>0.51165434906196705</v>
      </c>
    </row>
    <row r="660" spans="1:17" x14ac:dyDescent="0.25">
      <c r="A660" t="s">
        <v>335</v>
      </c>
      <c r="B660" t="s">
        <v>899</v>
      </c>
      <c r="C660" t="s">
        <v>900</v>
      </c>
      <c r="D660" t="s">
        <v>63</v>
      </c>
      <c r="E660" t="s">
        <v>16</v>
      </c>
      <c r="F660">
        <v>2</v>
      </c>
      <c r="G660" s="1">
        <v>0</v>
      </c>
      <c r="H660">
        <v>51.4</v>
      </c>
      <c r="I660" s="1">
        <v>450</v>
      </c>
      <c r="J660" s="1">
        <v>90</v>
      </c>
      <c r="K660" s="1">
        <v>400</v>
      </c>
      <c r="L660">
        <v>4.95</v>
      </c>
      <c r="M6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11690</v>
      </c>
      <c r="N660" s="1">
        <f>International_Education_Costs[[#This Row],[Total_Cost]]/International_Education_Costs[[#This Row],[Duration_Years]]</f>
        <v>5845</v>
      </c>
      <c r="O660" s="1">
        <f>International_Education_Costs[[#This Row],[Rent_USD]] * 12 * International_Education_Costs[[#This Row],[Duration_Years]]</f>
        <v>10800</v>
      </c>
      <c r="P660" s="1">
        <f>International_Education_Costs[[#This Row],[Total_Cost]]-International_Education_Costs[[#This Row],[Tuition_USD]]</f>
        <v>11690</v>
      </c>
      <c r="Q660" s="2">
        <f>International_Education_Costs[[#This Row],[Tuition_USD]]/International_Education_Costs[[#This Row],[Total_Cost]]</f>
        <v>0</v>
      </c>
    </row>
    <row r="661" spans="1:17" x14ac:dyDescent="0.25">
      <c r="A661" t="s">
        <v>156</v>
      </c>
      <c r="B661" t="s">
        <v>901</v>
      </c>
      <c r="C661" t="s">
        <v>902</v>
      </c>
      <c r="D661" t="s">
        <v>40</v>
      </c>
      <c r="E661" t="s">
        <v>122</v>
      </c>
      <c r="F661">
        <v>4</v>
      </c>
      <c r="G661" s="1">
        <v>1900</v>
      </c>
      <c r="H661">
        <v>44.8</v>
      </c>
      <c r="I661" s="1">
        <v>320</v>
      </c>
      <c r="J661" s="1">
        <v>180</v>
      </c>
      <c r="K661" s="1">
        <v>300</v>
      </c>
      <c r="L661">
        <v>82.75</v>
      </c>
      <c r="M6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18640</v>
      </c>
      <c r="N661" s="1">
        <f>International_Education_Costs[[#This Row],[Total_Cost]]/International_Education_Costs[[#This Row],[Duration_Years]]</f>
        <v>4660</v>
      </c>
      <c r="O661" s="1">
        <f>International_Education_Costs[[#This Row],[Rent_USD]] * 12 * International_Education_Costs[[#This Row],[Duration_Years]]</f>
        <v>15360</v>
      </c>
      <c r="P661" s="1">
        <f>International_Education_Costs[[#This Row],[Total_Cost]]-International_Education_Costs[[#This Row],[Tuition_USD]]</f>
        <v>16740</v>
      </c>
      <c r="Q661" s="2">
        <f>International_Education_Costs[[#This Row],[Tuition_USD]]/International_Education_Costs[[#This Row],[Total_Cost]]</f>
        <v>0.10193133047210301</v>
      </c>
    </row>
    <row r="662" spans="1:17" x14ac:dyDescent="0.25">
      <c r="A662" t="s">
        <v>351</v>
      </c>
      <c r="B662" t="s">
        <v>903</v>
      </c>
      <c r="C662" t="s">
        <v>904</v>
      </c>
      <c r="D662" t="s">
        <v>223</v>
      </c>
      <c r="E662" t="s">
        <v>16</v>
      </c>
      <c r="F662">
        <v>2</v>
      </c>
      <c r="G662" s="1">
        <v>11000</v>
      </c>
      <c r="H662">
        <v>42.5</v>
      </c>
      <c r="I662" s="1">
        <v>250</v>
      </c>
      <c r="J662" s="1">
        <v>80</v>
      </c>
      <c r="K662" s="1">
        <v>350</v>
      </c>
      <c r="L662">
        <v>35.25</v>
      </c>
      <c r="M6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17780</v>
      </c>
      <c r="N662" s="1">
        <f>International_Education_Costs[[#This Row],[Total_Cost]]/International_Education_Costs[[#This Row],[Duration_Years]]</f>
        <v>8890</v>
      </c>
      <c r="O662" s="1">
        <f>International_Education_Costs[[#This Row],[Rent_USD]] * 12 * International_Education_Costs[[#This Row],[Duration_Years]]</f>
        <v>6000</v>
      </c>
      <c r="P662" s="1">
        <f>International_Education_Costs[[#This Row],[Total_Cost]]-International_Education_Costs[[#This Row],[Tuition_USD]]</f>
        <v>6780</v>
      </c>
      <c r="Q662" s="2">
        <f>International_Education_Costs[[#This Row],[Tuition_USD]]/International_Education_Costs[[#This Row],[Total_Cost]]</f>
        <v>0.6186726659167604</v>
      </c>
    </row>
    <row r="663" spans="1:17" x14ac:dyDescent="0.25">
      <c r="A663" t="s">
        <v>366</v>
      </c>
      <c r="B663" t="s">
        <v>905</v>
      </c>
      <c r="C663" t="s">
        <v>906</v>
      </c>
      <c r="D663" t="s">
        <v>208</v>
      </c>
      <c r="E663" t="s">
        <v>16</v>
      </c>
      <c r="F663">
        <v>2</v>
      </c>
      <c r="G663" s="1">
        <v>2200</v>
      </c>
      <c r="H663">
        <v>30.5</v>
      </c>
      <c r="I663" s="1">
        <v>200</v>
      </c>
      <c r="J663" s="1">
        <v>100</v>
      </c>
      <c r="K663" s="1">
        <v>200</v>
      </c>
      <c r="L663">
        <v>30.9</v>
      </c>
      <c r="M6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7500</v>
      </c>
      <c r="N663" s="1">
        <f>International_Education_Costs[[#This Row],[Total_Cost]]/International_Education_Costs[[#This Row],[Duration_Years]]</f>
        <v>3750</v>
      </c>
      <c r="O663" s="1">
        <f>International_Education_Costs[[#This Row],[Rent_USD]] * 12 * International_Education_Costs[[#This Row],[Duration_Years]]</f>
        <v>4800</v>
      </c>
      <c r="P663" s="1">
        <f>International_Education_Costs[[#This Row],[Total_Cost]]-International_Education_Costs[[#This Row],[Tuition_USD]]</f>
        <v>5300</v>
      </c>
      <c r="Q663" s="2">
        <f>International_Education_Costs[[#This Row],[Tuition_USD]]/International_Education_Costs[[#This Row],[Total_Cost]]</f>
        <v>0.29333333333333333</v>
      </c>
    </row>
    <row r="664" spans="1:17" x14ac:dyDescent="0.25">
      <c r="A664" t="s">
        <v>41</v>
      </c>
      <c r="B664" t="s">
        <v>41</v>
      </c>
      <c r="C664" t="s">
        <v>406</v>
      </c>
      <c r="D664" t="s">
        <v>71</v>
      </c>
      <c r="E664" t="s">
        <v>75</v>
      </c>
      <c r="F664">
        <v>4</v>
      </c>
      <c r="G664" s="1">
        <v>38000</v>
      </c>
      <c r="H664">
        <v>83.8</v>
      </c>
      <c r="I664" s="1">
        <v>1150</v>
      </c>
      <c r="J664" s="1">
        <v>90</v>
      </c>
      <c r="K664" s="1">
        <v>800</v>
      </c>
      <c r="L664">
        <v>1.35</v>
      </c>
      <c r="M6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96490</v>
      </c>
      <c r="N664" s="1">
        <f>International_Education_Costs[[#This Row],[Total_Cost]]/International_Education_Costs[[#This Row],[Duration_Years]]</f>
        <v>24122.5</v>
      </c>
      <c r="O664" s="1">
        <f>International_Education_Costs[[#This Row],[Rent_USD]] * 12 * International_Education_Costs[[#This Row],[Duration_Years]]</f>
        <v>55200</v>
      </c>
      <c r="P664" s="1">
        <f>International_Education_Costs[[#This Row],[Total_Cost]]-International_Education_Costs[[#This Row],[Tuition_USD]]</f>
        <v>58490</v>
      </c>
      <c r="Q664" s="2">
        <f>International_Education_Costs[[#This Row],[Tuition_USD]]/International_Education_Costs[[#This Row],[Total_Cost]]</f>
        <v>0.39382319411337963</v>
      </c>
    </row>
    <row r="665" spans="1:17" x14ac:dyDescent="0.25">
      <c r="A665" t="s">
        <v>354</v>
      </c>
      <c r="B665" t="s">
        <v>907</v>
      </c>
      <c r="C665" t="s">
        <v>908</v>
      </c>
      <c r="D665" t="s">
        <v>15</v>
      </c>
      <c r="E665" t="s">
        <v>122</v>
      </c>
      <c r="F665">
        <v>4</v>
      </c>
      <c r="G665" s="1">
        <v>26000</v>
      </c>
      <c r="H665">
        <v>68.5</v>
      </c>
      <c r="I665" s="1">
        <v>900</v>
      </c>
      <c r="J665" s="1">
        <v>270</v>
      </c>
      <c r="K665" s="1">
        <v>750</v>
      </c>
      <c r="L665">
        <v>3.67</v>
      </c>
      <c r="M6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72470</v>
      </c>
      <c r="N665" s="1">
        <f>International_Education_Costs[[#This Row],[Total_Cost]]/International_Education_Costs[[#This Row],[Duration_Years]]</f>
        <v>18117.5</v>
      </c>
      <c r="O665" s="1">
        <f>International_Education_Costs[[#This Row],[Rent_USD]] * 12 * International_Education_Costs[[#This Row],[Duration_Years]]</f>
        <v>43200</v>
      </c>
      <c r="P665" s="1">
        <f>International_Education_Costs[[#This Row],[Total_Cost]]-International_Education_Costs[[#This Row],[Tuition_USD]]</f>
        <v>46470</v>
      </c>
      <c r="Q665" s="2">
        <f>International_Education_Costs[[#This Row],[Tuition_USD]]/International_Education_Costs[[#This Row],[Total_Cost]]</f>
        <v>0.35876914585345659</v>
      </c>
    </row>
    <row r="666" spans="1:17" x14ac:dyDescent="0.25">
      <c r="A666" t="s">
        <v>335</v>
      </c>
      <c r="B666" t="s">
        <v>909</v>
      </c>
      <c r="C666" t="s">
        <v>910</v>
      </c>
      <c r="D666" t="s">
        <v>20</v>
      </c>
      <c r="E666" t="s">
        <v>75</v>
      </c>
      <c r="F666">
        <v>4</v>
      </c>
      <c r="G666" s="1">
        <v>0</v>
      </c>
      <c r="H666">
        <v>49.8</v>
      </c>
      <c r="I666" s="1">
        <v>400</v>
      </c>
      <c r="J666" s="1">
        <v>90</v>
      </c>
      <c r="K666" s="1">
        <v>400</v>
      </c>
      <c r="L666">
        <v>4.95</v>
      </c>
      <c r="M6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20890</v>
      </c>
      <c r="N666" s="1">
        <f>International_Education_Costs[[#This Row],[Total_Cost]]/International_Education_Costs[[#This Row],[Duration_Years]]</f>
        <v>5222.5</v>
      </c>
      <c r="O666" s="1">
        <f>International_Education_Costs[[#This Row],[Rent_USD]] * 12 * International_Education_Costs[[#This Row],[Duration_Years]]</f>
        <v>19200</v>
      </c>
      <c r="P666" s="1">
        <f>International_Education_Costs[[#This Row],[Total_Cost]]-International_Education_Costs[[#This Row],[Tuition_USD]]</f>
        <v>20890</v>
      </c>
      <c r="Q666" s="2">
        <f>International_Education_Costs[[#This Row],[Tuition_USD]]/International_Education_Costs[[#This Row],[Total_Cost]]</f>
        <v>0</v>
      </c>
    </row>
    <row r="667" spans="1:17" x14ac:dyDescent="0.25">
      <c r="A667" t="s">
        <v>156</v>
      </c>
      <c r="B667" t="s">
        <v>911</v>
      </c>
      <c r="C667" t="s">
        <v>912</v>
      </c>
      <c r="D667" t="s">
        <v>208</v>
      </c>
      <c r="E667" t="s">
        <v>16</v>
      </c>
      <c r="F667">
        <v>2</v>
      </c>
      <c r="G667" s="1">
        <v>1700</v>
      </c>
      <c r="H667">
        <v>42.4</v>
      </c>
      <c r="I667" s="1">
        <v>280</v>
      </c>
      <c r="J667" s="1">
        <v>180</v>
      </c>
      <c r="K667" s="1">
        <v>300</v>
      </c>
      <c r="L667">
        <v>82.75</v>
      </c>
      <c r="M6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9200</v>
      </c>
      <c r="N667" s="1">
        <f>International_Education_Costs[[#This Row],[Total_Cost]]/International_Education_Costs[[#This Row],[Duration_Years]]</f>
        <v>4600</v>
      </c>
      <c r="O667" s="1">
        <f>International_Education_Costs[[#This Row],[Rent_USD]] * 12 * International_Education_Costs[[#This Row],[Duration_Years]]</f>
        <v>6720</v>
      </c>
      <c r="P667" s="1">
        <f>International_Education_Costs[[#This Row],[Total_Cost]]-International_Education_Costs[[#This Row],[Tuition_USD]]</f>
        <v>7500</v>
      </c>
      <c r="Q667" s="2">
        <f>International_Education_Costs[[#This Row],[Tuition_USD]]/International_Education_Costs[[#This Row],[Total_Cost]]</f>
        <v>0.18478260869565216</v>
      </c>
    </row>
    <row r="668" spans="1:17" x14ac:dyDescent="0.25">
      <c r="A668" t="s">
        <v>351</v>
      </c>
      <c r="B668" t="s">
        <v>913</v>
      </c>
      <c r="C668" t="s">
        <v>914</v>
      </c>
      <c r="D668" t="s">
        <v>63</v>
      </c>
      <c r="E668" t="s">
        <v>16</v>
      </c>
      <c r="F668">
        <v>2</v>
      </c>
      <c r="G668" s="1">
        <v>10000</v>
      </c>
      <c r="H668">
        <v>44.8</v>
      </c>
      <c r="I668" s="1">
        <v>300</v>
      </c>
      <c r="J668" s="1">
        <v>80</v>
      </c>
      <c r="K668" s="1">
        <v>350</v>
      </c>
      <c r="L668">
        <v>35.25</v>
      </c>
      <c r="M6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17980</v>
      </c>
      <c r="N668" s="1">
        <f>International_Education_Costs[[#This Row],[Total_Cost]]/International_Education_Costs[[#This Row],[Duration_Years]]</f>
        <v>8990</v>
      </c>
      <c r="O668" s="1">
        <f>International_Education_Costs[[#This Row],[Rent_USD]] * 12 * International_Education_Costs[[#This Row],[Duration_Years]]</f>
        <v>7200</v>
      </c>
      <c r="P668" s="1">
        <f>International_Education_Costs[[#This Row],[Total_Cost]]-International_Education_Costs[[#This Row],[Tuition_USD]]</f>
        <v>7980</v>
      </c>
      <c r="Q668" s="2">
        <f>International_Education_Costs[[#This Row],[Tuition_USD]]/International_Education_Costs[[#This Row],[Total_Cost]]</f>
        <v>0.55617352614015569</v>
      </c>
    </row>
    <row r="669" spans="1:17" x14ac:dyDescent="0.25">
      <c r="A669" t="s">
        <v>366</v>
      </c>
      <c r="B669" t="s">
        <v>915</v>
      </c>
      <c r="C669" t="s">
        <v>916</v>
      </c>
      <c r="D669" t="s">
        <v>20</v>
      </c>
      <c r="E669" t="s">
        <v>122</v>
      </c>
      <c r="F669">
        <v>4</v>
      </c>
      <c r="G669" s="1">
        <v>2400</v>
      </c>
      <c r="H669">
        <v>31.2</v>
      </c>
      <c r="I669" s="1">
        <v>220</v>
      </c>
      <c r="J669" s="1">
        <v>100</v>
      </c>
      <c r="K669" s="1">
        <v>200</v>
      </c>
      <c r="L669">
        <v>30.9</v>
      </c>
      <c r="M6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13860</v>
      </c>
      <c r="N669" s="1">
        <f>International_Education_Costs[[#This Row],[Total_Cost]]/International_Education_Costs[[#This Row],[Duration_Years]]</f>
        <v>3465</v>
      </c>
      <c r="O669" s="1">
        <f>International_Education_Costs[[#This Row],[Rent_USD]] * 12 * International_Education_Costs[[#This Row],[Duration_Years]]</f>
        <v>10560</v>
      </c>
      <c r="P669" s="1">
        <f>International_Education_Costs[[#This Row],[Total_Cost]]-International_Education_Costs[[#This Row],[Tuition_USD]]</f>
        <v>11460</v>
      </c>
      <c r="Q669" s="2">
        <f>International_Education_Costs[[#This Row],[Tuition_USD]]/International_Education_Costs[[#This Row],[Total_Cost]]</f>
        <v>0.17316017316017315</v>
      </c>
    </row>
    <row r="670" spans="1:17" x14ac:dyDescent="0.25">
      <c r="A670" t="s">
        <v>41</v>
      </c>
      <c r="B670" t="s">
        <v>41</v>
      </c>
      <c r="C670" t="s">
        <v>917</v>
      </c>
      <c r="D670" t="s">
        <v>40</v>
      </c>
      <c r="E670" t="s">
        <v>16</v>
      </c>
      <c r="F670">
        <v>2</v>
      </c>
      <c r="G670" s="1">
        <v>39000</v>
      </c>
      <c r="H670">
        <v>83.8</v>
      </c>
      <c r="I670" s="1">
        <v>1100</v>
      </c>
      <c r="J670" s="1">
        <v>90</v>
      </c>
      <c r="K670" s="1">
        <v>800</v>
      </c>
      <c r="L670">
        <v>1.35</v>
      </c>
      <c r="M6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67090</v>
      </c>
      <c r="N670" s="1">
        <f>International_Education_Costs[[#This Row],[Total_Cost]]/International_Education_Costs[[#This Row],[Duration_Years]]</f>
        <v>33545</v>
      </c>
      <c r="O670" s="1">
        <f>International_Education_Costs[[#This Row],[Rent_USD]] * 12 * International_Education_Costs[[#This Row],[Duration_Years]]</f>
        <v>26400</v>
      </c>
      <c r="P670" s="1">
        <f>International_Education_Costs[[#This Row],[Total_Cost]]-International_Education_Costs[[#This Row],[Tuition_USD]]</f>
        <v>28090</v>
      </c>
      <c r="Q670" s="2">
        <f>International_Education_Costs[[#This Row],[Tuition_USD]]/International_Education_Costs[[#This Row],[Total_Cost]]</f>
        <v>0.58130868981964523</v>
      </c>
    </row>
    <row r="671" spans="1:17" x14ac:dyDescent="0.25">
      <c r="A671" t="s">
        <v>354</v>
      </c>
      <c r="B671" t="s">
        <v>918</v>
      </c>
      <c r="C671" t="s">
        <v>919</v>
      </c>
      <c r="D671" t="s">
        <v>216</v>
      </c>
      <c r="E671" t="s">
        <v>75</v>
      </c>
      <c r="F671">
        <v>4</v>
      </c>
      <c r="G671" s="1">
        <v>23000</v>
      </c>
      <c r="H671">
        <v>65.400000000000006</v>
      </c>
      <c r="I671" s="1">
        <v>800</v>
      </c>
      <c r="J671" s="1">
        <v>270</v>
      </c>
      <c r="K671" s="1">
        <v>750</v>
      </c>
      <c r="L671">
        <v>3.67</v>
      </c>
      <c r="M6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64670</v>
      </c>
      <c r="N671" s="1">
        <f>International_Education_Costs[[#This Row],[Total_Cost]]/International_Education_Costs[[#This Row],[Duration_Years]]</f>
        <v>16167.5</v>
      </c>
      <c r="O671" s="1">
        <f>International_Education_Costs[[#This Row],[Rent_USD]] * 12 * International_Education_Costs[[#This Row],[Duration_Years]]</f>
        <v>38400</v>
      </c>
      <c r="P671" s="1">
        <f>International_Education_Costs[[#This Row],[Total_Cost]]-International_Education_Costs[[#This Row],[Tuition_USD]]</f>
        <v>41670</v>
      </c>
      <c r="Q671" s="2">
        <f>International_Education_Costs[[#This Row],[Tuition_USD]]/International_Education_Costs[[#This Row],[Total_Cost]]</f>
        <v>0.35565177052729241</v>
      </c>
    </row>
    <row r="672" spans="1:17" x14ac:dyDescent="0.25">
      <c r="A672" t="s">
        <v>335</v>
      </c>
      <c r="B672" t="s">
        <v>920</v>
      </c>
      <c r="C672" t="s">
        <v>921</v>
      </c>
      <c r="D672" t="s">
        <v>63</v>
      </c>
      <c r="E672" t="s">
        <v>16</v>
      </c>
      <c r="F672">
        <v>2</v>
      </c>
      <c r="G672" s="1">
        <v>0</v>
      </c>
      <c r="H672">
        <v>47.5</v>
      </c>
      <c r="I672" s="1">
        <v>350</v>
      </c>
      <c r="J672" s="1">
        <v>90</v>
      </c>
      <c r="K672" s="1">
        <v>400</v>
      </c>
      <c r="L672">
        <v>4.95</v>
      </c>
      <c r="M6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9290</v>
      </c>
      <c r="N672" s="1">
        <f>International_Education_Costs[[#This Row],[Total_Cost]]/International_Education_Costs[[#This Row],[Duration_Years]]</f>
        <v>4645</v>
      </c>
      <c r="O672" s="1">
        <f>International_Education_Costs[[#This Row],[Rent_USD]] * 12 * International_Education_Costs[[#This Row],[Duration_Years]]</f>
        <v>8400</v>
      </c>
      <c r="P672" s="1">
        <f>International_Education_Costs[[#This Row],[Total_Cost]]-International_Education_Costs[[#This Row],[Tuition_USD]]</f>
        <v>9290</v>
      </c>
      <c r="Q672" s="2">
        <f>International_Education_Costs[[#This Row],[Tuition_USD]]/International_Education_Costs[[#This Row],[Total_Cost]]</f>
        <v>0</v>
      </c>
    </row>
    <row r="673" spans="1:17" x14ac:dyDescent="0.25">
      <c r="A673" t="s">
        <v>156</v>
      </c>
      <c r="B673" t="s">
        <v>922</v>
      </c>
      <c r="C673" t="s">
        <v>923</v>
      </c>
      <c r="D673" t="s">
        <v>71</v>
      </c>
      <c r="E673" t="s">
        <v>122</v>
      </c>
      <c r="F673">
        <v>4</v>
      </c>
      <c r="G673" s="1">
        <v>1800</v>
      </c>
      <c r="H673">
        <v>41.2</v>
      </c>
      <c r="I673" s="1">
        <v>260</v>
      </c>
      <c r="J673" s="1">
        <v>180</v>
      </c>
      <c r="K673" s="1">
        <v>300</v>
      </c>
      <c r="L673">
        <v>82.75</v>
      </c>
      <c r="M6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15660</v>
      </c>
      <c r="N673" s="1">
        <f>International_Education_Costs[[#This Row],[Total_Cost]]/International_Education_Costs[[#This Row],[Duration_Years]]</f>
        <v>3915</v>
      </c>
      <c r="O673" s="1">
        <f>International_Education_Costs[[#This Row],[Rent_USD]] * 12 * International_Education_Costs[[#This Row],[Duration_Years]]</f>
        <v>12480</v>
      </c>
      <c r="P673" s="1">
        <f>International_Education_Costs[[#This Row],[Total_Cost]]-International_Education_Costs[[#This Row],[Tuition_USD]]</f>
        <v>13860</v>
      </c>
      <c r="Q673" s="2">
        <f>International_Education_Costs[[#This Row],[Tuition_USD]]/International_Education_Costs[[#This Row],[Total_Cost]]</f>
        <v>0.11494252873563218</v>
      </c>
    </row>
    <row r="674" spans="1:17" x14ac:dyDescent="0.25">
      <c r="A674" t="s">
        <v>351</v>
      </c>
      <c r="B674" t="s">
        <v>924</v>
      </c>
      <c r="C674" t="s">
        <v>914</v>
      </c>
      <c r="D674" t="s">
        <v>208</v>
      </c>
      <c r="E674" t="s">
        <v>75</v>
      </c>
      <c r="F674">
        <v>4</v>
      </c>
      <c r="G674" s="1">
        <v>9500</v>
      </c>
      <c r="H674">
        <v>43.2</v>
      </c>
      <c r="I674" s="1">
        <v>280</v>
      </c>
      <c r="J674" s="1">
        <v>80</v>
      </c>
      <c r="K674" s="1">
        <v>350</v>
      </c>
      <c r="L674">
        <v>35.25</v>
      </c>
      <c r="M6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24420</v>
      </c>
      <c r="N674" s="1">
        <f>International_Education_Costs[[#This Row],[Total_Cost]]/International_Education_Costs[[#This Row],[Duration_Years]]</f>
        <v>6105</v>
      </c>
      <c r="O674" s="1">
        <f>International_Education_Costs[[#This Row],[Rent_USD]] * 12 * International_Education_Costs[[#This Row],[Duration_Years]]</f>
        <v>13440</v>
      </c>
      <c r="P674" s="1">
        <f>International_Education_Costs[[#This Row],[Total_Cost]]-International_Education_Costs[[#This Row],[Tuition_USD]]</f>
        <v>14920</v>
      </c>
      <c r="Q674" s="2">
        <f>International_Education_Costs[[#This Row],[Tuition_USD]]/International_Education_Costs[[#This Row],[Total_Cost]]</f>
        <v>0.38902538902538902</v>
      </c>
    </row>
    <row r="675" spans="1:17" x14ac:dyDescent="0.25">
      <c r="A675" t="s">
        <v>366</v>
      </c>
      <c r="B675" t="s">
        <v>925</v>
      </c>
      <c r="C675" t="s">
        <v>926</v>
      </c>
      <c r="D675" t="s">
        <v>15</v>
      </c>
      <c r="E675" t="s">
        <v>16</v>
      </c>
      <c r="F675">
        <v>2</v>
      </c>
      <c r="G675" s="1">
        <v>2100</v>
      </c>
      <c r="H675">
        <v>29.8</v>
      </c>
      <c r="I675" s="1">
        <v>180</v>
      </c>
      <c r="J675" s="1">
        <v>100</v>
      </c>
      <c r="K675" s="1">
        <v>200</v>
      </c>
      <c r="L675">
        <v>30.9</v>
      </c>
      <c r="M6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6920</v>
      </c>
      <c r="N675" s="1">
        <f>International_Education_Costs[[#This Row],[Total_Cost]]/International_Education_Costs[[#This Row],[Duration_Years]]</f>
        <v>3460</v>
      </c>
      <c r="O675" s="1">
        <f>International_Education_Costs[[#This Row],[Rent_USD]] * 12 * International_Education_Costs[[#This Row],[Duration_Years]]</f>
        <v>4320</v>
      </c>
      <c r="P675" s="1">
        <f>International_Education_Costs[[#This Row],[Total_Cost]]-International_Education_Costs[[#This Row],[Tuition_USD]]</f>
        <v>4820</v>
      </c>
      <c r="Q675" s="2">
        <f>International_Education_Costs[[#This Row],[Tuition_USD]]/International_Education_Costs[[#This Row],[Total_Cost]]</f>
        <v>0.30346820809248554</v>
      </c>
    </row>
    <row r="676" spans="1:17" x14ac:dyDescent="0.25">
      <c r="A676" t="s">
        <v>41</v>
      </c>
      <c r="B676" t="s">
        <v>41</v>
      </c>
      <c r="C676" t="s">
        <v>407</v>
      </c>
      <c r="D676" t="s">
        <v>137</v>
      </c>
      <c r="E676" t="s">
        <v>122</v>
      </c>
      <c r="F676">
        <v>4</v>
      </c>
      <c r="G676" s="1">
        <v>37000</v>
      </c>
      <c r="H676">
        <v>83.8</v>
      </c>
      <c r="I676" s="1">
        <v>1050</v>
      </c>
      <c r="J676" s="1">
        <v>90</v>
      </c>
      <c r="K676" s="1">
        <v>800</v>
      </c>
      <c r="L676">
        <v>1.35</v>
      </c>
      <c r="M6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90690</v>
      </c>
      <c r="N676" s="1">
        <f>International_Education_Costs[[#This Row],[Total_Cost]]/International_Education_Costs[[#This Row],[Duration_Years]]</f>
        <v>22672.5</v>
      </c>
      <c r="O676" s="1">
        <f>International_Education_Costs[[#This Row],[Rent_USD]] * 12 * International_Education_Costs[[#This Row],[Duration_Years]]</f>
        <v>50400</v>
      </c>
      <c r="P676" s="1">
        <f>International_Education_Costs[[#This Row],[Total_Cost]]-International_Education_Costs[[#This Row],[Tuition_USD]]</f>
        <v>53690</v>
      </c>
      <c r="Q676" s="2">
        <f>International_Education_Costs[[#This Row],[Tuition_USD]]/International_Education_Costs[[#This Row],[Total_Cost]]</f>
        <v>0.40798323960745397</v>
      </c>
    </row>
    <row r="677" spans="1:17" x14ac:dyDescent="0.25">
      <c r="A677" t="s">
        <v>354</v>
      </c>
      <c r="B677" t="s">
        <v>927</v>
      </c>
      <c r="C677" t="s">
        <v>928</v>
      </c>
      <c r="D677" t="s">
        <v>20</v>
      </c>
      <c r="E677" t="s">
        <v>16</v>
      </c>
      <c r="F677">
        <v>2</v>
      </c>
      <c r="G677" s="1">
        <v>24000</v>
      </c>
      <c r="H677">
        <v>64.2</v>
      </c>
      <c r="I677" s="1">
        <v>750</v>
      </c>
      <c r="J677" s="1">
        <v>270</v>
      </c>
      <c r="K677" s="1">
        <v>750</v>
      </c>
      <c r="L677">
        <v>3.67</v>
      </c>
      <c r="M6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43770</v>
      </c>
      <c r="N677" s="1">
        <f>International_Education_Costs[[#This Row],[Total_Cost]]/International_Education_Costs[[#This Row],[Duration_Years]]</f>
        <v>21885</v>
      </c>
      <c r="O677" s="1">
        <f>International_Education_Costs[[#This Row],[Rent_USD]] * 12 * International_Education_Costs[[#This Row],[Duration_Years]]</f>
        <v>18000</v>
      </c>
      <c r="P677" s="1">
        <f>International_Education_Costs[[#This Row],[Total_Cost]]-International_Education_Costs[[#This Row],[Tuition_USD]]</f>
        <v>19770</v>
      </c>
      <c r="Q677" s="2">
        <f>International_Education_Costs[[#This Row],[Tuition_USD]]/International_Education_Costs[[#This Row],[Total_Cost]]</f>
        <v>0.54832076764907467</v>
      </c>
    </row>
    <row r="678" spans="1:17" x14ac:dyDescent="0.25">
      <c r="A678" t="s">
        <v>335</v>
      </c>
      <c r="B678" t="s">
        <v>929</v>
      </c>
      <c r="C678" t="s">
        <v>930</v>
      </c>
      <c r="D678" t="s">
        <v>223</v>
      </c>
      <c r="E678" t="s">
        <v>122</v>
      </c>
      <c r="F678">
        <v>4</v>
      </c>
      <c r="G678" s="1">
        <v>0</v>
      </c>
      <c r="H678">
        <v>48.9</v>
      </c>
      <c r="I678" s="1">
        <v>400</v>
      </c>
      <c r="J678" s="1">
        <v>90</v>
      </c>
      <c r="K678" s="1">
        <v>400</v>
      </c>
      <c r="L678">
        <v>4.95</v>
      </c>
      <c r="M6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20890</v>
      </c>
      <c r="N678" s="1">
        <f>International_Education_Costs[[#This Row],[Total_Cost]]/International_Education_Costs[[#This Row],[Duration_Years]]</f>
        <v>5222.5</v>
      </c>
      <c r="O678" s="1">
        <f>International_Education_Costs[[#This Row],[Rent_USD]] * 12 * International_Education_Costs[[#This Row],[Duration_Years]]</f>
        <v>19200</v>
      </c>
      <c r="P678" s="1">
        <f>International_Education_Costs[[#This Row],[Total_Cost]]-International_Education_Costs[[#This Row],[Tuition_USD]]</f>
        <v>20890</v>
      </c>
      <c r="Q678" s="2">
        <f>International_Education_Costs[[#This Row],[Tuition_USD]]/International_Education_Costs[[#This Row],[Total_Cost]]</f>
        <v>0</v>
      </c>
    </row>
    <row r="679" spans="1:17" x14ac:dyDescent="0.25">
      <c r="A679" t="s">
        <v>156</v>
      </c>
      <c r="B679" t="s">
        <v>931</v>
      </c>
      <c r="C679" t="s">
        <v>932</v>
      </c>
      <c r="D679" t="s">
        <v>15</v>
      </c>
      <c r="E679" t="s">
        <v>16</v>
      </c>
      <c r="F679">
        <v>2</v>
      </c>
      <c r="G679" s="1">
        <v>1600</v>
      </c>
      <c r="H679">
        <v>40.5</v>
      </c>
      <c r="I679" s="1">
        <v>250</v>
      </c>
      <c r="J679" s="1">
        <v>180</v>
      </c>
      <c r="K679" s="1">
        <v>300</v>
      </c>
      <c r="L679">
        <v>82.75</v>
      </c>
      <c r="M6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8380</v>
      </c>
      <c r="N679" s="1">
        <f>International_Education_Costs[[#This Row],[Total_Cost]]/International_Education_Costs[[#This Row],[Duration_Years]]</f>
        <v>4190</v>
      </c>
      <c r="O679" s="1">
        <f>International_Education_Costs[[#This Row],[Rent_USD]] * 12 * International_Education_Costs[[#This Row],[Duration_Years]]</f>
        <v>6000</v>
      </c>
      <c r="P679" s="1">
        <f>International_Education_Costs[[#This Row],[Total_Cost]]-International_Education_Costs[[#This Row],[Tuition_USD]]</f>
        <v>6780</v>
      </c>
      <c r="Q679" s="2">
        <f>International_Education_Costs[[#This Row],[Tuition_USD]]/International_Education_Costs[[#This Row],[Total_Cost]]</f>
        <v>0.1909307875894988</v>
      </c>
    </row>
    <row r="680" spans="1:17" x14ac:dyDescent="0.25">
      <c r="A680" t="s">
        <v>351</v>
      </c>
      <c r="B680" t="s">
        <v>933</v>
      </c>
      <c r="C680" t="s">
        <v>934</v>
      </c>
      <c r="D680" t="s">
        <v>252</v>
      </c>
      <c r="E680" t="s">
        <v>16</v>
      </c>
      <c r="F680">
        <v>2</v>
      </c>
      <c r="G680" s="1">
        <v>9000</v>
      </c>
      <c r="H680">
        <v>41.8</v>
      </c>
      <c r="I680" s="1">
        <v>250</v>
      </c>
      <c r="J680" s="1">
        <v>80</v>
      </c>
      <c r="K680" s="1">
        <v>350</v>
      </c>
      <c r="L680">
        <v>35.25</v>
      </c>
      <c r="M6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15780</v>
      </c>
      <c r="N680" s="1">
        <f>International_Education_Costs[[#This Row],[Total_Cost]]/International_Education_Costs[[#This Row],[Duration_Years]]</f>
        <v>7890</v>
      </c>
      <c r="O680" s="1">
        <f>International_Education_Costs[[#This Row],[Rent_USD]] * 12 * International_Education_Costs[[#This Row],[Duration_Years]]</f>
        <v>6000</v>
      </c>
      <c r="P680" s="1">
        <f>International_Education_Costs[[#This Row],[Total_Cost]]-International_Education_Costs[[#This Row],[Tuition_USD]]</f>
        <v>6780</v>
      </c>
      <c r="Q680" s="2">
        <f>International_Education_Costs[[#This Row],[Tuition_USD]]/International_Education_Costs[[#This Row],[Total_Cost]]</f>
        <v>0.57034220532319391</v>
      </c>
    </row>
    <row r="681" spans="1:17" x14ac:dyDescent="0.25">
      <c r="A681" t="s">
        <v>366</v>
      </c>
      <c r="B681" t="s">
        <v>935</v>
      </c>
      <c r="C681" t="s">
        <v>936</v>
      </c>
      <c r="D681" t="s">
        <v>216</v>
      </c>
      <c r="E681" t="s">
        <v>75</v>
      </c>
      <c r="F681">
        <v>4</v>
      </c>
      <c r="G681" s="1">
        <v>2000</v>
      </c>
      <c r="H681">
        <v>28.5</v>
      </c>
      <c r="I681" s="1">
        <v>170</v>
      </c>
      <c r="J681" s="1">
        <v>100</v>
      </c>
      <c r="K681" s="1">
        <v>200</v>
      </c>
      <c r="L681">
        <v>30.9</v>
      </c>
      <c r="M6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11060</v>
      </c>
      <c r="N681" s="1">
        <f>International_Education_Costs[[#This Row],[Total_Cost]]/International_Education_Costs[[#This Row],[Duration_Years]]</f>
        <v>2765</v>
      </c>
      <c r="O681" s="1">
        <f>International_Education_Costs[[#This Row],[Rent_USD]] * 12 * International_Education_Costs[[#This Row],[Duration_Years]]</f>
        <v>8160</v>
      </c>
      <c r="P681" s="1">
        <f>International_Education_Costs[[#This Row],[Total_Cost]]-International_Education_Costs[[#This Row],[Tuition_USD]]</f>
        <v>9060</v>
      </c>
      <c r="Q681" s="2">
        <f>International_Education_Costs[[#This Row],[Tuition_USD]]/International_Education_Costs[[#This Row],[Total_Cost]]</f>
        <v>0.18083182640144665</v>
      </c>
    </row>
    <row r="682" spans="1:17" x14ac:dyDescent="0.25">
      <c r="A682" t="s">
        <v>41</v>
      </c>
      <c r="B682" t="s">
        <v>41</v>
      </c>
      <c r="C682" t="s">
        <v>937</v>
      </c>
      <c r="D682" t="s">
        <v>208</v>
      </c>
      <c r="E682" t="s">
        <v>75</v>
      </c>
      <c r="F682">
        <v>4</v>
      </c>
      <c r="G682" s="1">
        <v>35000</v>
      </c>
      <c r="H682">
        <v>83.8</v>
      </c>
      <c r="I682" s="1">
        <v>1000</v>
      </c>
      <c r="J682" s="1">
        <v>90</v>
      </c>
      <c r="K682" s="1">
        <v>800</v>
      </c>
      <c r="L682">
        <v>1.35</v>
      </c>
      <c r="M6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86290</v>
      </c>
      <c r="N682" s="1">
        <f>International_Education_Costs[[#This Row],[Total_Cost]]/International_Education_Costs[[#This Row],[Duration_Years]]</f>
        <v>21572.5</v>
      </c>
      <c r="O682" s="1">
        <f>International_Education_Costs[[#This Row],[Rent_USD]] * 12 * International_Education_Costs[[#This Row],[Duration_Years]]</f>
        <v>48000</v>
      </c>
      <c r="P682" s="1">
        <f>International_Education_Costs[[#This Row],[Total_Cost]]-International_Education_Costs[[#This Row],[Tuition_USD]]</f>
        <v>51290</v>
      </c>
      <c r="Q682" s="2">
        <f>International_Education_Costs[[#This Row],[Tuition_USD]]/International_Education_Costs[[#This Row],[Total_Cost]]</f>
        <v>0.4056089929308147</v>
      </c>
    </row>
    <row r="683" spans="1:17" x14ac:dyDescent="0.25">
      <c r="A683" t="s">
        <v>354</v>
      </c>
      <c r="B683" t="s">
        <v>938</v>
      </c>
      <c r="C683" t="s">
        <v>939</v>
      </c>
      <c r="D683" t="s">
        <v>63</v>
      </c>
      <c r="E683" t="s">
        <v>16</v>
      </c>
      <c r="F683">
        <v>2</v>
      </c>
      <c r="G683" s="1">
        <v>22000</v>
      </c>
      <c r="H683">
        <v>62.5</v>
      </c>
      <c r="I683" s="1">
        <v>700</v>
      </c>
      <c r="J683" s="1">
        <v>270</v>
      </c>
      <c r="K683" s="1">
        <v>750</v>
      </c>
      <c r="L683">
        <v>3.67</v>
      </c>
      <c r="M6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40570</v>
      </c>
      <c r="N683" s="1">
        <f>International_Education_Costs[[#This Row],[Total_Cost]]/International_Education_Costs[[#This Row],[Duration_Years]]</f>
        <v>20285</v>
      </c>
      <c r="O683" s="1">
        <f>International_Education_Costs[[#This Row],[Rent_USD]] * 12 * International_Education_Costs[[#This Row],[Duration_Years]]</f>
        <v>16800</v>
      </c>
      <c r="P683" s="1">
        <f>International_Education_Costs[[#This Row],[Total_Cost]]-International_Education_Costs[[#This Row],[Tuition_USD]]</f>
        <v>18570</v>
      </c>
      <c r="Q683" s="2">
        <f>International_Education_Costs[[#This Row],[Tuition_USD]]/International_Education_Costs[[#This Row],[Total_Cost]]</f>
        <v>0.54227261523293069</v>
      </c>
    </row>
    <row r="684" spans="1:17" x14ac:dyDescent="0.25">
      <c r="A684" t="s">
        <v>335</v>
      </c>
      <c r="B684" t="s">
        <v>940</v>
      </c>
      <c r="C684" t="s">
        <v>941</v>
      </c>
      <c r="D684" t="s">
        <v>20</v>
      </c>
      <c r="E684" t="s">
        <v>16</v>
      </c>
      <c r="F684">
        <v>2</v>
      </c>
      <c r="G684" s="1">
        <v>0</v>
      </c>
      <c r="H684">
        <v>46.8</v>
      </c>
      <c r="I684" s="1">
        <v>380</v>
      </c>
      <c r="J684" s="1">
        <v>90</v>
      </c>
      <c r="K684" s="1">
        <v>400</v>
      </c>
      <c r="L684">
        <v>4.95</v>
      </c>
      <c r="M6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10010</v>
      </c>
      <c r="N684" s="1">
        <f>International_Education_Costs[[#This Row],[Total_Cost]]/International_Education_Costs[[#This Row],[Duration_Years]]</f>
        <v>5005</v>
      </c>
      <c r="O684" s="1">
        <f>International_Education_Costs[[#This Row],[Rent_USD]] * 12 * International_Education_Costs[[#This Row],[Duration_Years]]</f>
        <v>9120</v>
      </c>
      <c r="P684" s="1">
        <f>International_Education_Costs[[#This Row],[Total_Cost]]-International_Education_Costs[[#This Row],[Tuition_USD]]</f>
        <v>10010</v>
      </c>
      <c r="Q684" s="2">
        <f>International_Education_Costs[[#This Row],[Tuition_USD]]/International_Education_Costs[[#This Row],[Total_Cost]]</f>
        <v>0</v>
      </c>
    </row>
    <row r="685" spans="1:17" x14ac:dyDescent="0.25">
      <c r="A685" t="s">
        <v>156</v>
      </c>
      <c r="B685" t="s">
        <v>942</v>
      </c>
      <c r="C685" t="s">
        <v>943</v>
      </c>
      <c r="D685" t="s">
        <v>40</v>
      </c>
      <c r="E685" t="s">
        <v>122</v>
      </c>
      <c r="F685">
        <v>4</v>
      </c>
      <c r="G685" s="1">
        <v>1900</v>
      </c>
      <c r="H685">
        <v>39.799999999999997</v>
      </c>
      <c r="I685" s="1">
        <v>240</v>
      </c>
      <c r="J685" s="1">
        <v>180</v>
      </c>
      <c r="K685" s="1">
        <v>300</v>
      </c>
      <c r="L685">
        <v>82.75</v>
      </c>
      <c r="M6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14800</v>
      </c>
      <c r="N685" s="1">
        <f>International_Education_Costs[[#This Row],[Total_Cost]]/International_Education_Costs[[#This Row],[Duration_Years]]</f>
        <v>3700</v>
      </c>
      <c r="O685" s="1">
        <f>International_Education_Costs[[#This Row],[Rent_USD]] * 12 * International_Education_Costs[[#This Row],[Duration_Years]]</f>
        <v>11520</v>
      </c>
      <c r="P685" s="1">
        <f>International_Education_Costs[[#This Row],[Total_Cost]]-International_Education_Costs[[#This Row],[Tuition_USD]]</f>
        <v>12900</v>
      </c>
      <c r="Q685" s="2">
        <f>International_Education_Costs[[#This Row],[Tuition_USD]]/International_Education_Costs[[#This Row],[Total_Cost]]</f>
        <v>0.12837837837837837</v>
      </c>
    </row>
    <row r="686" spans="1:17" x14ac:dyDescent="0.25">
      <c r="A686" t="s">
        <v>351</v>
      </c>
      <c r="B686" t="s">
        <v>944</v>
      </c>
      <c r="C686" t="s">
        <v>945</v>
      </c>
      <c r="D686" t="s">
        <v>63</v>
      </c>
      <c r="E686" t="s">
        <v>75</v>
      </c>
      <c r="F686">
        <v>4</v>
      </c>
      <c r="G686" s="1">
        <v>8500</v>
      </c>
      <c r="H686">
        <v>42.5</v>
      </c>
      <c r="I686" s="1">
        <v>270</v>
      </c>
      <c r="J686" s="1">
        <v>80</v>
      </c>
      <c r="K686" s="1">
        <v>350</v>
      </c>
      <c r="L686">
        <v>35.25</v>
      </c>
      <c r="M6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22940</v>
      </c>
      <c r="N686" s="1">
        <f>International_Education_Costs[[#This Row],[Total_Cost]]/International_Education_Costs[[#This Row],[Duration_Years]]</f>
        <v>5735</v>
      </c>
      <c r="O686" s="1">
        <f>International_Education_Costs[[#This Row],[Rent_USD]] * 12 * International_Education_Costs[[#This Row],[Duration_Years]]</f>
        <v>12960</v>
      </c>
      <c r="P686" s="1">
        <f>International_Education_Costs[[#This Row],[Total_Cost]]-International_Education_Costs[[#This Row],[Tuition_USD]]</f>
        <v>14440</v>
      </c>
      <c r="Q686" s="2">
        <f>International_Education_Costs[[#This Row],[Tuition_USD]]/International_Education_Costs[[#This Row],[Total_Cost]]</f>
        <v>0.37053182214472535</v>
      </c>
    </row>
    <row r="687" spans="1:17" x14ac:dyDescent="0.25">
      <c r="A687" t="s">
        <v>366</v>
      </c>
      <c r="B687" t="s">
        <v>946</v>
      </c>
      <c r="C687" t="s">
        <v>947</v>
      </c>
      <c r="D687" t="s">
        <v>71</v>
      </c>
      <c r="E687" t="s">
        <v>16</v>
      </c>
      <c r="F687">
        <v>2</v>
      </c>
      <c r="G687" s="1">
        <v>1900</v>
      </c>
      <c r="H687">
        <v>27.8</v>
      </c>
      <c r="I687" s="1">
        <v>160</v>
      </c>
      <c r="J687" s="1">
        <v>100</v>
      </c>
      <c r="K687" s="1">
        <v>200</v>
      </c>
      <c r="L687">
        <v>30.9</v>
      </c>
      <c r="M6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6240</v>
      </c>
      <c r="N687" s="1">
        <f>International_Education_Costs[[#This Row],[Total_Cost]]/International_Education_Costs[[#This Row],[Duration_Years]]</f>
        <v>3120</v>
      </c>
      <c r="O687" s="1">
        <f>International_Education_Costs[[#This Row],[Rent_USD]] * 12 * International_Education_Costs[[#This Row],[Duration_Years]]</f>
        <v>3840</v>
      </c>
      <c r="P687" s="1">
        <f>International_Education_Costs[[#This Row],[Total_Cost]]-International_Education_Costs[[#This Row],[Tuition_USD]]</f>
        <v>4340</v>
      </c>
      <c r="Q687" s="2">
        <f>International_Education_Costs[[#This Row],[Tuition_USD]]/International_Education_Costs[[#This Row],[Total_Cost]]</f>
        <v>0.30448717948717946</v>
      </c>
    </row>
    <row r="688" spans="1:17" x14ac:dyDescent="0.25">
      <c r="A688" t="s">
        <v>354</v>
      </c>
      <c r="B688" t="s">
        <v>948</v>
      </c>
      <c r="C688" t="s">
        <v>949</v>
      </c>
      <c r="D688" t="s">
        <v>223</v>
      </c>
      <c r="E688" t="s">
        <v>75</v>
      </c>
      <c r="F688">
        <v>4</v>
      </c>
      <c r="G688" s="1">
        <v>21000</v>
      </c>
      <c r="H688">
        <v>61.4</v>
      </c>
      <c r="I688" s="1">
        <v>650</v>
      </c>
      <c r="J688" s="1">
        <v>270</v>
      </c>
      <c r="K688" s="1">
        <v>750</v>
      </c>
      <c r="L688">
        <v>3.67</v>
      </c>
      <c r="M6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55470</v>
      </c>
      <c r="N688" s="1">
        <f>International_Education_Costs[[#This Row],[Total_Cost]]/International_Education_Costs[[#This Row],[Duration_Years]]</f>
        <v>13867.5</v>
      </c>
      <c r="O688" s="1">
        <f>International_Education_Costs[[#This Row],[Rent_USD]] * 12 * International_Education_Costs[[#This Row],[Duration_Years]]</f>
        <v>31200</v>
      </c>
      <c r="P688" s="1">
        <f>International_Education_Costs[[#This Row],[Total_Cost]]-International_Education_Costs[[#This Row],[Tuition_USD]]</f>
        <v>34470</v>
      </c>
      <c r="Q688" s="2">
        <f>International_Education_Costs[[#This Row],[Tuition_USD]]/International_Education_Costs[[#This Row],[Total_Cost]]</f>
        <v>0.3785830178474851</v>
      </c>
    </row>
    <row r="689" spans="1:17" x14ac:dyDescent="0.25">
      <c r="A689" t="s">
        <v>950</v>
      </c>
      <c r="B689" t="s">
        <v>951</v>
      </c>
      <c r="C689" t="s">
        <v>952</v>
      </c>
      <c r="D689" t="s">
        <v>15</v>
      </c>
      <c r="E689" t="s">
        <v>16</v>
      </c>
      <c r="F689">
        <v>2</v>
      </c>
      <c r="G689" s="1">
        <v>0</v>
      </c>
      <c r="H689">
        <v>84.5</v>
      </c>
      <c r="I689" s="1">
        <v>1200</v>
      </c>
      <c r="J689" s="1">
        <v>140</v>
      </c>
      <c r="K689" s="1">
        <v>900</v>
      </c>
      <c r="L689">
        <v>137.5</v>
      </c>
      <c r="M6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30740</v>
      </c>
      <c r="N689" s="1">
        <f>International_Education_Costs[[#This Row],[Total_Cost]]/International_Education_Costs[[#This Row],[Duration_Years]]</f>
        <v>15370</v>
      </c>
      <c r="O689" s="1">
        <f>International_Education_Costs[[#This Row],[Rent_USD]] * 12 * International_Education_Costs[[#This Row],[Duration_Years]]</f>
        <v>28800</v>
      </c>
      <c r="P689" s="1">
        <f>International_Education_Costs[[#This Row],[Total_Cost]]-International_Education_Costs[[#This Row],[Tuition_USD]]</f>
        <v>30740</v>
      </c>
      <c r="Q689" s="2">
        <f>International_Education_Costs[[#This Row],[Tuition_USD]]/International_Education_Costs[[#This Row],[Total_Cost]]</f>
        <v>0</v>
      </c>
    </row>
    <row r="690" spans="1:17" x14ac:dyDescent="0.25">
      <c r="A690" t="s">
        <v>953</v>
      </c>
      <c r="B690" t="s">
        <v>954</v>
      </c>
      <c r="C690" t="s">
        <v>955</v>
      </c>
      <c r="D690" t="s">
        <v>208</v>
      </c>
      <c r="E690" t="s">
        <v>16</v>
      </c>
      <c r="F690">
        <v>2</v>
      </c>
      <c r="G690" s="1">
        <v>3500</v>
      </c>
      <c r="H690">
        <v>41.2</v>
      </c>
      <c r="I690" s="1">
        <v>400</v>
      </c>
      <c r="J690" s="1">
        <v>80</v>
      </c>
      <c r="K690" s="1">
        <v>300</v>
      </c>
      <c r="L690">
        <v>3950</v>
      </c>
      <c r="M6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13780</v>
      </c>
      <c r="N690" s="1">
        <f>International_Education_Costs[[#This Row],[Total_Cost]]/International_Education_Costs[[#This Row],[Duration_Years]]</f>
        <v>6890</v>
      </c>
      <c r="O690" s="1">
        <f>International_Education_Costs[[#This Row],[Rent_USD]] * 12 * International_Education_Costs[[#This Row],[Duration_Years]]</f>
        <v>9600</v>
      </c>
      <c r="P690" s="1">
        <f>International_Education_Costs[[#This Row],[Total_Cost]]-International_Education_Costs[[#This Row],[Tuition_USD]]</f>
        <v>10280</v>
      </c>
      <c r="Q690" s="2">
        <f>International_Education_Costs[[#This Row],[Tuition_USD]]/International_Education_Costs[[#This Row],[Total_Cost]]</f>
        <v>0.2539912917271408</v>
      </c>
    </row>
    <row r="691" spans="1:17" x14ac:dyDescent="0.25">
      <c r="A691" t="s">
        <v>161</v>
      </c>
      <c r="B691" t="s">
        <v>162</v>
      </c>
      <c r="C691" t="s">
        <v>163</v>
      </c>
      <c r="D691" t="s">
        <v>20</v>
      </c>
      <c r="E691" t="s">
        <v>122</v>
      </c>
      <c r="F691">
        <v>4</v>
      </c>
      <c r="G691" s="1">
        <v>3000</v>
      </c>
      <c r="H691">
        <v>54.8</v>
      </c>
      <c r="I691" s="1">
        <v>650</v>
      </c>
      <c r="J691" s="1">
        <v>80</v>
      </c>
      <c r="K691" s="1">
        <v>400</v>
      </c>
      <c r="L691">
        <v>4.0999999999999996</v>
      </c>
      <c r="M6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35880</v>
      </c>
      <c r="N691" s="1">
        <f>International_Education_Costs[[#This Row],[Total_Cost]]/International_Education_Costs[[#This Row],[Duration_Years]]</f>
        <v>8970</v>
      </c>
      <c r="O691" s="1">
        <f>International_Education_Costs[[#This Row],[Rent_USD]] * 12 * International_Education_Costs[[#This Row],[Duration_Years]]</f>
        <v>31200</v>
      </c>
      <c r="P691" s="1">
        <f>International_Education_Costs[[#This Row],[Total_Cost]]-International_Education_Costs[[#This Row],[Tuition_USD]]</f>
        <v>32880</v>
      </c>
      <c r="Q691" s="2">
        <f>International_Education_Costs[[#This Row],[Tuition_USD]]/International_Education_Costs[[#This Row],[Total_Cost]]</f>
        <v>8.3612040133779264E-2</v>
      </c>
    </row>
    <row r="692" spans="1:17" x14ac:dyDescent="0.25">
      <c r="A692" t="s">
        <v>956</v>
      </c>
      <c r="B692" t="s">
        <v>957</v>
      </c>
      <c r="C692" t="s">
        <v>958</v>
      </c>
      <c r="D692" t="s">
        <v>63</v>
      </c>
      <c r="E692" t="s">
        <v>75</v>
      </c>
      <c r="F692">
        <v>3</v>
      </c>
      <c r="G692" s="1">
        <v>2500</v>
      </c>
      <c r="H692">
        <v>45.2</v>
      </c>
      <c r="I692" s="1">
        <v>450</v>
      </c>
      <c r="J692" s="1">
        <v>120</v>
      </c>
      <c r="K692" s="1">
        <v>350</v>
      </c>
      <c r="L692">
        <v>4.6500000000000004</v>
      </c>
      <c r="M6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19870</v>
      </c>
      <c r="N692" s="1">
        <f>International_Education_Costs[[#This Row],[Total_Cost]]/International_Education_Costs[[#This Row],[Duration_Years]]</f>
        <v>6623.333333333333</v>
      </c>
      <c r="O692" s="1">
        <f>International_Education_Costs[[#This Row],[Rent_USD]] * 12 * International_Education_Costs[[#This Row],[Duration_Years]]</f>
        <v>16200</v>
      </c>
      <c r="P692" s="1">
        <f>International_Education_Costs[[#This Row],[Total_Cost]]-International_Education_Costs[[#This Row],[Tuition_USD]]</f>
        <v>17370</v>
      </c>
      <c r="Q692" s="2">
        <f>International_Education_Costs[[#This Row],[Tuition_USD]]/International_Education_Costs[[#This Row],[Total_Cost]]</f>
        <v>0.12581781580271767</v>
      </c>
    </row>
    <row r="693" spans="1:17" x14ac:dyDescent="0.25">
      <c r="A693" t="s">
        <v>959</v>
      </c>
      <c r="B693" t="s">
        <v>960</v>
      </c>
      <c r="C693" t="s">
        <v>961</v>
      </c>
      <c r="D693" t="s">
        <v>40</v>
      </c>
      <c r="E693" t="s">
        <v>16</v>
      </c>
      <c r="F693">
        <v>2</v>
      </c>
      <c r="G693" s="1">
        <v>400</v>
      </c>
      <c r="H693">
        <v>83.2</v>
      </c>
      <c r="I693" s="1">
        <v>1400</v>
      </c>
      <c r="J693" s="1">
        <v>100</v>
      </c>
      <c r="K693" s="1">
        <v>800</v>
      </c>
      <c r="L693">
        <v>0.92</v>
      </c>
      <c r="M6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35700</v>
      </c>
      <c r="N693" s="1">
        <f>International_Education_Costs[[#This Row],[Total_Cost]]/International_Education_Costs[[#This Row],[Duration_Years]]</f>
        <v>17850</v>
      </c>
      <c r="O693" s="1">
        <f>International_Education_Costs[[#This Row],[Rent_USD]] * 12 * International_Education_Costs[[#This Row],[Duration_Years]]</f>
        <v>33600</v>
      </c>
      <c r="P693" s="1">
        <f>International_Education_Costs[[#This Row],[Total_Cost]]-International_Education_Costs[[#This Row],[Tuition_USD]]</f>
        <v>35300</v>
      </c>
      <c r="Q693" s="2">
        <f>International_Education_Costs[[#This Row],[Tuition_USD]]/International_Education_Costs[[#This Row],[Total_Cost]]</f>
        <v>1.1204481792717087E-2</v>
      </c>
    </row>
    <row r="694" spans="1:17" x14ac:dyDescent="0.25">
      <c r="A694" t="s">
        <v>372</v>
      </c>
      <c r="B694" t="s">
        <v>373</v>
      </c>
      <c r="C694" t="s">
        <v>374</v>
      </c>
      <c r="D694" t="s">
        <v>216</v>
      </c>
      <c r="E694" t="s">
        <v>16</v>
      </c>
      <c r="F694">
        <v>2</v>
      </c>
      <c r="G694" s="1">
        <v>5000</v>
      </c>
      <c r="H694">
        <v>45.8</v>
      </c>
      <c r="I694" s="1">
        <v>400</v>
      </c>
      <c r="J694" s="1">
        <v>150</v>
      </c>
      <c r="K694" s="1">
        <v>250</v>
      </c>
      <c r="L694">
        <v>15600</v>
      </c>
      <c r="M6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15250</v>
      </c>
      <c r="N694" s="1">
        <f>International_Education_Costs[[#This Row],[Total_Cost]]/International_Education_Costs[[#This Row],[Duration_Years]]</f>
        <v>7625</v>
      </c>
      <c r="O694" s="1">
        <f>International_Education_Costs[[#This Row],[Rent_USD]] * 12 * International_Education_Costs[[#This Row],[Duration_Years]]</f>
        <v>9600</v>
      </c>
      <c r="P694" s="1">
        <f>International_Education_Costs[[#This Row],[Total_Cost]]-International_Education_Costs[[#This Row],[Tuition_USD]]</f>
        <v>10250</v>
      </c>
      <c r="Q694" s="2">
        <f>International_Education_Costs[[#This Row],[Tuition_USD]]/International_Education_Costs[[#This Row],[Total_Cost]]</f>
        <v>0.32786885245901637</v>
      </c>
    </row>
    <row r="695" spans="1:17" x14ac:dyDescent="0.25">
      <c r="A695" t="s">
        <v>950</v>
      </c>
      <c r="B695" t="s">
        <v>962</v>
      </c>
      <c r="C695" t="s">
        <v>963</v>
      </c>
      <c r="D695" t="s">
        <v>71</v>
      </c>
      <c r="E695" t="s">
        <v>75</v>
      </c>
      <c r="F695">
        <v>3</v>
      </c>
      <c r="G695" s="1">
        <v>0</v>
      </c>
      <c r="H695">
        <v>78.400000000000006</v>
      </c>
      <c r="I695" s="1">
        <v>900</v>
      </c>
      <c r="J695" s="1">
        <v>140</v>
      </c>
      <c r="K695" s="1">
        <v>900</v>
      </c>
      <c r="L695">
        <v>137.5</v>
      </c>
      <c r="M6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35240</v>
      </c>
      <c r="N695" s="1">
        <f>International_Education_Costs[[#This Row],[Total_Cost]]/International_Education_Costs[[#This Row],[Duration_Years]]</f>
        <v>11746.666666666666</v>
      </c>
      <c r="O695" s="1">
        <f>International_Education_Costs[[#This Row],[Rent_USD]] * 12 * International_Education_Costs[[#This Row],[Duration_Years]]</f>
        <v>32400</v>
      </c>
      <c r="P695" s="1">
        <f>International_Education_Costs[[#This Row],[Total_Cost]]-International_Education_Costs[[#This Row],[Tuition_USD]]</f>
        <v>35240</v>
      </c>
      <c r="Q695" s="2">
        <f>International_Education_Costs[[#This Row],[Tuition_USD]]/International_Education_Costs[[#This Row],[Total_Cost]]</f>
        <v>0</v>
      </c>
    </row>
    <row r="696" spans="1:17" x14ac:dyDescent="0.25">
      <c r="A696" t="s">
        <v>953</v>
      </c>
      <c r="B696" t="s">
        <v>964</v>
      </c>
      <c r="C696" t="s">
        <v>965</v>
      </c>
      <c r="D696" t="s">
        <v>15</v>
      </c>
      <c r="E696" t="s">
        <v>122</v>
      </c>
      <c r="F696">
        <v>4</v>
      </c>
      <c r="G696" s="1">
        <v>4000</v>
      </c>
      <c r="H696">
        <v>38.5</v>
      </c>
      <c r="I696" s="1">
        <v>350</v>
      </c>
      <c r="J696" s="1">
        <v>80</v>
      </c>
      <c r="K696" s="1">
        <v>300</v>
      </c>
      <c r="L696">
        <v>3950</v>
      </c>
      <c r="M6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22080</v>
      </c>
      <c r="N696" s="1">
        <f>International_Education_Costs[[#This Row],[Total_Cost]]/International_Education_Costs[[#This Row],[Duration_Years]]</f>
        <v>5520</v>
      </c>
      <c r="O696" s="1">
        <f>International_Education_Costs[[#This Row],[Rent_USD]] * 12 * International_Education_Costs[[#This Row],[Duration_Years]]</f>
        <v>16800</v>
      </c>
      <c r="P696" s="1">
        <f>International_Education_Costs[[#This Row],[Total_Cost]]-International_Education_Costs[[#This Row],[Tuition_USD]]</f>
        <v>18080</v>
      </c>
      <c r="Q696" s="2">
        <f>International_Education_Costs[[#This Row],[Tuition_USD]]/International_Education_Costs[[#This Row],[Total_Cost]]</f>
        <v>0.18115942028985507</v>
      </c>
    </row>
    <row r="697" spans="1:17" x14ac:dyDescent="0.25">
      <c r="A697" t="s">
        <v>161</v>
      </c>
      <c r="B697" t="s">
        <v>966</v>
      </c>
      <c r="C697" t="s">
        <v>967</v>
      </c>
      <c r="D697" t="s">
        <v>242</v>
      </c>
      <c r="E697" t="s">
        <v>16</v>
      </c>
      <c r="F697">
        <v>2</v>
      </c>
      <c r="G697" s="1">
        <v>2800</v>
      </c>
      <c r="H697">
        <v>52.4</v>
      </c>
      <c r="I697" s="1">
        <v>600</v>
      </c>
      <c r="J697" s="1">
        <v>80</v>
      </c>
      <c r="K697" s="1">
        <v>400</v>
      </c>
      <c r="L697">
        <v>4.0999999999999996</v>
      </c>
      <c r="M6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18080</v>
      </c>
      <c r="N697" s="1">
        <f>International_Education_Costs[[#This Row],[Total_Cost]]/International_Education_Costs[[#This Row],[Duration_Years]]</f>
        <v>9040</v>
      </c>
      <c r="O697" s="1">
        <f>International_Education_Costs[[#This Row],[Rent_USD]] * 12 * International_Education_Costs[[#This Row],[Duration_Years]]</f>
        <v>14400</v>
      </c>
      <c r="P697" s="1">
        <f>International_Education_Costs[[#This Row],[Total_Cost]]-International_Education_Costs[[#This Row],[Tuition_USD]]</f>
        <v>15280</v>
      </c>
      <c r="Q697" s="2">
        <f>International_Education_Costs[[#This Row],[Tuition_USD]]/International_Education_Costs[[#This Row],[Total_Cost]]</f>
        <v>0.15486725663716813</v>
      </c>
    </row>
    <row r="698" spans="1:17" x14ac:dyDescent="0.25">
      <c r="A698" t="s">
        <v>956</v>
      </c>
      <c r="B698" t="s">
        <v>968</v>
      </c>
      <c r="C698" t="s">
        <v>969</v>
      </c>
      <c r="D698" t="s">
        <v>20</v>
      </c>
      <c r="E698" t="s">
        <v>16</v>
      </c>
      <c r="F698">
        <v>2</v>
      </c>
      <c r="G698" s="1">
        <v>2200</v>
      </c>
      <c r="H698">
        <v>43.8</v>
      </c>
      <c r="I698" s="1">
        <v>400</v>
      </c>
      <c r="J698" s="1">
        <v>120</v>
      </c>
      <c r="K698" s="1">
        <v>350</v>
      </c>
      <c r="L698">
        <v>4.6500000000000004</v>
      </c>
      <c r="M6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12620</v>
      </c>
      <c r="N698" s="1">
        <f>International_Education_Costs[[#This Row],[Total_Cost]]/International_Education_Costs[[#This Row],[Duration_Years]]</f>
        <v>6310</v>
      </c>
      <c r="O698" s="1">
        <f>International_Education_Costs[[#This Row],[Rent_USD]] * 12 * International_Education_Costs[[#This Row],[Duration_Years]]</f>
        <v>9600</v>
      </c>
      <c r="P698" s="1">
        <f>International_Education_Costs[[#This Row],[Total_Cost]]-International_Education_Costs[[#This Row],[Tuition_USD]]</f>
        <v>10420</v>
      </c>
      <c r="Q698" s="2">
        <f>International_Education_Costs[[#This Row],[Tuition_USD]]/International_Education_Costs[[#This Row],[Total_Cost]]</f>
        <v>0.17432646592709986</v>
      </c>
    </row>
    <row r="699" spans="1:17" x14ac:dyDescent="0.25">
      <c r="A699" t="s">
        <v>959</v>
      </c>
      <c r="B699" t="s">
        <v>970</v>
      </c>
      <c r="C699" t="s">
        <v>971</v>
      </c>
      <c r="D699" t="s">
        <v>252</v>
      </c>
      <c r="E699" t="s">
        <v>16</v>
      </c>
      <c r="F699">
        <v>2</v>
      </c>
      <c r="G699" s="1">
        <v>400</v>
      </c>
      <c r="H699">
        <v>79.5</v>
      </c>
      <c r="I699" s="1">
        <v>1200</v>
      </c>
      <c r="J699" s="1">
        <v>100</v>
      </c>
      <c r="K699" s="1">
        <v>800</v>
      </c>
      <c r="L699">
        <v>0.92</v>
      </c>
      <c r="M6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30900</v>
      </c>
      <c r="N699" s="1">
        <f>International_Education_Costs[[#This Row],[Total_Cost]]/International_Education_Costs[[#This Row],[Duration_Years]]</f>
        <v>15450</v>
      </c>
      <c r="O699" s="1">
        <f>International_Education_Costs[[#This Row],[Rent_USD]] * 12 * International_Education_Costs[[#This Row],[Duration_Years]]</f>
        <v>28800</v>
      </c>
      <c r="P699" s="1">
        <f>International_Education_Costs[[#This Row],[Total_Cost]]-International_Education_Costs[[#This Row],[Tuition_USD]]</f>
        <v>30500</v>
      </c>
      <c r="Q699" s="2">
        <f>International_Education_Costs[[#This Row],[Tuition_USD]]/International_Education_Costs[[#This Row],[Total_Cost]]</f>
        <v>1.2944983818770227E-2</v>
      </c>
    </row>
    <row r="700" spans="1:17" x14ac:dyDescent="0.25">
      <c r="A700" t="s">
        <v>372</v>
      </c>
      <c r="B700" t="s">
        <v>972</v>
      </c>
      <c r="C700" t="s">
        <v>973</v>
      </c>
      <c r="D700" t="s">
        <v>63</v>
      </c>
      <c r="E700" t="s">
        <v>122</v>
      </c>
      <c r="F700">
        <v>4</v>
      </c>
      <c r="G700" s="1">
        <v>4500</v>
      </c>
      <c r="H700">
        <v>42.4</v>
      </c>
      <c r="I700" s="1">
        <v>300</v>
      </c>
      <c r="J700" s="1">
        <v>150</v>
      </c>
      <c r="K700" s="1">
        <v>250</v>
      </c>
      <c r="L700">
        <v>15600</v>
      </c>
      <c r="M7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20050</v>
      </c>
      <c r="N700" s="1">
        <f>International_Education_Costs[[#This Row],[Total_Cost]]/International_Education_Costs[[#This Row],[Duration_Years]]</f>
        <v>5012.5</v>
      </c>
      <c r="O700" s="1">
        <f>International_Education_Costs[[#This Row],[Rent_USD]] * 12 * International_Education_Costs[[#This Row],[Duration_Years]]</f>
        <v>14400</v>
      </c>
      <c r="P700" s="1">
        <f>International_Education_Costs[[#This Row],[Total_Cost]]-International_Education_Costs[[#This Row],[Tuition_USD]]</f>
        <v>15550</v>
      </c>
      <c r="Q700" s="2">
        <f>International_Education_Costs[[#This Row],[Tuition_USD]]/International_Education_Costs[[#This Row],[Total_Cost]]</f>
        <v>0.22443890274314215</v>
      </c>
    </row>
    <row r="701" spans="1:17" x14ac:dyDescent="0.25">
      <c r="A701" t="s">
        <v>950</v>
      </c>
      <c r="B701" t="s">
        <v>951</v>
      </c>
      <c r="C701" t="s">
        <v>974</v>
      </c>
      <c r="D701" t="s">
        <v>137</v>
      </c>
      <c r="E701" t="s">
        <v>16</v>
      </c>
      <c r="F701">
        <v>2</v>
      </c>
      <c r="G701" s="1">
        <v>0</v>
      </c>
      <c r="H701">
        <v>84.5</v>
      </c>
      <c r="I701" s="1">
        <v>1150</v>
      </c>
      <c r="J701" s="1">
        <v>140</v>
      </c>
      <c r="K701" s="1">
        <v>900</v>
      </c>
      <c r="L701">
        <v>137.5</v>
      </c>
      <c r="M7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29540</v>
      </c>
      <c r="N701" s="1">
        <f>International_Education_Costs[[#This Row],[Total_Cost]]/International_Education_Costs[[#This Row],[Duration_Years]]</f>
        <v>14770</v>
      </c>
      <c r="O701" s="1">
        <f>International_Education_Costs[[#This Row],[Rent_USD]] * 12 * International_Education_Costs[[#This Row],[Duration_Years]]</f>
        <v>27600</v>
      </c>
      <c r="P701" s="1">
        <f>International_Education_Costs[[#This Row],[Total_Cost]]-International_Education_Costs[[#This Row],[Tuition_USD]]</f>
        <v>29540</v>
      </c>
      <c r="Q701" s="2">
        <f>International_Education_Costs[[#This Row],[Tuition_USD]]/International_Education_Costs[[#This Row],[Total_Cost]]</f>
        <v>0</v>
      </c>
    </row>
    <row r="702" spans="1:17" x14ac:dyDescent="0.25">
      <c r="A702" t="s">
        <v>953</v>
      </c>
      <c r="B702" t="s">
        <v>975</v>
      </c>
      <c r="C702" t="s">
        <v>976</v>
      </c>
      <c r="D702" t="s">
        <v>223</v>
      </c>
      <c r="E702" t="s">
        <v>75</v>
      </c>
      <c r="F702">
        <v>4</v>
      </c>
      <c r="G702" s="1">
        <v>3200</v>
      </c>
      <c r="H702">
        <v>36.799999999999997</v>
      </c>
      <c r="I702" s="1">
        <v>300</v>
      </c>
      <c r="J702" s="1">
        <v>80</v>
      </c>
      <c r="K702" s="1">
        <v>300</v>
      </c>
      <c r="L702">
        <v>3950</v>
      </c>
      <c r="M7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18880</v>
      </c>
      <c r="N702" s="1">
        <f>International_Education_Costs[[#This Row],[Total_Cost]]/International_Education_Costs[[#This Row],[Duration_Years]]</f>
        <v>4720</v>
      </c>
      <c r="O702" s="1">
        <f>International_Education_Costs[[#This Row],[Rent_USD]] * 12 * International_Education_Costs[[#This Row],[Duration_Years]]</f>
        <v>14400</v>
      </c>
      <c r="P702" s="1">
        <f>International_Education_Costs[[#This Row],[Total_Cost]]-International_Education_Costs[[#This Row],[Tuition_USD]]</f>
        <v>15680</v>
      </c>
      <c r="Q702" s="2">
        <f>International_Education_Costs[[#This Row],[Tuition_USD]]/International_Education_Costs[[#This Row],[Total_Cost]]</f>
        <v>0.16949152542372881</v>
      </c>
    </row>
    <row r="703" spans="1:17" x14ac:dyDescent="0.25">
      <c r="A703" t="s">
        <v>161</v>
      </c>
      <c r="B703" t="s">
        <v>977</v>
      </c>
      <c r="C703" t="s">
        <v>978</v>
      </c>
      <c r="D703" t="s">
        <v>40</v>
      </c>
      <c r="E703" t="s">
        <v>16</v>
      </c>
      <c r="F703">
        <v>2</v>
      </c>
      <c r="G703" s="1">
        <v>2600</v>
      </c>
      <c r="H703">
        <v>50.5</v>
      </c>
      <c r="I703" s="1">
        <v>550</v>
      </c>
      <c r="J703" s="1">
        <v>80</v>
      </c>
      <c r="K703" s="1">
        <v>400</v>
      </c>
      <c r="L703">
        <v>4.0999999999999996</v>
      </c>
      <c r="M7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16680</v>
      </c>
      <c r="N703" s="1">
        <f>International_Education_Costs[[#This Row],[Total_Cost]]/International_Education_Costs[[#This Row],[Duration_Years]]</f>
        <v>8340</v>
      </c>
      <c r="O703" s="1">
        <f>International_Education_Costs[[#This Row],[Rent_USD]] * 12 * International_Education_Costs[[#This Row],[Duration_Years]]</f>
        <v>13200</v>
      </c>
      <c r="P703" s="1">
        <f>International_Education_Costs[[#This Row],[Total_Cost]]-International_Education_Costs[[#This Row],[Tuition_USD]]</f>
        <v>14080</v>
      </c>
      <c r="Q703" s="2">
        <f>International_Education_Costs[[#This Row],[Tuition_USD]]/International_Education_Costs[[#This Row],[Total_Cost]]</f>
        <v>0.15587529976019185</v>
      </c>
    </row>
    <row r="704" spans="1:17" x14ac:dyDescent="0.25">
      <c r="A704" t="s">
        <v>956</v>
      </c>
      <c r="B704" t="s">
        <v>979</v>
      </c>
      <c r="C704" t="s">
        <v>980</v>
      </c>
      <c r="D704" t="s">
        <v>208</v>
      </c>
      <c r="E704" t="s">
        <v>122</v>
      </c>
      <c r="F704">
        <v>4</v>
      </c>
      <c r="G704" s="1">
        <v>2400</v>
      </c>
      <c r="H704">
        <v>42.5</v>
      </c>
      <c r="I704" s="1">
        <v>380</v>
      </c>
      <c r="J704" s="1">
        <v>120</v>
      </c>
      <c r="K704" s="1">
        <v>350</v>
      </c>
      <c r="L704">
        <v>4.6500000000000004</v>
      </c>
      <c r="M7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22160</v>
      </c>
      <c r="N704" s="1">
        <f>International_Education_Costs[[#This Row],[Total_Cost]]/International_Education_Costs[[#This Row],[Duration_Years]]</f>
        <v>5540</v>
      </c>
      <c r="O704" s="1">
        <f>International_Education_Costs[[#This Row],[Rent_USD]] * 12 * International_Education_Costs[[#This Row],[Duration_Years]]</f>
        <v>18240</v>
      </c>
      <c r="P704" s="1">
        <f>International_Education_Costs[[#This Row],[Total_Cost]]-International_Education_Costs[[#This Row],[Tuition_USD]]</f>
        <v>19760</v>
      </c>
      <c r="Q704" s="2">
        <f>International_Education_Costs[[#This Row],[Tuition_USD]]/International_Education_Costs[[#This Row],[Total_Cost]]</f>
        <v>0.10830324909747292</v>
      </c>
    </row>
    <row r="705" spans="1:17" x14ac:dyDescent="0.25">
      <c r="A705" t="s">
        <v>959</v>
      </c>
      <c r="B705" t="s">
        <v>981</v>
      </c>
      <c r="C705" t="s">
        <v>982</v>
      </c>
      <c r="D705" t="s">
        <v>15</v>
      </c>
      <c r="E705" t="s">
        <v>75</v>
      </c>
      <c r="F705">
        <v>3</v>
      </c>
      <c r="G705" s="1">
        <v>400</v>
      </c>
      <c r="H705">
        <v>78.400000000000006</v>
      </c>
      <c r="I705" s="1">
        <v>1100</v>
      </c>
      <c r="J705" s="1">
        <v>100</v>
      </c>
      <c r="K705" s="1">
        <v>800</v>
      </c>
      <c r="L705">
        <v>0.92</v>
      </c>
      <c r="M7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42500</v>
      </c>
      <c r="N705" s="1">
        <f>International_Education_Costs[[#This Row],[Total_Cost]]/International_Education_Costs[[#This Row],[Duration_Years]]</f>
        <v>14166.666666666666</v>
      </c>
      <c r="O705" s="1">
        <f>International_Education_Costs[[#This Row],[Rent_USD]] * 12 * International_Education_Costs[[#This Row],[Duration_Years]]</f>
        <v>39600</v>
      </c>
      <c r="P705" s="1">
        <f>International_Education_Costs[[#This Row],[Total_Cost]]-International_Education_Costs[[#This Row],[Tuition_USD]]</f>
        <v>42100</v>
      </c>
      <c r="Q705" s="2">
        <f>International_Education_Costs[[#This Row],[Tuition_USD]]/International_Education_Costs[[#This Row],[Total_Cost]]</f>
        <v>9.4117647058823521E-3</v>
      </c>
    </row>
    <row r="706" spans="1:17" x14ac:dyDescent="0.25">
      <c r="A706" t="s">
        <v>372</v>
      </c>
      <c r="B706" t="s">
        <v>983</v>
      </c>
      <c r="C706" t="s">
        <v>984</v>
      </c>
      <c r="D706" t="s">
        <v>20</v>
      </c>
      <c r="E706" t="s">
        <v>16</v>
      </c>
      <c r="F706">
        <v>2</v>
      </c>
      <c r="G706" s="1">
        <v>4000</v>
      </c>
      <c r="H706">
        <v>40.200000000000003</v>
      </c>
      <c r="I706" s="1">
        <v>250</v>
      </c>
      <c r="J706" s="1">
        <v>150</v>
      </c>
      <c r="K706" s="1">
        <v>250</v>
      </c>
      <c r="L706">
        <v>15600</v>
      </c>
      <c r="M7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10650</v>
      </c>
      <c r="N706" s="1">
        <f>International_Education_Costs[[#This Row],[Total_Cost]]/International_Education_Costs[[#This Row],[Duration_Years]]</f>
        <v>5325</v>
      </c>
      <c r="O706" s="1">
        <f>International_Education_Costs[[#This Row],[Rent_USD]] * 12 * International_Education_Costs[[#This Row],[Duration_Years]]</f>
        <v>6000</v>
      </c>
      <c r="P706" s="1">
        <f>International_Education_Costs[[#This Row],[Total_Cost]]-International_Education_Costs[[#This Row],[Tuition_USD]]</f>
        <v>6650</v>
      </c>
      <c r="Q706" s="2">
        <f>International_Education_Costs[[#This Row],[Tuition_USD]]/International_Education_Costs[[#This Row],[Total_Cost]]</f>
        <v>0.37558685446009388</v>
      </c>
    </row>
    <row r="707" spans="1:17" x14ac:dyDescent="0.25">
      <c r="A707" t="s">
        <v>950</v>
      </c>
      <c r="B707" t="s">
        <v>985</v>
      </c>
      <c r="C707" t="s">
        <v>986</v>
      </c>
      <c r="D707" t="s">
        <v>987</v>
      </c>
      <c r="E707" t="s">
        <v>16</v>
      </c>
      <c r="F707">
        <v>2</v>
      </c>
      <c r="G707" s="1">
        <v>0</v>
      </c>
      <c r="H707">
        <v>82.1</v>
      </c>
      <c r="I707" s="1">
        <v>1000</v>
      </c>
      <c r="J707" s="1">
        <v>140</v>
      </c>
      <c r="K707" s="1">
        <v>900</v>
      </c>
      <c r="L707">
        <v>137.5</v>
      </c>
      <c r="M7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25940</v>
      </c>
      <c r="N707" s="1">
        <f>International_Education_Costs[[#This Row],[Total_Cost]]/International_Education_Costs[[#This Row],[Duration_Years]]</f>
        <v>12970</v>
      </c>
      <c r="O707" s="1">
        <f>International_Education_Costs[[#This Row],[Rent_USD]] * 12 * International_Education_Costs[[#This Row],[Duration_Years]]</f>
        <v>24000</v>
      </c>
      <c r="P707" s="1">
        <f>International_Education_Costs[[#This Row],[Total_Cost]]-International_Education_Costs[[#This Row],[Tuition_USD]]</f>
        <v>25940</v>
      </c>
      <c r="Q707" s="2">
        <f>International_Education_Costs[[#This Row],[Tuition_USD]]/International_Education_Costs[[#This Row],[Total_Cost]]</f>
        <v>0</v>
      </c>
    </row>
    <row r="708" spans="1:17" x14ac:dyDescent="0.25">
      <c r="A708" t="s">
        <v>953</v>
      </c>
      <c r="B708" t="s">
        <v>988</v>
      </c>
      <c r="C708" t="s">
        <v>989</v>
      </c>
      <c r="D708" t="s">
        <v>63</v>
      </c>
      <c r="E708" t="s">
        <v>16</v>
      </c>
      <c r="F708">
        <v>2</v>
      </c>
      <c r="G708" s="1">
        <v>3800</v>
      </c>
      <c r="H708">
        <v>35.4</v>
      </c>
      <c r="I708" s="1">
        <v>280</v>
      </c>
      <c r="J708" s="1">
        <v>80</v>
      </c>
      <c r="K708" s="1">
        <v>300</v>
      </c>
      <c r="L708">
        <v>3950</v>
      </c>
      <c r="M7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11200</v>
      </c>
      <c r="N708" s="1">
        <f>International_Education_Costs[[#This Row],[Total_Cost]]/International_Education_Costs[[#This Row],[Duration_Years]]</f>
        <v>5600</v>
      </c>
      <c r="O708" s="1">
        <f>International_Education_Costs[[#This Row],[Rent_USD]] * 12 * International_Education_Costs[[#This Row],[Duration_Years]]</f>
        <v>6720</v>
      </c>
      <c r="P708" s="1">
        <f>International_Education_Costs[[#This Row],[Total_Cost]]-International_Education_Costs[[#This Row],[Tuition_USD]]</f>
        <v>7400</v>
      </c>
      <c r="Q708" s="2">
        <f>International_Education_Costs[[#This Row],[Tuition_USD]]/International_Education_Costs[[#This Row],[Total_Cost]]</f>
        <v>0.3392857142857143</v>
      </c>
    </row>
    <row r="709" spans="1:17" x14ac:dyDescent="0.25">
      <c r="A709" t="s">
        <v>161</v>
      </c>
      <c r="B709" t="s">
        <v>990</v>
      </c>
      <c r="C709" t="s">
        <v>991</v>
      </c>
      <c r="D709" t="s">
        <v>15</v>
      </c>
      <c r="E709" t="s">
        <v>122</v>
      </c>
      <c r="F709">
        <v>4</v>
      </c>
      <c r="G709" s="1">
        <v>2700</v>
      </c>
      <c r="H709">
        <v>51.2</v>
      </c>
      <c r="I709" s="1">
        <v>580</v>
      </c>
      <c r="J709" s="1">
        <v>80</v>
      </c>
      <c r="K709" s="1">
        <v>400</v>
      </c>
      <c r="L709">
        <v>4.0999999999999996</v>
      </c>
      <c r="M7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32220</v>
      </c>
      <c r="N709" s="1">
        <f>International_Education_Costs[[#This Row],[Total_Cost]]/International_Education_Costs[[#This Row],[Duration_Years]]</f>
        <v>8055</v>
      </c>
      <c r="O709" s="1">
        <f>International_Education_Costs[[#This Row],[Rent_USD]] * 12 * International_Education_Costs[[#This Row],[Duration_Years]]</f>
        <v>27840</v>
      </c>
      <c r="P709" s="1">
        <f>International_Education_Costs[[#This Row],[Total_Cost]]-International_Education_Costs[[#This Row],[Tuition_USD]]</f>
        <v>29520</v>
      </c>
      <c r="Q709" s="2">
        <f>International_Education_Costs[[#This Row],[Tuition_USD]]/International_Education_Costs[[#This Row],[Total_Cost]]</f>
        <v>8.3798882681564241E-2</v>
      </c>
    </row>
    <row r="710" spans="1:17" x14ac:dyDescent="0.25">
      <c r="A710" t="s">
        <v>956</v>
      </c>
      <c r="B710" t="s">
        <v>992</v>
      </c>
      <c r="C710" t="s">
        <v>993</v>
      </c>
      <c r="D710" t="s">
        <v>216</v>
      </c>
      <c r="E710" t="s">
        <v>16</v>
      </c>
      <c r="F710">
        <v>2</v>
      </c>
      <c r="G710" s="1">
        <v>2100</v>
      </c>
      <c r="H710">
        <v>41.8</v>
      </c>
      <c r="I710" s="1">
        <v>350</v>
      </c>
      <c r="J710" s="1">
        <v>120</v>
      </c>
      <c r="K710" s="1">
        <v>350</v>
      </c>
      <c r="L710">
        <v>4.6500000000000004</v>
      </c>
      <c r="M7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11320</v>
      </c>
      <c r="N710" s="1">
        <f>International_Education_Costs[[#This Row],[Total_Cost]]/International_Education_Costs[[#This Row],[Duration_Years]]</f>
        <v>5660</v>
      </c>
      <c r="O710" s="1">
        <f>International_Education_Costs[[#This Row],[Rent_USD]] * 12 * International_Education_Costs[[#This Row],[Duration_Years]]</f>
        <v>8400</v>
      </c>
      <c r="P710" s="1">
        <f>International_Education_Costs[[#This Row],[Total_Cost]]-International_Education_Costs[[#This Row],[Tuition_USD]]</f>
        <v>9220</v>
      </c>
      <c r="Q710" s="2">
        <f>International_Education_Costs[[#This Row],[Tuition_USD]]/International_Education_Costs[[#This Row],[Total_Cost]]</f>
        <v>0.18551236749116609</v>
      </c>
    </row>
    <row r="711" spans="1:17" x14ac:dyDescent="0.25">
      <c r="A711" t="s">
        <v>959</v>
      </c>
      <c r="B711" t="s">
        <v>994</v>
      </c>
      <c r="C711" t="s">
        <v>995</v>
      </c>
      <c r="D711" t="s">
        <v>71</v>
      </c>
      <c r="E711" t="s">
        <v>16</v>
      </c>
      <c r="F711">
        <v>2</v>
      </c>
      <c r="G711" s="1">
        <v>400</v>
      </c>
      <c r="H711">
        <v>81.5</v>
      </c>
      <c r="I711" s="1">
        <v>1300</v>
      </c>
      <c r="J711" s="1">
        <v>100</v>
      </c>
      <c r="K711" s="1">
        <v>800</v>
      </c>
      <c r="L711">
        <v>0.92</v>
      </c>
      <c r="M7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33300</v>
      </c>
      <c r="N711" s="1">
        <f>International_Education_Costs[[#This Row],[Total_Cost]]/International_Education_Costs[[#This Row],[Duration_Years]]</f>
        <v>16650</v>
      </c>
      <c r="O711" s="1">
        <f>International_Education_Costs[[#This Row],[Rent_USD]] * 12 * International_Education_Costs[[#This Row],[Duration_Years]]</f>
        <v>31200</v>
      </c>
      <c r="P711" s="1">
        <f>International_Education_Costs[[#This Row],[Total_Cost]]-International_Education_Costs[[#This Row],[Tuition_USD]]</f>
        <v>32900</v>
      </c>
      <c r="Q711" s="2">
        <f>International_Education_Costs[[#This Row],[Tuition_USD]]/International_Education_Costs[[#This Row],[Total_Cost]]</f>
        <v>1.2012012012012012E-2</v>
      </c>
    </row>
    <row r="712" spans="1:17" x14ac:dyDescent="0.25">
      <c r="A712" t="s">
        <v>372</v>
      </c>
      <c r="B712" t="s">
        <v>996</v>
      </c>
      <c r="C712" t="s">
        <v>997</v>
      </c>
      <c r="D712" t="s">
        <v>208</v>
      </c>
      <c r="E712" t="s">
        <v>75</v>
      </c>
      <c r="F712">
        <v>4</v>
      </c>
      <c r="G712" s="1">
        <v>3800</v>
      </c>
      <c r="H712">
        <v>41.5</v>
      </c>
      <c r="I712" s="1">
        <v>280</v>
      </c>
      <c r="J712" s="1">
        <v>150</v>
      </c>
      <c r="K712" s="1">
        <v>250</v>
      </c>
      <c r="L712">
        <v>15600</v>
      </c>
      <c r="M7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18390</v>
      </c>
      <c r="N712" s="1">
        <f>International_Education_Costs[[#This Row],[Total_Cost]]/International_Education_Costs[[#This Row],[Duration_Years]]</f>
        <v>4597.5</v>
      </c>
      <c r="O712" s="1">
        <f>International_Education_Costs[[#This Row],[Rent_USD]] * 12 * International_Education_Costs[[#This Row],[Duration_Years]]</f>
        <v>13440</v>
      </c>
      <c r="P712" s="1">
        <f>International_Education_Costs[[#This Row],[Total_Cost]]-International_Education_Costs[[#This Row],[Tuition_USD]]</f>
        <v>14590</v>
      </c>
      <c r="Q712" s="2">
        <f>International_Education_Costs[[#This Row],[Tuition_USD]]/International_Education_Costs[[#This Row],[Total_Cost]]</f>
        <v>0.20663404023926046</v>
      </c>
    </row>
    <row r="713" spans="1:17" x14ac:dyDescent="0.25">
      <c r="A713" t="s">
        <v>950</v>
      </c>
      <c r="B713" t="s">
        <v>998</v>
      </c>
      <c r="C713" t="s">
        <v>999</v>
      </c>
      <c r="D713" t="s">
        <v>1000</v>
      </c>
      <c r="E713" t="s">
        <v>75</v>
      </c>
      <c r="F713">
        <v>3</v>
      </c>
      <c r="G713" s="1">
        <v>0</v>
      </c>
      <c r="H713">
        <v>81.2</v>
      </c>
      <c r="I713" s="1">
        <v>950</v>
      </c>
      <c r="J713" s="1">
        <v>140</v>
      </c>
      <c r="K713" s="1">
        <v>900</v>
      </c>
      <c r="L713">
        <v>137.5</v>
      </c>
      <c r="M7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37040</v>
      </c>
      <c r="N713" s="1">
        <f>International_Education_Costs[[#This Row],[Total_Cost]]/International_Education_Costs[[#This Row],[Duration_Years]]</f>
        <v>12346.666666666666</v>
      </c>
      <c r="O713" s="1">
        <f>International_Education_Costs[[#This Row],[Rent_USD]] * 12 * International_Education_Costs[[#This Row],[Duration_Years]]</f>
        <v>34200</v>
      </c>
      <c r="P713" s="1">
        <f>International_Education_Costs[[#This Row],[Total_Cost]]-International_Education_Costs[[#This Row],[Tuition_USD]]</f>
        <v>37040</v>
      </c>
      <c r="Q713" s="2">
        <f>International_Education_Costs[[#This Row],[Tuition_USD]]/International_Education_Costs[[#This Row],[Total_Cost]]</f>
        <v>0</v>
      </c>
    </row>
    <row r="714" spans="1:17" x14ac:dyDescent="0.25">
      <c r="A714" t="s">
        <v>953</v>
      </c>
      <c r="B714" t="s">
        <v>1001</v>
      </c>
      <c r="C714" t="s">
        <v>1002</v>
      </c>
      <c r="D714" t="s">
        <v>20</v>
      </c>
      <c r="E714" t="s">
        <v>122</v>
      </c>
      <c r="F714">
        <v>4</v>
      </c>
      <c r="G714" s="1">
        <v>3500</v>
      </c>
      <c r="H714">
        <v>34.799999999999997</v>
      </c>
      <c r="I714" s="1">
        <v>260</v>
      </c>
      <c r="J714" s="1">
        <v>80</v>
      </c>
      <c r="K714" s="1">
        <v>300</v>
      </c>
      <c r="L714">
        <v>3950</v>
      </c>
      <c r="M7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17260</v>
      </c>
      <c r="N714" s="1">
        <f>International_Education_Costs[[#This Row],[Total_Cost]]/International_Education_Costs[[#This Row],[Duration_Years]]</f>
        <v>4315</v>
      </c>
      <c r="O714" s="1">
        <f>International_Education_Costs[[#This Row],[Rent_USD]] * 12 * International_Education_Costs[[#This Row],[Duration_Years]]</f>
        <v>12480</v>
      </c>
      <c r="P714" s="1">
        <f>International_Education_Costs[[#This Row],[Total_Cost]]-International_Education_Costs[[#This Row],[Tuition_USD]]</f>
        <v>13760</v>
      </c>
      <c r="Q714" s="2">
        <f>International_Education_Costs[[#This Row],[Tuition_USD]]/International_Education_Costs[[#This Row],[Total_Cost]]</f>
        <v>0.20278099652375434</v>
      </c>
    </row>
    <row r="715" spans="1:17" x14ac:dyDescent="0.25">
      <c r="A715" t="s">
        <v>161</v>
      </c>
      <c r="B715" t="s">
        <v>1003</v>
      </c>
      <c r="C715" t="s">
        <v>1004</v>
      </c>
      <c r="D715" t="s">
        <v>301</v>
      </c>
      <c r="E715" t="s">
        <v>16</v>
      </c>
      <c r="F715">
        <v>2</v>
      </c>
      <c r="G715" s="1">
        <v>2500</v>
      </c>
      <c r="H715">
        <v>49.8</v>
      </c>
      <c r="I715" s="1">
        <v>520</v>
      </c>
      <c r="J715" s="1">
        <v>80</v>
      </c>
      <c r="K715" s="1">
        <v>400</v>
      </c>
      <c r="L715">
        <v>4.0999999999999996</v>
      </c>
      <c r="M7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15860</v>
      </c>
      <c r="N715" s="1">
        <f>International_Education_Costs[[#This Row],[Total_Cost]]/International_Education_Costs[[#This Row],[Duration_Years]]</f>
        <v>7930</v>
      </c>
      <c r="O715" s="1">
        <f>International_Education_Costs[[#This Row],[Rent_USD]] * 12 * International_Education_Costs[[#This Row],[Duration_Years]]</f>
        <v>12480</v>
      </c>
      <c r="P715" s="1">
        <f>International_Education_Costs[[#This Row],[Total_Cost]]-International_Education_Costs[[#This Row],[Tuition_USD]]</f>
        <v>13360</v>
      </c>
      <c r="Q715" s="2">
        <f>International_Education_Costs[[#This Row],[Tuition_USD]]/International_Education_Costs[[#This Row],[Total_Cost]]</f>
        <v>0.15762925598991173</v>
      </c>
    </row>
    <row r="716" spans="1:17" x14ac:dyDescent="0.25">
      <c r="A716" t="s">
        <v>956</v>
      </c>
      <c r="B716" t="s">
        <v>1005</v>
      </c>
      <c r="C716" t="s">
        <v>1006</v>
      </c>
      <c r="D716" t="s">
        <v>63</v>
      </c>
      <c r="E716" t="s">
        <v>75</v>
      </c>
      <c r="F716">
        <v>4</v>
      </c>
      <c r="G716" s="1">
        <v>2000</v>
      </c>
      <c r="H716">
        <v>40.5</v>
      </c>
      <c r="I716" s="1">
        <v>330</v>
      </c>
      <c r="J716" s="1">
        <v>120</v>
      </c>
      <c r="K716" s="1">
        <v>350</v>
      </c>
      <c r="L716">
        <v>4.6500000000000004</v>
      </c>
      <c r="M7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19360</v>
      </c>
      <c r="N716" s="1">
        <f>International_Education_Costs[[#This Row],[Total_Cost]]/International_Education_Costs[[#This Row],[Duration_Years]]</f>
        <v>4840</v>
      </c>
      <c r="O716" s="1">
        <f>International_Education_Costs[[#This Row],[Rent_USD]] * 12 * International_Education_Costs[[#This Row],[Duration_Years]]</f>
        <v>15840</v>
      </c>
      <c r="P716" s="1">
        <f>International_Education_Costs[[#This Row],[Total_Cost]]-International_Education_Costs[[#This Row],[Tuition_USD]]</f>
        <v>17360</v>
      </c>
      <c r="Q716" s="2">
        <f>International_Education_Costs[[#This Row],[Tuition_USD]]/International_Education_Costs[[#This Row],[Total_Cost]]</f>
        <v>0.10330578512396695</v>
      </c>
    </row>
    <row r="717" spans="1:17" x14ac:dyDescent="0.25">
      <c r="A717" t="s">
        <v>959</v>
      </c>
      <c r="B717" t="s">
        <v>1007</v>
      </c>
      <c r="C717" t="s">
        <v>1008</v>
      </c>
      <c r="D717" t="s">
        <v>223</v>
      </c>
      <c r="E717" t="s">
        <v>16</v>
      </c>
      <c r="F717">
        <v>2</v>
      </c>
      <c r="G717" s="1">
        <v>400</v>
      </c>
      <c r="H717">
        <v>77.8</v>
      </c>
      <c r="I717" s="1">
        <v>1150</v>
      </c>
      <c r="J717" s="1">
        <v>100</v>
      </c>
      <c r="K717" s="1">
        <v>800</v>
      </c>
      <c r="L717">
        <v>0.92</v>
      </c>
      <c r="M7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29700</v>
      </c>
      <c r="N717" s="1">
        <f>International_Education_Costs[[#This Row],[Total_Cost]]/International_Education_Costs[[#This Row],[Duration_Years]]</f>
        <v>14850</v>
      </c>
      <c r="O717" s="1">
        <f>International_Education_Costs[[#This Row],[Rent_USD]] * 12 * International_Education_Costs[[#This Row],[Duration_Years]]</f>
        <v>27600</v>
      </c>
      <c r="P717" s="1">
        <f>International_Education_Costs[[#This Row],[Total_Cost]]-International_Education_Costs[[#This Row],[Tuition_USD]]</f>
        <v>29300</v>
      </c>
      <c r="Q717" s="2">
        <f>International_Education_Costs[[#This Row],[Tuition_USD]]/International_Education_Costs[[#This Row],[Total_Cost]]</f>
        <v>1.3468013468013467E-2</v>
      </c>
    </row>
    <row r="718" spans="1:17" x14ac:dyDescent="0.25">
      <c r="A718" t="s">
        <v>372</v>
      </c>
      <c r="B718" t="s">
        <v>1009</v>
      </c>
      <c r="C718" t="s">
        <v>1010</v>
      </c>
      <c r="D718" t="s">
        <v>40</v>
      </c>
      <c r="E718" t="s">
        <v>16</v>
      </c>
      <c r="F718">
        <v>2</v>
      </c>
      <c r="G718" s="1">
        <v>3500</v>
      </c>
      <c r="H718">
        <v>39.799999999999997</v>
      </c>
      <c r="I718" s="1">
        <v>240</v>
      </c>
      <c r="J718" s="1">
        <v>150</v>
      </c>
      <c r="K718" s="1">
        <v>250</v>
      </c>
      <c r="L718">
        <v>15600</v>
      </c>
      <c r="M7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9910</v>
      </c>
      <c r="N718" s="1">
        <f>International_Education_Costs[[#This Row],[Total_Cost]]/International_Education_Costs[[#This Row],[Duration_Years]]</f>
        <v>4955</v>
      </c>
      <c r="O718" s="1">
        <f>International_Education_Costs[[#This Row],[Rent_USD]] * 12 * International_Education_Costs[[#This Row],[Duration_Years]]</f>
        <v>5760</v>
      </c>
      <c r="P718" s="1">
        <f>International_Education_Costs[[#This Row],[Total_Cost]]-International_Education_Costs[[#This Row],[Tuition_USD]]</f>
        <v>6410</v>
      </c>
      <c r="Q718" s="2">
        <f>International_Education_Costs[[#This Row],[Tuition_USD]]/International_Education_Costs[[#This Row],[Total_Cost]]</f>
        <v>0.35317860746720486</v>
      </c>
    </row>
    <row r="719" spans="1:17" x14ac:dyDescent="0.25">
      <c r="A719" t="s">
        <v>161</v>
      </c>
      <c r="B719" t="s">
        <v>1011</v>
      </c>
      <c r="C719" t="s">
        <v>1012</v>
      </c>
      <c r="D719" t="s">
        <v>208</v>
      </c>
      <c r="E719" t="s">
        <v>16</v>
      </c>
      <c r="F719">
        <v>2</v>
      </c>
      <c r="G719" s="1">
        <v>2400</v>
      </c>
      <c r="H719">
        <v>48.5</v>
      </c>
      <c r="I719" s="1">
        <v>500</v>
      </c>
      <c r="J719" s="1">
        <v>80</v>
      </c>
      <c r="K719" s="1">
        <v>400</v>
      </c>
      <c r="L719">
        <v>4.0999999999999996</v>
      </c>
      <c r="M7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15280</v>
      </c>
      <c r="N719" s="1">
        <f>International_Education_Costs[[#This Row],[Total_Cost]]/International_Education_Costs[[#This Row],[Duration_Years]]</f>
        <v>7640</v>
      </c>
      <c r="O719" s="1">
        <f>International_Education_Costs[[#This Row],[Rent_USD]] * 12 * International_Education_Costs[[#This Row],[Duration_Years]]</f>
        <v>12000</v>
      </c>
      <c r="P719" s="1">
        <f>International_Education_Costs[[#This Row],[Total_Cost]]-International_Education_Costs[[#This Row],[Tuition_USD]]</f>
        <v>12880</v>
      </c>
      <c r="Q719" s="2">
        <f>International_Education_Costs[[#This Row],[Tuition_USD]]/International_Education_Costs[[#This Row],[Total_Cost]]</f>
        <v>0.15706806282722513</v>
      </c>
    </row>
    <row r="720" spans="1:17" x14ac:dyDescent="0.25">
      <c r="A720" t="s">
        <v>956</v>
      </c>
      <c r="B720" t="s">
        <v>1013</v>
      </c>
      <c r="C720" t="s">
        <v>1014</v>
      </c>
      <c r="D720" t="s">
        <v>71</v>
      </c>
      <c r="E720" t="s">
        <v>16</v>
      </c>
      <c r="F720">
        <v>2</v>
      </c>
      <c r="G720" s="1">
        <v>1900</v>
      </c>
      <c r="H720">
        <v>39.799999999999997</v>
      </c>
      <c r="I720" s="1">
        <v>320</v>
      </c>
      <c r="J720" s="1">
        <v>120</v>
      </c>
      <c r="K720" s="1">
        <v>350</v>
      </c>
      <c r="L720">
        <v>4.6500000000000004</v>
      </c>
      <c r="M7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10400</v>
      </c>
      <c r="N720" s="1">
        <f>International_Education_Costs[[#This Row],[Total_Cost]]/International_Education_Costs[[#This Row],[Duration_Years]]</f>
        <v>5200</v>
      </c>
      <c r="O720" s="1">
        <f>International_Education_Costs[[#This Row],[Rent_USD]] * 12 * International_Education_Costs[[#This Row],[Duration_Years]]</f>
        <v>7680</v>
      </c>
      <c r="P720" s="1">
        <f>International_Education_Costs[[#This Row],[Total_Cost]]-International_Education_Costs[[#This Row],[Tuition_USD]]</f>
        <v>8500</v>
      </c>
      <c r="Q720" s="2">
        <f>International_Education_Costs[[#This Row],[Tuition_USD]]/International_Education_Costs[[#This Row],[Total_Cost]]</f>
        <v>0.18269230769230768</v>
      </c>
    </row>
    <row r="721" spans="1:17" x14ac:dyDescent="0.25">
      <c r="A721" t="s">
        <v>959</v>
      </c>
      <c r="B721" t="s">
        <v>1015</v>
      </c>
      <c r="C721" t="s">
        <v>1016</v>
      </c>
      <c r="D721" t="s">
        <v>452</v>
      </c>
      <c r="E721" t="s">
        <v>75</v>
      </c>
      <c r="F721">
        <v>3</v>
      </c>
      <c r="G721" s="1">
        <v>400</v>
      </c>
      <c r="H721">
        <v>76.5</v>
      </c>
      <c r="I721" s="1">
        <v>1100</v>
      </c>
      <c r="J721" s="1">
        <v>100</v>
      </c>
      <c r="K721" s="1">
        <v>800</v>
      </c>
      <c r="L721">
        <v>0.92</v>
      </c>
      <c r="M7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42500</v>
      </c>
      <c r="N721" s="1">
        <f>International_Education_Costs[[#This Row],[Total_Cost]]/International_Education_Costs[[#This Row],[Duration_Years]]</f>
        <v>14166.666666666666</v>
      </c>
      <c r="O721" s="1">
        <f>International_Education_Costs[[#This Row],[Rent_USD]] * 12 * International_Education_Costs[[#This Row],[Duration_Years]]</f>
        <v>39600</v>
      </c>
      <c r="P721" s="1">
        <f>International_Education_Costs[[#This Row],[Total_Cost]]-International_Education_Costs[[#This Row],[Tuition_USD]]</f>
        <v>42100</v>
      </c>
      <c r="Q721" s="2">
        <f>International_Education_Costs[[#This Row],[Tuition_USD]]/International_Education_Costs[[#This Row],[Total_Cost]]</f>
        <v>9.4117647058823521E-3</v>
      </c>
    </row>
    <row r="722" spans="1:17" x14ac:dyDescent="0.25">
      <c r="A722" t="s">
        <v>372</v>
      </c>
      <c r="B722" t="s">
        <v>1017</v>
      </c>
      <c r="C722" t="s">
        <v>1018</v>
      </c>
      <c r="D722" t="s">
        <v>15</v>
      </c>
      <c r="E722" t="s">
        <v>122</v>
      </c>
      <c r="F722">
        <v>4</v>
      </c>
      <c r="G722" s="1">
        <v>3200</v>
      </c>
      <c r="H722">
        <v>38.5</v>
      </c>
      <c r="I722" s="1">
        <v>220</v>
      </c>
      <c r="J722" s="1">
        <v>150</v>
      </c>
      <c r="K722" s="1">
        <v>250</v>
      </c>
      <c r="L722">
        <v>15600</v>
      </c>
      <c r="M7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14910</v>
      </c>
      <c r="N722" s="1">
        <f>International_Education_Costs[[#This Row],[Total_Cost]]/International_Education_Costs[[#This Row],[Duration_Years]]</f>
        <v>3727.5</v>
      </c>
      <c r="O722" s="1">
        <f>International_Education_Costs[[#This Row],[Rent_USD]] * 12 * International_Education_Costs[[#This Row],[Duration_Years]]</f>
        <v>10560</v>
      </c>
      <c r="P722" s="1">
        <f>International_Education_Costs[[#This Row],[Total_Cost]]-International_Education_Costs[[#This Row],[Tuition_USD]]</f>
        <v>11710</v>
      </c>
      <c r="Q722" s="2">
        <f>International_Education_Costs[[#This Row],[Tuition_USD]]/International_Education_Costs[[#This Row],[Total_Cost]]</f>
        <v>0.21462105969148224</v>
      </c>
    </row>
    <row r="723" spans="1:17" x14ac:dyDescent="0.25">
      <c r="A723" t="s">
        <v>950</v>
      </c>
      <c r="B723" t="s">
        <v>1019</v>
      </c>
      <c r="C723" t="s">
        <v>1020</v>
      </c>
      <c r="D723" t="s">
        <v>1021</v>
      </c>
      <c r="E723" t="s">
        <v>16</v>
      </c>
      <c r="F723">
        <v>2</v>
      </c>
      <c r="G723" s="1">
        <v>0</v>
      </c>
      <c r="H723">
        <v>79.8</v>
      </c>
      <c r="I723" s="1">
        <v>900</v>
      </c>
      <c r="J723" s="1">
        <v>140</v>
      </c>
      <c r="K723" s="1">
        <v>900</v>
      </c>
      <c r="L723">
        <v>137.5</v>
      </c>
      <c r="M7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23540</v>
      </c>
      <c r="N723" s="1">
        <f>International_Education_Costs[[#This Row],[Total_Cost]]/International_Education_Costs[[#This Row],[Duration_Years]]</f>
        <v>11770</v>
      </c>
      <c r="O723" s="1">
        <f>International_Education_Costs[[#This Row],[Rent_USD]] * 12 * International_Education_Costs[[#This Row],[Duration_Years]]</f>
        <v>21600</v>
      </c>
      <c r="P723" s="1">
        <f>International_Education_Costs[[#This Row],[Total_Cost]]-International_Education_Costs[[#This Row],[Tuition_USD]]</f>
        <v>23540</v>
      </c>
      <c r="Q723" s="2">
        <f>International_Education_Costs[[#This Row],[Tuition_USD]]/International_Education_Costs[[#This Row],[Total_Cost]]</f>
        <v>0</v>
      </c>
    </row>
    <row r="724" spans="1:17" x14ac:dyDescent="0.25">
      <c r="A724" t="s">
        <v>953</v>
      </c>
      <c r="B724" t="s">
        <v>1022</v>
      </c>
      <c r="C724" t="s">
        <v>1023</v>
      </c>
      <c r="D724" t="s">
        <v>216</v>
      </c>
      <c r="E724" t="s">
        <v>16</v>
      </c>
      <c r="F724">
        <v>2</v>
      </c>
      <c r="G724" s="1">
        <v>3300</v>
      </c>
      <c r="H724">
        <v>35.200000000000003</v>
      </c>
      <c r="I724" s="1">
        <v>290</v>
      </c>
      <c r="J724" s="1">
        <v>80</v>
      </c>
      <c r="K724" s="1">
        <v>300</v>
      </c>
      <c r="L724">
        <v>3950</v>
      </c>
      <c r="M7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10940</v>
      </c>
      <c r="N724" s="1">
        <f>International_Education_Costs[[#This Row],[Total_Cost]]/International_Education_Costs[[#This Row],[Duration_Years]]</f>
        <v>5470</v>
      </c>
      <c r="O724" s="1">
        <f>International_Education_Costs[[#This Row],[Rent_USD]] * 12 * International_Education_Costs[[#This Row],[Duration_Years]]</f>
        <v>6960</v>
      </c>
      <c r="P724" s="1">
        <f>International_Education_Costs[[#This Row],[Total_Cost]]-International_Education_Costs[[#This Row],[Tuition_USD]]</f>
        <v>7640</v>
      </c>
      <c r="Q724" s="2">
        <f>International_Education_Costs[[#This Row],[Tuition_USD]]/International_Education_Costs[[#This Row],[Total_Cost]]</f>
        <v>0.3016453382084095</v>
      </c>
    </row>
    <row r="725" spans="1:17" x14ac:dyDescent="0.25">
      <c r="A725" t="s">
        <v>161</v>
      </c>
      <c r="B725" t="s">
        <v>1024</v>
      </c>
      <c r="C725" t="s">
        <v>1025</v>
      </c>
      <c r="D725" t="s">
        <v>63</v>
      </c>
      <c r="E725" t="s">
        <v>75</v>
      </c>
      <c r="F725">
        <v>3</v>
      </c>
      <c r="G725" s="1">
        <v>2300</v>
      </c>
      <c r="H725">
        <v>47.8</v>
      </c>
      <c r="I725" s="1">
        <v>480</v>
      </c>
      <c r="J725" s="1">
        <v>80</v>
      </c>
      <c r="K725" s="1">
        <v>400</v>
      </c>
      <c r="L725">
        <v>4.0999999999999996</v>
      </c>
      <c r="M7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20860</v>
      </c>
      <c r="N725" s="1">
        <f>International_Education_Costs[[#This Row],[Total_Cost]]/International_Education_Costs[[#This Row],[Duration_Years]]</f>
        <v>6953.333333333333</v>
      </c>
      <c r="O725" s="1">
        <f>International_Education_Costs[[#This Row],[Rent_USD]] * 12 * International_Education_Costs[[#This Row],[Duration_Years]]</f>
        <v>17280</v>
      </c>
      <c r="P725" s="1">
        <f>International_Education_Costs[[#This Row],[Total_Cost]]-International_Education_Costs[[#This Row],[Tuition_USD]]</f>
        <v>18560</v>
      </c>
      <c r="Q725" s="2">
        <f>International_Education_Costs[[#This Row],[Tuition_USD]]/International_Education_Costs[[#This Row],[Total_Cost]]</f>
        <v>0.11025886864813039</v>
      </c>
    </row>
    <row r="726" spans="1:17" x14ac:dyDescent="0.25">
      <c r="A726" t="s">
        <v>956</v>
      </c>
      <c r="B726" t="s">
        <v>1026</v>
      </c>
      <c r="C726" t="s">
        <v>1027</v>
      </c>
      <c r="D726" t="s">
        <v>242</v>
      </c>
      <c r="E726" t="s">
        <v>122</v>
      </c>
      <c r="F726">
        <v>4</v>
      </c>
      <c r="G726" s="1">
        <v>2200</v>
      </c>
      <c r="H726">
        <v>38.9</v>
      </c>
      <c r="I726" s="1">
        <v>300</v>
      </c>
      <c r="J726" s="1">
        <v>120</v>
      </c>
      <c r="K726" s="1">
        <v>350</v>
      </c>
      <c r="L726">
        <v>4.6500000000000004</v>
      </c>
      <c r="M7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18120</v>
      </c>
      <c r="N726" s="1">
        <f>International_Education_Costs[[#This Row],[Total_Cost]]/International_Education_Costs[[#This Row],[Duration_Years]]</f>
        <v>4530</v>
      </c>
      <c r="O726" s="1">
        <f>International_Education_Costs[[#This Row],[Rent_USD]] * 12 * International_Education_Costs[[#This Row],[Duration_Years]]</f>
        <v>14400</v>
      </c>
      <c r="P726" s="1">
        <f>International_Education_Costs[[#This Row],[Total_Cost]]-International_Education_Costs[[#This Row],[Tuition_USD]]</f>
        <v>15920</v>
      </c>
      <c r="Q726" s="2">
        <f>International_Education_Costs[[#This Row],[Tuition_USD]]/International_Education_Costs[[#This Row],[Total_Cost]]</f>
        <v>0.12141280353200883</v>
      </c>
    </row>
    <row r="727" spans="1:17" x14ac:dyDescent="0.25">
      <c r="A727" t="s">
        <v>959</v>
      </c>
      <c r="B727" t="s">
        <v>1028</v>
      </c>
      <c r="C727" t="s">
        <v>1029</v>
      </c>
      <c r="D727" t="s">
        <v>24</v>
      </c>
      <c r="E727" t="s">
        <v>16</v>
      </c>
      <c r="F727">
        <v>2</v>
      </c>
      <c r="G727" s="1">
        <v>400</v>
      </c>
      <c r="H727">
        <v>75.400000000000006</v>
      </c>
      <c r="I727" s="1">
        <v>1050</v>
      </c>
      <c r="J727" s="1">
        <v>100</v>
      </c>
      <c r="K727" s="1">
        <v>800</v>
      </c>
      <c r="L727">
        <v>0.92</v>
      </c>
      <c r="M7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27300</v>
      </c>
      <c r="N727" s="1">
        <f>International_Education_Costs[[#This Row],[Total_Cost]]/International_Education_Costs[[#This Row],[Duration_Years]]</f>
        <v>13650</v>
      </c>
      <c r="O727" s="1">
        <f>International_Education_Costs[[#This Row],[Rent_USD]] * 12 * International_Education_Costs[[#This Row],[Duration_Years]]</f>
        <v>25200</v>
      </c>
      <c r="P727" s="1">
        <f>International_Education_Costs[[#This Row],[Total_Cost]]-International_Education_Costs[[#This Row],[Tuition_USD]]</f>
        <v>26900</v>
      </c>
      <c r="Q727" s="2">
        <f>International_Education_Costs[[#This Row],[Tuition_USD]]/International_Education_Costs[[#This Row],[Total_Cost]]</f>
        <v>1.4652014652014652E-2</v>
      </c>
    </row>
    <row r="728" spans="1:17" x14ac:dyDescent="0.25">
      <c r="A728" t="s">
        <v>372</v>
      </c>
      <c r="B728" t="s">
        <v>1030</v>
      </c>
      <c r="C728" t="s">
        <v>1031</v>
      </c>
      <c r="D728" t="s">
        <v>223</v>
      </c>
      <c r="E728" t="s">
        <v>16</v>
      </c>
      <c r="F728">
        <v>2</v>
      </c>
      <c r="G728" s="1">
        <v>3000</v>
      </c>
      <c r="H728">
        <v>37.9</v>
      </c>
      <c r="I728" s="1">
        <v>200</v>
      </c>
      <c r="J728" s="1">
        <v>150</v>
      </c>
      <c r="K728" s="1">
        <v>250</v>
      </c>
      <c r="L728">
        <v>15600</v>
      </c>
      <c r="M7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8450</v>
      </c>
      <c r="N728" s="1">
        <f>International_Education_Costs[[#This Row],[Total_Cost]]/International_Education_Costs[[#This Row],[Duration_Years]]</f>
        <v>4225</v>
      </c>
      <c r="O728" s="1">
        <f>International_Education_Costs[[#This Row],[Rent_USD]] * 12 * International_Education_Costs[[#This Row],[Duration_Years]]</f>
        <v>4800</v>
      </c>
      <c r="P728" s="1">
        <f>International_Education_Costs[[#This Row],[Total_Cost]]-International_Education_Costs[[#This Row],[Tuition_USD]]</f>
        <v>5450</v>
      </c>
      <c r="Q728" s="2">
        <f>International_Education_Costs[[#This Row],[Tuition_USD]]/International_Education_Costs[[#This Row],[Total_Cost]]</f>
        <v>0.35502958579881655</v>
      </c>
    </row>
    <row r="729" spans="1:17" x14ac:dyDescent="0.25">
      <c r="A729" t="s">
        <v>1032</v>
      </c>
      <c r="B729" t="s">
        <v>1033</v>
      </c>
      <c r="C729" t="s">
        <v>1034</v>
      </c>
      <c r="D729" t="s">
        <v>15</v>
      </c>
      <c r="E729" t="s">
        <v>16</v>
      </c>
      <c r="F729">
        <v>2</v>
      </c>
      <c r="G729" s="1">
        <v>1500</v>
      </c>
      <c r="H729">
        <v>35.799999999999997</v>
      </c>
      <c r="I729" s="1">
        <v>250</v>
      </c>
      <c r="J729" s="1">
        <v>60</v>
      </c>
      <c r="K729" s="1">
        <v>200</v>
      </c>
      <c r="L729">
        <v>3.15</v>
      </c>
      <c r="M7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7960</v>
      </c>
      <c r="N729" s="1">
        <f>International_Education_Costs[[#This Row],[Total_Cost]]/International_Education_Costs[[#This Row],[Duration_Years]]</f>
        <v>3980</v>
      </c>
      <c r="O729" s="1">
        <f>International_Education_Costs[[#This Row],[Rent_USD]] * 12 * International_Education_Costs[[#This Row],[Duration_Years]]</f>
        <v>6000</v>
      </c>
      <c r="P729" s="1">
        <f>International_Education_Costs[[#This Row],[Total_Cost]]-International_Education_Costs[[#This Row],[Tuition_USD]]</f>
        <v>6460</v>
      </c>
      <c r="Q729" s="2">
        <f>International_Education_Costs[[#This Row],[Tuition_USD]]/International_Education_Costs[[#This Row],[Total_Cost]]</f>
        <v>0.18844221105527639</v>
      </c>
    </row>
    <row r="730" spans="1:17" x14ac:dyDescent="0.25">
      <c r="A730" t="s">
        <v>1035</v>
      </c>
      <c r="B730" t="s">
        <v>1036</v>
      </c>
      <c r="C730" t="s">
        <v>1037</v>
      </c>
      <c r="D730" t="s">
        <v>20</v>
      </c>
      <c r="E730" t="s">
        <v>16</v>
      </c>
      <c r="F730">
        <v>2</v>
      </c>
      <c r="G730" s="1">
        <v>8000</v>
      </c>
      <c r="H730">
        <v>65.400000000000006</v>
      </c>
      <c r="I730" s="1">
        <v>600</v>
      </c>
      <c r="J730" s="1">
        <v>100</v>
      </c>
      <c r="K730" s="1">
        <v>500</v>
      </c>
      <c r="L730">
        <v>0.92</v>
      </c>
      <c r="M7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23500</v>
      </c>
      <c r="N730" s="1">
        <f>International_Education_Costs[[#This Row],[Total_Cost]]/International_Education_Costs[[#This Row],[Duration_Years]]</f>
        <v>11750</v>
      </c>
      <c r="O730" s="1">
        <f>International_Education_Costs[[#This Row],[Rent_USD]] * 12 * International_Education_Costs[[#This Row],[Duration_Years]]</f>
        <v>14400</v>
      </c>
      <c r="P730" s="1">
        <f>International_Education_Costs[[#This Row],[Total_Cost]]-International_Education_Costs[[#This Row],[Tuition_USD]]</f>
        <v>15500</v>
      </c>
      <c r="Q730" s="2">
        <f>International_Education_Costs[[#This Row],[Tuition_USD]]/International_Education_Costs[[#This Row],[Total_Cost]]</f>
        <v>0.34042553191489361</v>
      </c>
    </row>
    <row r="731" spans="1:17" x14ac:dyDescent="0.25">
      <c r="A731" t="s">
        <v>1038</v>
      </c>
      <c r="B731" t="s">
        <v>1039</v>
      </c>
      <c r="C731" t="s">
        <v>1040</v>
      </c>
      <c r="D731" t="s">
        <v>208</v>
      </c>
      <c r="E731" t="s">
        <v>122</v>
      </c>
      <c r="F731">
        <v>4</v>
      </c>
      <c r="G731" s="1">
        <v>4000</v>
      </c>
      <c r="H731">
        <v>58.9</v>
      </c>
      <c r="I731" s="1">
        <v>450</v>
      </c>
      <c r="J731" s="1">
        <v>80</v>
      </c>
      <c r="K731" s="1">
        <v>400</v>
      </c>
      <c r="L731">
        <v>7.35</v>
      </c>
      <c r="M7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27280</v>
      </c>
      <c r="N731" s="1">
        <f>International_Education_Costs[[#This Row],[Total_Cost]]/International_Education_Costs[[#This Row],[Duration_Years]]</f>
        <v>6820</v>
      </c>
      <c r="O731" s="1">
        <f>International_Education_Costs[[#This Row],[Rent_USD]] * 12 * International_Education_Costs[[#This Row],[Duration_Years]]</f>
        <v>21600</v>
      </c>
      <c r="P731" s="1">
        <f>International_Education_Costs[[#This Row],[Total_Cost]]-International_Education_Costs[[#This Row],[Tuition_USD]]</f>
        <v>23280</v>
      </c>
      <c r="Q731" s="2">
        <f>International_Education_Costs[[#This Row],[Tuition_USD]]/International_Education_Costs[[#This Row],[Total_Cost]]</f>
        <v>0.1466275659824047</v>
      </c>
    </row>
    <row r="732" spans="1:17" x14ac:dyDescent="0.25">
      <c r="A732" t="s">
        <v>1041</v>
      </c>
      <c r="B732" t="s">
        <v>1042</v>
      </c>
      <c r="C732" t="s">
        <v>1043</v>
      </c>
      <c r="D732" t="s">
        <v>63</v>
      </c>
      <c r="E732" t="s">
        <v>75</v>
      </c>
      <c r="F732">
        <v>4</v>
      </c>
      <c r="G732" s="1">
        <v>6000</v>
      </c>
      <c r="H732">
        <v>42.5</v>
      </c>
      <c r="I732" s="1">
        <v>350</v>
      </c>
      <c r="J732" s="1">
        <v>100</v>
      </c>
      <c r="K732" s="1">
        <v>300</v>
      </c>
      <c r="L732">
        <v>56.8</v>
      </c>
      <c r="M7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24100</v>
      </c>
      <c r="N732" s="1">
        <f>International_Education_Costs[[#This Row],[Total_Cost]]/International_Education_Costs[[#This Row],[Duration_Years]]</f>
        <v>6025</v>
      </c>
      <c r="O732" s="1">
        <f>International_Education_Costs[[#This Row],[Rent_USD]] * 12 * International_Education_Costs[[#This Row],[Duration_Years]]</f>
        <v>16800</v>
      </c>
      <c r="P732" s="1">
        <f>International_Education_Costs[[#This Row],[Total_Cost]]-International_Education_Costs[[#This Row],[Tuition_USD]]</f>
        <v>18100</v>
      </c>
      <c r="Q732" s="2">
        <f>International_Education_Costs[[#This Row],[Tuition_USD]]/International_Education_Costs[[#This Row],[Total_Cost]]</f>
        <v>0.24896265560165975</v>
      </c>
    </row>
    <row r="733" spans="1:17" x14ac:dyDescent="0.25">
      <c r="A733" t="s">
        <v>1044</v>
      </c>
      <c r="B733" t="s">
        <v>1045</v>
      </c>
      <c r="C733" t="s">
        <v>1046</v>
      </c>
      <c r="D733" t="s">
        <v>216</v>
      </c>
      <c r="E733" t="s">
        <v>16</v>
      </c>
      <c r="F733">
        <v>2</v>
      </c>
      <c r="G733" s="1">
        <v>2000</v>
      </c>
      <c r="H733">
        <v>41.2</v>
      </c>
      <c r="I733" s="1">
        <v>300</v>
      </c>
      <c r="J733" s="1">
        <v>70</v>
      </c>
      <c r="K733" s="1">
        <v>250</v>
      </c>
      <c r="L733">
        <v>10.15</v>
      </c>
      <c r="M7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9770</v>
      </c>
      <c r="N733" s="1">
        <f>International_Education_Costs[[#This Row],[Total_Cost]]/International_Education_Costs[[#This Row],[Duration_Years]]</f>
        <v>4885</v>
      </c>
      <c r="O733" s="1">
        <f>International_Education_Costs[[#This Row],[Rent_USD]] * 12 * International_Education_Costs[[#This Row],[Duration_Years]]</f>
        <v>7200</v>
      </c>
      <c r="P733" s="1">
        <f>International_Education_Costs[[#This Row],[Total_Cost]]-International_Education_Costs[[#This Row],[Tuition_USD]]</f>
        <v>7770</v>
      </c>
      <c r="Q733" s="2">
        <f>International_Education_Costs[[#This Row],[Tuition_USD]]/International_Education_Costs[[#This Row],[Total_Cost]]</f>
        <v>0.20470829068577279</v>
      </c>
    </row>
    <row r="734" spans="1:17" x14ac:dyDescent="0.25">
      <c r="A734" t="s">
        <v>1047</v>
      </c>
      <c r="B734" t="s">
        <v>1048</v>
      </c>
      <c r="C734" t="s">
        <v>1049</v>
      </c>
      <c r="D734" t="s">
        <v>71</v>
      </c>
      <c r="E734" t="s">
        <v>16</v>
      </c>
      <c r="F734">
        <v>2</v>
      </c>
      <c r="G734" s="1">
        <v>8500</v>
      </c>
      <c r="H734">
        <v>44.8</v>
      </c>
      <c r="I734" s="1">
        <v>400</v>
      </c>
      <c r="J734" s="1">
        <v>120</v>
      </c>
      <c r="K734" s="1">
        <v>350</v>
      </c>
      <c r="L734">
        <v>3.75</v>
      </c>
      <c r="M7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18920</v>
      </c>
      <c r="N734" s="1">
        <f>International_Education_Costs[[#This Row],[Total_Cost]]/International_Education_Costs[[#This Row],[Duration_Years]]</f>
        <v>9460</v>
      </c>
      <c r="O734" s="1">
        <f>International_Education_Costs[[#This Row],[Rent_USD]] * 12 * International_Education_Costs[[#This Row],[Duration_Years]]</f>
        <v>9600</v>
      </c>
      <c r="P734" s="1">
        <f>International_Education_Costs[[#This Row],[Total_Cost]]-International_Education_Costs[[#This Row],[Tuition_USD]]</f>
        <v>10420</v>
      </c>
      <c r="Q734" s="2">
        <f>International_Education_Costs[[#This Row],[Tuition_USD]]/International_Education_Costs[[#This Row],[Total_Cost]]</f>
        <v>0.44926004228329808</v>
      </c>
    </row>
    <row r="735" spans="1:17" x14ac:dyDescent="0.25">
      <c r="A735" t="s">
        <v>369</v>
      </c>
      <c r="B735" t="s">
        <v>370</v>
      </c>
      <c r="C735" t="s">
        <v>371</v>
      </c>
      <c r="D735" t="s">
        <v>15</v>
      </c>
      <c r="E735" t="s">
        <v>122</v>
      </c>
      <c r="F735">
        <v>4</v>
      </c>
      <c r="G735" s="1">
        <v>0</v>
      </c>
      <c r="H735">
        <v>42.5</v>
      </c>
      <c r="I735" s="1">
        <v>350</v>
      </c>
      <c r="J735" s="1">
        <v>90</v>
      </c>
      <c r="K735" s="1">
        <v>280</v>
      </c>
      <c r="L735">
        <v>275</v>
      </c>
      <c r="M7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18010</v>
      </c>
      <c r="N735" s="1">
        <f>International_Education_Costs[[#This Row],[Total_Cost]]/International_Education_Costs[[#This Row],[Duration_Years]]</f>
        <v>4502.5</v>
      </c>
      <c r="O735" s="1">
        <f>International_Education_Costs[[#This Row],[Rent_USD]] * 12 * International_Education_Costs[[#This Row],[Duration_Years]]</f>
        <v>16800</v>
      </c>
      <c r="P735" s="1">
        <f>International_Education_Costs[[#This Row],[Total_Cost]]-International_Education_Costs[[#This Row],[Tuition_USD]]</f>
        <v>18010</v>
      </c>
      <c r="Q735" s="2">
        <f>International_Education_Costs[[#This Row],[Tuition_USD]]/International_Education_Costs[[#This Row],[Total_Cost]]</f>
        <v>0</v>
      </c>
    </row>
    <row r="736" spans="1:17" x14ac:dyDescent="0.25">
      <c r="A736" t="s">
        <v>1032</v>
      </c>
      <c r="B736" t="s">
        <v>1050</v>
      </c>
      <c r="C736" t="s">
        <v>1051</v>
      </c>
      <c r="D736" t="s">
        <v>40</v>
      </c>
      <c r="E736" t="s">
        <v>16</v>
      </c>
      <c r="F736">
        <v>2</v>
      </c>
      <c r="G736" s="1">
        <v>1400</v>
      </c>
      <c r="H736">
        <v>33.200000000000003</v>
      </c>
      <c r="I736" s="1">
        <v>200</v>
      </c>
      <c r="J736" s="1">
        <v>60</v>
      </c>
      <c r="K736" s="1">
        <v>200</v>
      </c>
      <c r="L736">
        <v>3.15</v>
      </c>
      <c r="M7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6660</v>
      </c>
      <c r="N736" s="1">
        <f>International_Education_Costs[[#This Row],[Total_Cost]]/International_Education_Costs[[#This Row],[Duration_Years]]</f>
        <v>3330</v>
      </c>
      <c r="O736" s="1">
        <f>International_Education_Costs[[#This Row],[Rent_USD]] * 12 * International_Education_Costs[[#This Row],[Duration_Years]]</f>
        <v>4800</v>
      </c>
      <c r="P736" s="1">
        <f>International_Education_Costs[[#This Row],[Total_Cost]]-International_Education_Costs[[#This Row],[Tuition_USD]]</f>
        <v>5260</v>
      </c>
      <c r="Q736" s="2">
        <f>International_Education_Costs[[#This Row],[Tuition_USD]]/International_Education_Costs[[#This Row],[Total_Cost]]</f>
        <v>0.21021021021021022</v>
      </c>
    </row>
    <row r="737" spans="1:17" x14ac:dyDescent="0.25">
      <c r="A737" t="s">
        <v>1035</v>
      </c>
      <c r="B737" t="s">
        <v>1052</v>
      </c>
      <c r="C737" t="s">
        <v>1053</v>
      </c>
      <c r="D737" t="s">
        <v>242</v>
      </c>
      <c r="E737" t="s">
        <v>75</v>
      </c>
      <c r="F737">
        <v>4</v>
      </c>
      <c r="G737" s="1">
        <v>7500</v>
      </c>
      <c r="H737">
        <v>62.8</v>
      </c>
      <c r="I737" s="1">
        <v>550</v>
      </c>
      <c r="J737" s="1">
        <v>100</v>
      </c>
      <c r="K737" s="1">
        <v>500</v>
      </c>
      <c r="L737">
        <v>0.92</v>
      </c>
      <c r="M7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36000</v>
      </c>
      <c r="N737" s="1">
        <f>International_Education_Costs[[#This Row],[Total_Cost]]/International_Education_Costs[[#This Row],[Duration_Years]]</f>
        <v>9000</v>
      </c>
      <c r="O737" s="1">
        <f>International_Education_Costs[[#This Row],[Rent_USD]] * 12 * International_Education_Costs[[#This Row],[Duration_Years]]</f>
        <v>26400</v>
      </c>
      <c r="P737" s="1">
        <f>International_Education_Costs[[#This Row],[Total_Cost]]-International_Education_Costs[[#This Row],[Tuition_USD]]</f>
        <v>28500</v>
      </c>
      <c r="Q737" s="2">
        <f>International_Education_Costs[[#This Row],[Tuition_USD]]/International_Education_Costs[[#This Row],[Total_Cost]]</f>
        <v>0.20833333333333334</v>
      </c>
    </row>
    <row r="738" spans="1:17" x14ac:dyDescent="0.25">
      <c r="A738" t="s">
        <v>1038</v>
      </c>
      <c r="B738" t="s">
        <v>1054</v>
      </c>
      <c r="C738" t="s">
        <v>1055</v>
      </c>
      <c r="D738" t="s">
        <v>252</v>
      </c>
      <c r="E738" t="s">
        <v>16</v>
      </c>
      <c r="F738">
        <v>2</v>
      </c>
      <c r="G738" s="1">
        <v>3800</v>
      </c>
      <c r="H738">
        <v>56.4</v>
      </c>
      <c r="I738" s="1">
        <v>400</v>
      </c>
      <c r="J738" s="1">
        <v>80</v>
      </c>
      <c r="K738" s="1">
        <v>400</v>
      </c>
      <c r="L738">
        <v>7.35</v>
      </c>
      <c r="M7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14280</v>
      </c>
      <c r="N738" s="1">
        <f>International_Education_Costs[[#This Row],[Total_Cost]]/International_Education_Costs[[#This Row],[Duration_Years]]</f>
        <v>7140</v>
      </c>
      <c r="O738" s="1">
        <f>International_Education_Costs[[#This Row],[Rent_USD]] * 12 * International_Education_Costs[[#This Row],[Duration_Years]]</f>
        <v>9600</v>
      </c>
      <c r="P738" s="1">
        <f>International_Education_Costs[[#This Row],[Total_Cost]]-International_Education_Costs[[#This Row],[Tuition_USD]]</f>
        <v>10480</v>
      </c>
      <c r="Q738" s="2">
        <f>International_Education_Costs[[#This Row],[Tuition_USD]]/International_Education_Costs[[#This Row],[Total_Cost]]</f>
        <v>0.26610644257703081</v>
      </c>
    </row>
    <row r="739" spans="1:17" x14ac:dyDescent="0.25">
      <c r="A739" t="s">
        <v>1041</v>
      </c>
      <c r="B739" t="s">
        <v>1056</v>
      </c>
      <c r="C739" t="s">
        <v>1057</v>
      </c>
      <c r="D739" t="s">
        <v>223</v>
      </c>
      <c r="E739" t="s">
        <v>16</v>
      </c>
      <c r="F739">
        <v>2</v>
      </c>
      <c r="G739" s="1">
        <v>5500</v>
      </c>
      <c r="H739">
        <v>40.200000000000003</v>
      </c>
      <c r="I739" s="1">
        <v>300</v>
      </c>
      <c r="J739" s="1">
        <v>100</v>
      </c>
      <c r="K739" s="1">
        <v>300</v>
      </c>
      <c r="L739">
        <v>56.8</v>
      </c>
      <c r="M7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13400</v>
      </c>
      <c r="N739" s="1">
        <f>International_Education_Costs[[#This Row],[Total_Cost]]/International_Education_Costs[[#This Row],[Duration_Years]]</f>
        <v>6700</v>
      </c>
      <c r="O739" s="1">
        <f>International_Education_Costs[[#This Row],[Rent_USD]] * 12 * International_Education_Costs[[#This Row],[Duration_Years]]</f>
        <v>7200</v>
      </c>
      <c r="P739" s="1">
        <f>International_Education_Costs[[#This Row],[Total_Cost]]-International_Education_Costs[[#This Row],[Tuition_USD]]</f>
        <v>7900</v>
      </c>
      <c r="Q739" s="2">
        <f>International_Education_Costs[[#This Row],[Tuition_USD]]/International_Education_Costs[[#This Row],[Total_Cost]]</f>
        <v>0.41044776119402987</v>
      </c>
    </row>
    <row r="740" spans="1:17" x14ac:dyDescent="0.25">
      <c r="A740" t="s">
        <v>1044</v>
      </c>
      <c r="B740" t="s">
        <v>1058</v>
      </c>
      <c r="C740" t="s">
        <v>1059</v>
      </c>
      <c r="D740" t="s">
        <v>63</v>
      </c>
      <c r="E740" t="s">
        <v>122</v>
      </c>
      <c r="F740">
        <v>4</v>
      </c>
      <c r="G740" s="1">
        <v>2200</v>
      </c>
      <c r="H740">
        <v>43.5</v>
      </c>
      <c r="I740" s="1">
        <v>350</v>
      </c>
      <c r="J740" s="1">
        <v>70</v>
      </c>
      <c r="K740" s="1">
        <v>250</v>
      </c>
      <c r="L740">
        <v>10.15</v>
      </c>
      <c r="M7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20070</v>
      </c>
      <c r="N740" s="1">
        <f>International_Education_Costs[[#This Row],[Total_Cost]]/International_Education_Costs[[#This Row],[Duration_Years]]</f>
        <v>5017.5</v>
      </c>
      <c r="O740" s="1">
        <f>International_Education_Costs[[#This Row],[Rent_USD]] * 12 * International_Education_Costs[[#This Row],[Duration_Years]]</f>
        <v>16800</v>
      </c>
      <c r="P740" s="1">
        <f>International_Education_Costs[[#This Row],[Total_Cost]]-International_Education_Costs[[#This Row],[Tuition_USD]]</f>
        <v>17870</v>
      </c>
      <c r="Q740" s="2">
        <f>International_Education_Costs[[#This Row],[Tuition_USD]]/International_Education_Costs[[#This Row],[Total_Cost]]</f>
        <v>0.1096163428001993</v>
      </c>
    </row>
    <row r="741" spans="1:17" x14ac:dyDescent="0.25">
      <c r="A741" t="s">
        <v>1047</v>
      </c>
      <c r="B741" t="s">
        <v>1060</v>
      </c>
      <c r="C741" t="s">
        <v>1061</v>
      </c>
      <c r="D741" t="s">
        <v>208</v>
      </c>
      <c r="E741" t="s">
        <v>75</v>
      </c>
      <c r="F741">
        <v>4</v>
      </c>
      <c r="G741" s="1">
        <v>7000</v>
      </c>
      <c r="H741">
        <v>41.2</v>
      </c>
      <c r="I741" s="1">
        <v>300</v>
      </c>
      <c r="J741" s="1">
        <v>120</v>
      </c>
      <c r="K741" s="1">
        <v>350</v>
      </c>
      <c r="L741">
        <v>3.75</v>
      </c>
      <c r="M7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22920</v>
      </c>
      <c r="N741" s="1">
        <f>International_Education_Costs[[#This Row],[Total_Cost]]/International_Education_Costs[[#This Row],[Duration_Years]]</f>
        <v>5730</v>
      </c>
      <c r="O741" s="1">
        <f>International_Education_Costs[[#This Row],[Rent_USD]] * 12 * International_Education_Costs[[#This Row],[Duration_Years]]</f>
        <v>14400</v>
      </c>
      <c r="P741" s="1">
        <f>International_Education_Costs[[#This Row],[Total_Cost]]-International_Education_Costs[[#This Row],[Tuition_USD]]</f>
        <v>15920</v>
      </c>
      <c r="Q741" s="2">
        <f>International_Education_Costs[[#This Row],[Tuition_USD]]/International_Education_Costs[[#This Row],[Total_Cost]]</f>
        <v>0.30541012216404889</v>
      </c>
    </row>
    <row r="742" spans="1:17" x14ac:dyDescent="0.25">
      <c r="A742" t="s">
        <v>369</v>
      </c>
      <c r="B742" t="s">
        <v>1062</v>
      </c>
      <c r="C742" t="s">
        <v>1063</v>
      </c>
      <c r="D742" t="s">
        <v>20</v>
      </c>
      <c r="E742" t="s">
        <v>16</v>
      </c>
      <c r="F742">
        <v>2</v>
      </c>
      <c r="G742" s="1">
        <v>0</v>
      </c>
      <c r="H742">
        <v>39.799999999999997</v>
      </c>
      <c r="I742" s="1">
        <v>280</v>
      </c>
      <c r="J742" s="1">
        <v>90</v>
      </c>
      <c r="K742" s="1">
        <v>280</v>
      </c>
      <c r="L742">
        <v>275</v>
      </c>
      <c r="M7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7370</v>
      </c>
      <c r="N742" s="1">
        <f>International_Education_Costs[[#This Row],[Total_Cost]]/International_Education_Costs[[#This Row],[Duration_Years]]</f>
        <v>3685</v>
      </c>
      <c r="O742" s="1">
        <f>International_Education_Costs[[#This Row],[Rent_USD]] * 12 * International_Education_Costs[[#This Row],[Duration_Years]]</f>
        <v>6720</v>
      </c>
      <c r="P742" s="1">
        <f>International_Education_Costs[[#This Row],[Total_Cost]]-International_Education_Costs[[#This Row],[Tuition_USD]]</f>
        <v>7370</v>
      </c>
      <c r="Q742" s="2">
        <f>International_Education_Costs[[#This Row],[Tuition_USD]]/International_Education_Costs[[#This Row],[Total_Cost]]</f>
        <v>0</v>
      </c>
    </row>
    <row r="743" spans="1:17" x14ac:dyDescent="0.25">
      <c r="A743" t="s">
        <v>1032</v>
      </c>
      <c r="B743" t="s">
        <v>1064</v>
      </c>
      <c r="C743" t="s">
        <v>1065</v>
      </c>
      <c r="D743" t="s">
        <v>496</v>
      </c>
      <c r="E743" t="s">
        <v>75</v>
      </c>
      <c r="F743">
        <v>3</v>
      </c>
      <c r="G743" s="1">
        <v>1300</v>
      </c>
      <c r="H743">
        <v>32.5</v>
      </c>
      <c r="I743" s="1">
        <v>180</v>
      </c>
      <c r="J743" s="1">
        <v>60</v>
      </c>
      <c r="K743" s="1">
        <v>200</v>
      </c>
      <c r="L743">
        <v>3.15</v>
      </c>
      <c r="M7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8440</v>
      </c>
      <c r="N743" s="1">
        <f>International_Education_Costs[[#This Row],[Total_Cost]]/International_Education_Costs[[#This Row],[Duration_Years]]</f>
        <v>2813.3333333333335</v>
      </c>
      <c r="O743" s="1">
        <f>International_Education_Costs[[#This Row],[Rent_USD]] * 12 * International_Education_Costs[[#This Row],[Duration_Years]]</f>
        <v>6480</v>
      </c>
      <c r="P743" s="1">
        <f>International_Education_Costs[[#This Row],[Total_Cost]]-International_Education_Costs[[#This Row],[Tuition_USD]]</f>
        <v>7140</v>
      </c>
      <c r="Q743" s="2">
        <f>International_Education_Costs[[#This Row],[Tuition_USD]]/International_Education_Costs[[#This Row],[Total_Cost]]</f>
        <v>0.15402843601895735</v>
      </c>
    </row>
    <row r="744" spans="1:17" x14ac:dyDescent="0.25">
      <c r="A744" t="s">
        <v>1035</v>
      </c>
      <c r="B744" t="s">
        <v>1066</v>
      </c>
      <c r="C744" t="s">
        <v>1067</v>
      </c>
      <c r="D744" t="s">
        <v>40</v>
      </c>
      <c r="E744" t="s">
        <v>122</v>
      </c>
      <c r="F744">
        <v>4</v>
      </c>
      <c r="G744" s="1">
        <v>8200</v>
      </c>
      <c r="H744">
        <v>61.5</v>
      </c>
      <c r="I744" s="1">
        <v>500</v>
      </c>
      <c r="J744" s="1">
        <v>100</v>
      </c>
      <c r="K744" s="1">
        <v>500</v>
      </c>
      <c r="L744">
        <v>0.92</v>
      </c>
      <c r="M7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34300</v>
      </c>
      <c r="N744" s="1">
        <f>International_Education_Costs[[#This Row],[Total_Cost]]/International_Education_Costs[[#This Row],[Duration_Years]]</f>
        <v>8575</v>
      </c>
      <c r="O744" s="1">
        <f>International_Education_Costs[[#This Row],[Rent_USD]] * 12 * International_Education_Costs[[#This Row],[Duration_Years]]</f>
        <v>24000</v>
      </c>
      <c r="P744" s="1">
        <f>International_Education_Costs[[#This Row],[Total_Cost]]-International_Education_Costs[[#This Row],[Tuition_USD]]</f>
        <v>26100</v>
      </c>
      <c r="Q744" s="2">
        <f>International_Education_Costs[[#This Row],[Tuition_USD]]/International_Education_Costs[[#This Row],[Total_Cost]]</f>
        <v>0.239067055393586</v>
      </c>
    </row>
    <row r="745" spans="1:17" x14ac:dyDescent="0.25">
      <c r="A745" t="s">
        <v>1038</v>
      </c>
      <c r="B745" t="s">
        <v>1068</v>
      </c>
      <c r="C745" t="s">
        <v>1069</v>
      </c>
      <c r="D745" t="s">
        <v>216</v>
      </c>
      <c r="E745" t="s">
        <v>16</v>
      </c>
      <c r="F745">
        <v>2</v>
      </c>
      <c r="G745" s="1">
        <v>3500</v>
      </c>
      <c r="H745">
        <v>54.8</v>
      </c>
      <c r="I745" s="1">
        <v>380</v>
      </c>
      <c r="J745" s="1">
        <v>80</v>
      </c>
      <c r="K745" s="1">
        <v>400</v>
      </c>
      <c r="L745">
        <v>7.35</v>
      </c>
      <c r="M7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13500</v>
      </c>
      <c r="N745" s="1">
        <f>International_Education_Costs[[#This Row],[Total_Cost]]/International_Education_Costs[[#This Row],[Duration_Years]]</f>
        <v>6750</v>
      </c>
      <c r="O745" s="1">
        <f>International_Education_Costs[[#This Row],[Rent_USD]] * 12 * International_Education_Costs[[#This Row],[Duration_Years]]</f>
        <v>9120</v>
      </c>
      <c r="P745" s="1">
        <f>International_Education_Costs[[#This Row],[Total_Cost]]-International_Education_Costs[[#This Row],[Tuition_USD]]</f>
        <v>10000</v>
      </c>
      <c r="Q745" s="2">
        <f>International_Education_Costs[[#This Row],[Tuition_USD]]/International_Education_Costs[[#This Row],[Total_Cost]]</f>
        <v>0.25925925925925924</v>
      </c>
    </row>
    <row r="746" spans="1:17" x14ac:dyDescent="0.25">
      <c r="A746" t="s">
        <v>1041</v>
      </c>
      <c r="B746" t="s">
        <v>1070</v>
      </c>
      <c r="C746" t="s">
        <v>1071</v>
      </c>
      <c r="D746" t="s">
        <v>15</v>
      </c>
      <c r="E746" t="s">
        <v>75</v>
      </c>
      <c r="F746">
        <v>4</v>
      </c>
      <c r="G746" s="1">
        <v>5000</v>
      </c>
      <c r="H746">
        <v>38.5</v>
      </c>
      <c r="I746" s="1">
        <v>280</v>
      </c>
      <c r="J746" s="1">
        <v>100</v>
      </c>
      <c r="K746" s="1">
        <v>300</v>
      </c>
      <c r="L746">
        <v>56.8</v>
      </c>
      <c r="M7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19740</v>
      </c>
      <c r="N746" s="1">
        <f>International_Education_Costs[[#This Row],[Total_Cost]]/International_Education_Costs[[#This Row],[Duration_Years]]</f>
        <v>4935</v>
      </c>
      <c r="O746" s="1">
        <f>International_Education_Costs[[#This Row],[Rent_USD]] * 12 * International_Education_Costs[[#This Row],[Duration_Years]]</f>
        <v>13440</v>
      </c>
      <c r="P746" s="1">
        <f>International_Education_Costs[[#This Row],[Total_Cost]]-International_Education_Costs[[#This Row],[Tuition_USD]]</f>
        <v>14740</v>
      </c>
      <c r="Q746" s="2">
        <f>International_Education_Costs[[#This Row],[Tuition_USD]]/International_Education_Costs[[#This Row],[Total_Cost]]</f>
        <v>0.25329280648429586</v>
      </c>
    </row>
    <row r="747" spans="1:17" x14ac:dyDescent="0.25">
      <c r="A747" t="s">
        <v>1044</v>
      </c>
      <c r="B747" t="s">
        <v>1072</v>
      </c>
      <c r="C747" t="s">
        <v>1073</v>
      </c>
      <c r="D747" t="s">
        <v>71</v>
      </c>
      <c r="E747" t="s">
        <v>16</v>
      </c>
      <c r="F747">
        <v>2</v>
      </c>
      <c r="G747" s="1">
        <v>1800</v>
      </c>
      <c r="H747">
        <v>39.799999999999997</v>
      </c>
      <c r="I747" s="1">
        <v>250</v>
      </c>
      <c r="J747" s="1">
        <v>70</v>
      </c>
      <c r="K747" s="1">
        <v>250</v>
      </c>
      <c r="L747">
        <v>10.15</v>
      </c>
      <c r="M7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8370</v>
      </c>
      <c r="N747" s="1">
        <f>International_Education_Costs[[#This Row],[Total_Cost]]/International_Education_Costs[[#This Row],[Duration_Years]]</f>
        <v>4185</v>
      </c>
      <c r="O747" s="1">
        <f>International_Education_Costs[[#This Row],[Rent_USD]] * 12 * International_Education_Costs[[#This Row],[Duration_Years]]</f>
        <v>6000</v>
      </c>
      <c r="P747" s="1">
        <f>International_Education_Costs[[#This Row],[Total_Cost]]-International_Education_Costs[[#This Row],[Tuition_USD]]</f>
        <v>6570</v>
      </c>
      <c r="Q747" s="2">
        <f>International_Education_Costs[[#This Row],[Tuition_USD]]/International_Education_Costs[[#This Row],[Total_Cost]]</f>
        <v>0.21505376344086022</v>
      </c>
    </row>
    <row r="748" spans="1:17" x14ac:dyDescent="0.25">
      <c r="A748" t="s">
        <v>1047</v>
      </c>
      <c r="B748" t="s">
        <v>1074</v>
      </c>
      <c r="C748" t="s">
        <v>1075</v>
      </c>
      <c r="D748" t="s">
        <v>242</v>
      </c>
      <c r="E748" t="s">
        <v>122</v>
      </c>
      <c r="F748">
        <v>4</v>
      </c>
      <c r="G748" s="1">
        <v>7500</v>
      </c>
      <c r="H748">
        <v>40.5</v>
      </c>
      <c r="I748" s="1">
        <v>280</v>
      </c>
      <c r="J748" s="1">
        <v>120</v>
      </c>
      <c r="K748" s="1">
        <v>350</v>
      </c>
      <c r="L748">
        <v>3.75</v>
      </c>
      <c r="M7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22460</v>
      </c>
      <c r="N748" s="1">
        <f>International_Education_Costs[[#This Row],[Total_Cost]]/International_Education_Costs[[#This Row],[Duration_Years]]</f>
        <v>5615</v>
      </c>
      <c r="O748" s="1">
        <f>International_Education_Costs[[#This Row],[Rent_USD]] * 12 * International_Education_Costs[[#This Row],[Duration_Years]]</f>
        <v>13440</v>
      </c>
      <c r="P748" s="1">
        <f>International_Education_Costs[[#This Row],[Total_Cost]]-International_Education_Costs[[#This Row],[Tuition_USD]]</f>
        <v>14960</v>
      </c>
      <c r="Q748" s="2">
        <f>International_Education_Costs[[#This Row],[Tuition_USD]]/International_Education_Costs[[#This Row],[Total_Cost]]</f>
        <v>0.33392698130008902</v>
      </c>
    </row>
    <row r="749" spans="1:17" x14ac:dyDescent="0.25">
      <c r="A749" t="s">
        <v>369</v>
      </c>
      <c r="B749" t="s">
        <v>1076</v>
      </c>
      <c r="C749" t="s">
        <v>1077</v>
      </c>
      <c r="D749" t="s">
        <v>63</v>
      </c>
      <c r="E749" t="s">
        <v>16</v>
      </c>
      <c r="F749">
        <v>2</v>
      </c>
      <c r="G749" s="1">
        <v>0</v>
      </c>
      <c r="H749">
        <v>38.5</v>
      </c>
      <c r="I749" s="1">
        <v>260</v>
      </c>
      <c r="J749" s="1">
        <v>90</v>
      </c>
      <c r="K749" s="1">
        <v>280</v>
      </c>
      <c r="L749">
        <v>275</v>
      </c>
      <c r="M7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6890</v>
      </c>
      <c r="N749" s="1">
        <f>International_Education_Costs[[#This Row],[Total_Cost]]/International_Education_Costs[[#This Row],[Duration_Years]]</f>
        <v>3445</v>
      </c>
      <c r="O749" s="1">
        <f>International_Education_Costs[[#This Row],[Rent_USD]] * 12 * International_Education_Costs[[#This Row],[Duration_Years]]</f>
        <v>6240</v>
      </c>
      <c r="P749" s="1">
        <f>International_Education_Costs[[#This Row],[Total_Cost]]-International_Education_Costs[[#This Row],[Tuition_USD]]</f>
        <v>6890</v>
      </c>
      <c r="Q749" s="2">
        <f>International_Education_Costs[[#This Row],[Tuition_USD]]/International_Education_Costs[[#This Row],[Total_Cost]]</f>
        <v>0</v>
      </c>
    </row>
    <row r="750" spans="1:17" x14ac:dyDescent="0.25">
      <c r="A750" t="s">
        <v>1032</v>
      </c>
      <c r="B750" t="s">
        <v>1078</v>
      </c>
      <c r="C750" t="s">
        <v>1079</v>
      </c>
      <c r="D750" t="s">
        <v>20</v>
      </c>
      <c r="E750" t="s">
        <v>122</v>
      </c>
      <c r="F750">
        <v>4</v>
      </c>
      <c r="G750" s="1">
        <v>1600</v>
      </c>
      <c r="H750">
        <v>31.8</v>
      </c>
      <c r="I750" s="1">
        <v>170</v>
      </c>
      <c r="J750" s="1">
        <v>60</v>
      </c>
      <c r="K750" s="1">
        <v>200</v>
      </c>
      <c r="L750">
        <v>3.15</v>
      </c>
      <c r="M7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10620</v>
      </c>
      <c r="N750" s="1">
        <f>International_Education_Costs[[#This Row],[Total_Cost]]/International_Education_Costs[[#This Row],[Duration_Years]]</f>
        <v>2655</v>
      </c>
      <c r="O750" s="1">
        <f>International_Education_Costs[[#This Row],[Rent_USD]] * 12 * International_Education_Costs[[#This Row],[Duration_Years]]</f>
        <v>8160</v>
      </c>
      <c r="P750" s="1">
        <f>International_Education_Costs[[#This Row],[Total_Cost]]-International_Education_Costs[[#This Row],[Tuition_USD]]</f>
        <v>9020</v>
      </c>
      <c r="Q750" s="2">
        <f>International_Education_Costs[[#This Row],[Tuition_USD]]/International_Education_Costs[[#This Row],[Total_Cost]]</f>
        <v>0.15065913370998116</v>
      </c>
    </row>
    <row r="751" spans="1:17" x14ac:dyDescent="0.25">
      <c r="A751" t="s">
        <v>1035</v>
      </c>
      <c r="B751" t="s">
        <v>1080</v>
      </c>
      <c r="C751" t="s">
        <v>1081</v>
      </c>
      <c r="D751" t="s">
        <v>208</v>
      </c>
      <c r="E751" t="s">
        <v>16</v>
      </c>
      <c r="F751">
        <v>2</v>
      </c>
      <c r="G751" s="1">
        <v>7800</v>
      </c>
      <c r="H751">
        <v>59.8</v>
      </c>
      <c r="I751" s="1">
        <v>480</v>
      </c>
      <c r="J751" s="1">
        <v>100</v>
      </c>
      <c r="K751" s="1">
        <v>500</v>
      </c>
      <c r="L751">
        <v>0.92</v>
      </c>
      <c r="M7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20420</v>
      </c>
      <c r="N751" s="1">
        <f>International_Education_Costs[[#This Row],[Total_Cost]]/International_Education_Costs[[#This Row],[Duration_Years]]</f>
        <v>10210</v>
      </c>
      <c r="O751" s="1">
        <f>International_Education_Costs[[#This Row],[Rent_USD]] * 12 * International_Education_Costs[[#This Row],[Duration_Years]]</f>
        <v>11520</v>
      </c>
      <c r="P751" s="1">
        <f>International_Education_Costs[[#This Row],[Total_Cost]]-International_Education_Costs[[#This Row],[Tuition_USD]]</f>
        <v>12620</v>
      </c>
      <c r="Q751" s="2">
        <f>International_Education_Costs[[#This Row],[Tuition_USD]]/International_Education_Costs[[#This Row],[Total_Cost]]</f>
        <v>0.38197845249755141</v>
      </c>
    </row>
    <row r="752" spans="1:17" x14ac:dyDescent="0.25">
      <c r="A752" t="s">
        <v>1038</v>
      </c>
      <c r="B752" t="s">
        <v>1082</v>
      </c>
      <c r="C752" t="s">
        <v>1083</v>
      </c>
      <c r="D752" t="s">
        <v>15</v>
      </c>
      <c r="E752" t="s">
        <v>75</v>
      </c>
      <c r="F752">
        <v>3</v>
      </c>
      <c r="G752" s="1">
        <v>3200</v>
      </c>
      <c r="H752">
        <v>52.5</v>
      </c>
      <c r="I752" s="1">
        <v>350</v>
      </c>
      <c r="J752" s="1">
        <v>80</v>
      </c>
      <c r="K752" s="1">
        <v>400</v>
      </c>
      <c r="L752">
        <v>7.35</v>
      </c>
      <c r="M7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17080</v>
      </c>
      <c r="N752" s="1">
        <f>International_Education_Costs[[#This Row],[Total_Cost]]/International_Education_Costs[[#This Row],[Duration_Years]]</f>
        <v>5693.333333333333</v>
      </c>
      <c r="O752" s="1">
        <f>International_Education_Costs[[#This Row],[Rent_USD]] * 12 * International_Education_Costs[[#This Row],[Duration_Years]]</f>
        <v>12600</v>
      </c>
      <c r="P752" s="1">
        <f>International_Education_Costs[[#This Row],[Total_Cost]]-International_Education_Costs[[#This Row],[Tuition_USD]]</f>
        <v>13880</v>
      </c>
      <c r="Q752" s="2">
        <f>International_Education_Costs[[#This Row],[Tuition_USD]]/International_Education_Costs[[#This Row],[Total_Cost]]</f>
        <v>0.18735362997658081</v>
      </c>
    </row>
    <row r="753" spans="1:17" x14ac:dyDescent="0.25">
      <c r="A753" t="s">
        <v>1041</v>
      </c>
      <c r="B753" t="s">
        <v>1084</v>
      </c>
      <c r="C753" t="s">
        <v>1085</v>
      </c>
      <c r="D753" t="s">
        <v>216</v>
      </c>
      <c r="E753" t="s">
        <v>16</v>
      </c>
      <c r="F753">
        <v>2</v>
      </c>
      <c r="G753" s="1">
        <v>4800</v>
      </c>
      <c r="H753">
        <v>37.200000000000003</v>
      </c>
      <c r="I753" s="1">
        <v>260</v>
      </c>
      <c r="J753" s="1">
        <v>100</v>
      </c>
      <c r="K753" s="1">
        <v>300</v>
      </c>
      <c r="L753">
        <v>56.8</v>
      </c>
      <c r="M7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11740</v>
      </c>
      <c r="N753" s="1">
        <f>International_Education_Costs[[#This Row],[Total_Cost]]/International_Education_Costs[[#This Row],[Duration_Years]]</f>
        <v>5870</v>
      </c>
      <c r="O753" s="1">
        <f>International_Education_Costs[[#This Row],[Rent_USD]] * 12 * International_Education_Costs[[#This Row],[Duration_Years]]</f>
        <v>6240</v>
      </c>
      <c r="P753" s="1">
        <f>International_Education_Costs[[#This Row],[Total_Cost]]-International_Education_Costs[[#This Row],[Tuition_USD]]</f>
        <v>6940</v>
      </c>
      <c r="Q753" s="2">
        <f>International_Education_Costs[[#This Row],[Tuition_USD]]/International_Education_Costs[[#This Row],[Total_Cost]]</f>
        <v>0.40885860306643951</v>
      </c>
    </row>
    <row r="754" spans="1:17" x14ac:dyDescent="0.25">
      <c r="A754" t="s">
        <v>1044</v>
      </c>
      <c r="B754" t="s">
        <v>1086</v>
      </c>
      <c r="C754" t="s">
        <v>1087</v>
      </c>
      <c r="D754" t="s">
        <v>40</v>
      </c>
      <c r="E754" t="s">
        <v>122</v>
      </c>
      <c r="F754">
        <v>4</v>
      </c>
      <c r="G754" s="1">
        <v>2100</v>
      </c>
      <c r="H754">
        <v>40.5</v>
      </c>
      <c r="I754" s="1">
        <v>280</v>
      </c>
      <c r="J754" s="1">
        <v>70</v>
      </c>
      <c r="K754" s="1">
        <v>250</v>
      </c>
      <c r="L754">
        <v>10.15</v>
      </c>
      <c r="M7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16610</v>
      </c>
      <c r="N754" s="1">
        <f>International_Education_Costs[[#This Row],[Total_Cost]]/International_Education_Costs[[#This Row],[Duration_Years]]</f>
        <v>4152.5</v>
      </c>
      <c r="O754" s="1">
        <f>International_Education_Costs[[#This Row],[Rent_USD]] * 12 * International_Education_Costs[[#This Row],[Duration_Years]]</f>
        <v>13440</v>
      </c>
      <c r="P754" s="1">
        <f>International_Education_Costs[[#This Row],[Total_Cost]]-International_Education_Costs[[#This Row],[Tuition_USD]]</f>
        <v>14510</v>
      </c>
      <c r="Q754" s="2">
        <f>International_Education_Costs[[#This Row],[Tuition_USD]]/International_Education_Costs[[#This Row],[Total_Cost]]</f>
        <v>0.12642986152919927</v>
      </c>
    </row>
    <row r="755" spans="1:17" x14ac:dyDescent="0.25">
      <c r="A755" t="s">
        <v>1047</v>
      </c>
      <c r="B755" t="s">
        <v>1088</v>
      </c>
      <c r="C755" t="s">
        <v>1089</v>
      </c>
      <c r="D755" t="s">
        <v>71</v>
      </c>
      <c r="E755" t="s">
        <v>16</v>
      </c>
      <c r="F755">
        <v>2</v>
      </c>
      <c r="G755" s="1">
        <v>6800</v>
      </c>
      <c r="H755">
        <v>39.799999999999997</v>
      </c>
      <c r="I755" s="1">
        <v>260</v>
      </c>
      <c r="J755" s="1">
        <v>120</v>
      </c>
      <c r="K755" s="1">
        <v>350</v>
      </c>
      <c r="L755">
        <v>3.75</v>
      </c>
      <c r="M7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13860</v>
      </c>
      <c r="N755" s="1">
        <f>International_Education_Costs[[#This Row],[Total_Cost]]/International_Education_Costs[[#This Row],[Duration_Years]]</f>
        <v>6930</v>
      </c>
      <c r="O755" s="1">
        <f>International_Education_Costs[[#This Row],[Rent_USD]] * 12 * International_Education_Costs[[#This Row],[Duration_Years]]</f>
        <v>6240</v>
      </c>
      <c r="P755" s="1">
        <f>International_Education_Costs[[#This Row],[Total_Cost]]-International_Education_Costs[[#This Row],[Tuition_USD]]</f>
        <v>7060</v>
      </c>
      <c r="Q755" s="2">
        <f>International_Education_Costs[[#This Row],[Tuition_USD]]/International_Education_Costs[[#This Row],[Total_Cost]]</f>
        <v>0.49062049062049062</v>
      </c>
    </row>
    <row r="756" spans="1:17" x14ac:dyDescent="0.25">
      <c r="A756" t="s">
        <v>369</v>
      </c>
      <c r="B756" t="s">
        <v>1090</v>
      </c>
      <c r="C756" t="s">
        <v>1091</v>
      </c>
      <c r="D756" t="s">
        <v>242</v>
      </c>
      <c r="E756" t="s">
        <v>75</v>
      </c>
      <c r="F756">
        <v>4</v>
      </c>
      <c r="G756" s="1">
        <v>0</v>
      </c>
      <c r="H756">
        <v>37.5</v>
      </c>
      <c r="I756" s="1">
        <v>240</v>
      </c>
      <c r="J756" s="1">
        <v>90</v>
      </c>
      <c r="K756" s="1">
        <v>280</v>
      </c>
      <c r="L756">
        <v>275</v>
      </c>
      <c r="M7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12730</v>
      </c>
      <c r="N756" s="1">
        <f>International_Education_Costs[[#This Row],[Total_Cost]]/International_Education_Costs[[#This Row],[Duration_Years]]</f>
        <v>3182.5</v>
      </c>
      <c r="O756" s="1">
        <f>International_Education_Costs[[#This Row],[Rent_USD]] * 12 * International_Education_Costs[[#This Row],[Duration_Years]]</f>
        <v>11520</v>
      </c>
      <c r="P756" s="1">
        <f>International_Education_Costs[[#This Row],[Total_Cost]]-International_Education_Costs[[#This Row],[Tuition_USD]]</f>
        <v>12730</v>
      </c>
      <c r="Q756" s="2">
        <f>International_Education_Costs[[#This Row],[Tuition_USD]]/International_Education_Costs[[#This Row],[Total_Cost]]</f>
        <v>0</v>
      </c>
    </row>
    <row r="757" spans="1:17" x14ac:dyDescent="0.25">
      <c r="A757" t="s">
        <v>1032</v>
      </c>
      <c r="B757" t="s">
        <v>1092</v>
      </c>
      <c r="C757" t="s">
        <v>1093</v>
      </c>
      <c r="D757" t="s">
        <v>63</v>
      </c>
      <c r="E757" t="s">
        <v>16</v>
      </c>
      <c r="F757">
        <v>2</v>
      </c>
      <c r="G757" s="1">
        <v>1400</v>
      </c>
      <c r="H757">
        <v>30.5</v>
      </c>
      <c r="I757" s="1">
        <v>160</v>
      </c>
      <c r="J757" s="1">
        <v>60</v>
      </c>
      <c r="K757" s="1">
        <v>200</v>
      </c>
      <c r="L757">
        <v>3.15</v>
      </c>
      <c r="M7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5700</v>
      </c>
      <c r="N757" s="1">
        <f>International_Education_Costs[[#This Row],[Total_Cost]]/International_Education_Costs[[#This Row],[Duration_Years]]</f>
        <v>2850</v>
      </c>
      <c r="O757" s="1">
        <f>International_Education_Costs[[#This Row],[Rent_USD]] * 12 * International_Education_Costs[[#This Row],[Duration_Years]]</f>
        <v>3840</v>
      </c>
      <c r="P757" s="1">
        <f>International_Education_Costs[[#This Row],[Total_Cost]]-International_Education_Costs[[#This Row],[Tuition_USD]]</f>
        <v>4300</v>
      </c>
      <c r="Q757" s="2">
        <f>International_Education_Costs[[#This Row],[Tuition_USD]]/International_Education_Costs[[#This Row],[Total_Cost]]</f>
        <v>0.24561403508771928</v>
      </c>
    </row>
    <row r="758" spans="1:17" x14ac:dyDescent="0.25">
      <c r="A758" t="s">
        <v>1038</v>
      </c>
      <c r="B758" t="s">
        <v>1094</v>
      </c>
      <c r="C758" t="s">
        <v>1095</v>
      </c>
      <c r="D758" t="s">
        <v>223</v>
      </c>
      <c r="E758" t="s">
        <v>122</v>
      </c>
      <c r="F758">
        <v>4</v>
      </c>
      <c r="G758" s="1">
        <v>3600</v>
      </c>
      <c r="H758">
        <v>53.2</v>
      </c>
      <c r="I758" s="1">
        <v>370</v>
      </c>
      <c r="J758" s="1">
        <v>80</v>
      </c>
      <c r="K758" s="1">
        <v>400</v>
      </c>
      <c r="L758">
        <v>7.35</v>
      </c>
      <c r="M7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23040</v>
      </c>
      <c r="N758" s="1">
        <f>International_Education_Costs[[#This Row],[Total_Cost]]/International_Education_Costs[[#This Row],[Duration_Years]]</f>
        <v>5760</v>
      </c>
      <c r="O758" s="1">
        <f>International_Education_Costs[[#This Row],[Rent_USD]] * 12 * International_Education_Costs[[#This Row],[Duration_Years]]</f>
        <v>17760</v>
      </c>
      <c r="P758" s="1">
        <f>International_Education_Costs[[#This Row],[Total_Cost]]-International_Education_Costs[[#This Row],[Tuition_USD]]</f>
        <v>19440</v>
      </c>
      <c r="Q758" s="2">
        <f>International_Education_Costs[[#This Row],[Tuition_USD]]/International_Education_Costs[[#This Row],[Total_Cost]]</f>
        <v>0.15625</v>
      </c>
    </row>
    <row r="759" spans="1:17" x14ac:dyDescent="0.25">
      <c r="A759" t="s">
        <v>1035</v>
      </c>
      <c r="B759" t="s">
        <v>1096</v>
      </c>
      <c r="C759" t="s">
        <v>1097</v>
      </c>
      <c r="D759" t="s">
        <v>20</v>
      </c>
      <c r="E759" t="s">
        <v>75</v>
      </c>
      <c r="F759">
        <v>3</v>
      </c>
      <c r="G759" s="1">
        <v>7400</v>
      </c>
      <c r="H759">
        <v>58.5</v>
      </c>
      <c r="I759" s="1">
        <v>450</v>
      </c>
      <c r="J759" s="1">
        <v>100</v>
      </c>
      <c r="K759" s="1">
        <v>500</v>
      </c>
      <c r="L759">
        <v>0.92</v>
      </c>
      <c r="M7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25200</v>
      </c>
      <c r="N759" s="1">
        <f>International_Education_Costs[[#This Row],[Total_Cost]]/International_Education_Costs[[#This Row],[Duration_Years]]</f>
        <v>8400</v>
      </c>
      <c r="O759" s="1">
        <f>International_Education_Costs[[#This Row],[Rent_USD]] * 12 * International_Education_Costs[[#This Row],[Duration_Years]]</f>
        <v>16200</v>
      </c>
      <c r="P759" s="1">
        <f>International_Education_Costs[[#This Row],[Total_Cost]]-International_Education_Costs[[#This Row],[Tuition_USD]]</f>
        <v>17800</v>
      </c>
      <c r="Q759" s="2">
        <f>International_Education_Costs[[#This Row],[Tuition_USD]]/International_Education_Costs[[#This Row],[Total_Cost]]</f>
        <v>0.29365079365079366</v>
      </c>
    </row>
    <row r="760" spans="1:17" x14ac:dyDescent="0.25">
      <c r="A760" t="s">
        <v>1041</v>
      </c>
      <c r="B760" t="s">
        <v>1098</v>
      </c>
      <c r="C760" t="s">
        <v>1099</v>
      </c>
      <c r="D760" t="s">
        <v>15</v>
      </c>
      <c r="E760" t="s">
        <v>122</v>
      </c>
      <c r="F760">
        <v>4</v>
      </c>
      <c r="G760" s="1">
        <v>4500</v>
      </c>
      <c r="H760">
        <v>36.799999999999997</v>
      </c>
      <c r="I760" s="1">
        <v>250</v>
      </c>
      <c r="J760" s="1">
        <v>100</v>
      </c>
      <c r="K760" s="1">
        <v>300</v>
      </c>
      <c r="L760">
        <v>56.8</v>
      </c>
      <c r="M7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17800</v>
      </c>
      <c r="N760" s="1">
        <f>International_Education_Costs[[#This Row],[Total_Cost]]/International_Education_Costs[[#This Row],[Duration_Years]]</f>
        <v>4450</v>
      </c>
      <c r="O760" s="1">
        <f>International_Education_Costs[[#This Row],[Rent_USD]] * 12 * International_Education_Costs[[#This Row],[Duration_Years]]</f>
        <v>12000</v>
      </c>
      <c r="P760" s="1">
        <f>International_Education_Costs[[#This Row],[Total_Cost]]-International_Education_Costs[[#This Row],[Tuition_USD]]</f>
        <v>13300</v>
      </c>
      <c r="Q760" s="2">
        <f>International_Education_Costs[[#This Row],[Tuition_USD]]/International_Education_Costs[[#This Row],[Total_Cost]]</f>
        <v>0.25280898876404495</v>
      </c>
    </row>
    <row r="761" spans="1:17" x14ac:dyDescent="0.25">
      <c r="A761" t="s">
        <v>1044</v>
      </c>
      <c r="B761" t="s">
        <v>1100</v>
      </c>
      <c r="C761" t="s">
        <v>1101</v>
      </c>
      <c r="D761" t="s">
        <v>208</v>
      </c>
      <c r="E761" t="s">
        <v>16</v>
      </c>
      <c r="F761">
        <v>2</v>
      </c>
      <c r="G761" s="1">
        <v>1900</v>
      </c>
      <c r="H761">
        <v>38.9</v>
      </c>
      <c r="I761" s="1">
        <v>260</v>
      </c>
      <c r="J761" s="1">
        <v>70</v>
      </c>
      <c r="K761" s="1">
        <v>250</v>
      </c>
      <c r="L761">
        <v>10.15</v>
      </c>
      <c r="M7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8710</v>
      </c>
      <c r="N761" s="1">
        <f>International_Education_Costs[[#This Row],[Total_Cost]]/International_Education_Costs[[#This Row],[Duration_Years]]</f>
        <v>4355</v>
      </c>
      <c r="O761" s="1">
        <f>International_Education_Costs[[#This Row],[Rent_USD]] * 12 * International_Education_Costs[[#This Row],[Duration_Years]]</f>
        <v>6240</v>
      </c>
      <c r="P761" s="1">
        <f>International_Education_Costs[[#This Row],[Total_Cost]]-International_Education_Costs[[#This Row],[Tuition_USD]]</f>
        <v>6810</v>
      </c>
      <c r="Q761" s="2">
        <f>International_Education_Costs[[#This Row],[Tuition_USD]]/International_Education_Costs[[#This Row],[Total_Cost]]</f>
        <v>0.21814006888633755</v>
      </c>
    </row>
    <row r="762" spans="1:17" x14ac:dyDescent="0.25">
      <c r="A762" t="s">
        <v>1047</v>
      </c>
      <c r="B762" t="s">
        <v>1102</v>
      </c>
      <c r="C762" t="s">
        <v>1103</v>
      </c>
      <c r="D762" t="s">
        <v>216</v>
      </c>
      <c r="E762" t="s">
        <v>16</v>
      </c>
      <c r="F762">
        <v>2</v>
      </c>
      <c r="G762" s="1">
        <v>7200</v>
      </c>
      <c r="H762">
        <v>38.5</v>
      </c>
      <c r="I762" s="1">
        <v>250</v>
      </c>
      <c r="J762" s="1">
        <v>120</v>
      </c>
      <c r="K762" s="1">
        <v>350</v>
      </c>
      <c r="L762">
        <v>3.75</v>
      </c>
      <c r="M7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14020</v>
      </c>
      <c r="N762" s="1">
        <f>International_Education_Costs[[#This Row],[Total_Cost]]/International_Education_Costs[[#This Row],[Duration_Years]]</f>
        <v>7010</v>
      </c>
      <c r="O762" s="1">
        <f>International_Education_Costs[[#This Row],[Rent_USD]] * 12 * International_Education_Costs[[#This Row],[Duration_Years]]</f>
        <v>6000</v>
      </c>
      <c r="P762" s="1">
        <f>International_Education_Costs[[#This Row],[Total_Cost]]-International_Education_Costs[[#This Row],[Tuition_USD]]</f>
        <v>6820</v>
      </c>
      <c r="Q762" s="2">
        <f>International_Education_Costs[[#This Row],[Tuition_USD]]/International_Education_Costs[[#This Row],[Total_Cost]]</f>
        <v>0.51355206847360912</v>
      </c>
    </row>
    <row r="763" spans="1:17" x14ac:dyDescent="0.25">
      <c r="A763" t="s">
        <v>369</v>
      </c>
      <c r="B763" t="s">
        <v>1104</v>
      </c>
      <c r="C763" t="s">
        <v>1105</v>
      </c>
      <c r="D763" t="s">
        <v>71</v>
      </c>
      <c r="E763" t="s">
        <v>122</v>
      </c>
      <c r="F763">
        <v>4</v>
      </c>
      <c r="G763" s="1">
        <v>0</v>
      </c>
      <c r="H763">
        <v>36.799999999999997</v>
      </c>
      <c r="I763" s="1">
        <v>230</v>
      </c>
      <c r="J763" s="1">
        <v>90</v>
      </c>
      <c r="K763" s="1">
        <v>280</v>
      </c>
      <c r="L763">
        <v>275</v>
      </c>
      <c r="M7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12250</v>
      </c>
      <c r="N763" s="1">
        <f>International_Education_Costs[[#This Row],[Total_Cost]]/International_Education_Costs[[#This Row],[Duration_Years]]</f>
        <v>3062.5</v>
      </c>
      <c r="O763" s="1">
        <f>International_Education_Costs[[#This Row],[Rent_USD]] * 12 * International_Education_Costs[[#This Row],[Duration_Years]]</f>
        <v>11040</v>
      </c>
      <c r="P763" s="1">
        <f>International_Education_Costs[[#This Row],[Total_Cost]]-International_Education_Costs[[#This Row],[Tuition_USD]]</f>
        <v>12250</v>
      </c>
      <c r="Q763" s="2">
        <f>International_Education_Costs[[#This Row],[Tuition_USD]]/International_Education_Costs[[#This Row],[Total_Cost]]</f>
        <v>0</v>
      </c>
    </row>
    <row r="764" spans="1:17" x14ac:dyDescent="0.25">
      <c r="A764" t="s">
        <v>1032</v>
      </c>
      <c r="B764" t="s">
        <v>1106</v>
      </c>
      <c r="C764" t="s">
        <v>1107</v>
      </c>
      <c r="D764" t="s">
        <v>40</v>
      </c>
      <c r="E764" t="s">
        <v>75</v>
      </c>
      <c r="F764">
        <v>3</v>
      </c>
      <c r="G764" s="1">
        <v>1200</v>
      </c>
      <c r="H764">
        <v>29.8</v>
      </c>
      <c r="I764" s="1">
        <v>150</v>
      </c>
      <c r="J764" s="1">
        <v>60</v>
      </c>
      <c r="K764" s="1">
        <v>200</v>
      </c>
      <c r="L764">
        <v>3.15</v>
      </c>
      <c r="M7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7260</v>
      </c>
      <c r="N764" s="1">
        <f>International_Education_Costs[[#This Row],[Total_Cost]]/International_Education_Costs[[#This Row],[Duration_Years]]</f>
        <v>2420</v>
      </c>
      <c r="O764" s="1">
        <f>International_Education_Costs[[#This Row],[Rent_USD]] * 12 * International_Education_Costs[[#This Row],[Duration_Years]]</f>
        <v>5400</v>
      </c>
      <c r="P764" s="1">
        <f>International_Education_Costs[[#This Row],[Total_Cost]]-International_Education_Costs[[#This Row],[Tuition_USD]]</f>
        <v>6060</v>
      </c>
      <c r="Q764" s="2">
        <f>International_Education_Costs[[#This Row],[Tuition_USD]]/International_Education_Costs[[#This Row],[Total_Cost]]</f>
        <v>0.16528925619834711</v>
      </c>
    </row>
    <row r="765" spans="1:17" x14ac:dyDescent="0.25">
      <c r="A765" t="s">
        <v>1035</v>
      </c>
      <c r="B765" t="s">
        <v>1108</v>
      </c>
      <c r="C765" t="s">
        <v>1109</v>
      </c>
      <c r="D765" t="s">
        <v>63</v>
      </c>
      <c r="E765" t="s">
        <v>16</v>
      </c>
      <c r="F765">
        <v>2</v>
      </c>
      <c r="G765" s="1">
        <v>7600</v>
      </c>
      <c r="H765">
        <v>57.8</v>
      </c>
      <c r="I765" s="1">
        <v>430</v>
      </c>
      <c r="J765" s="1">
        <v>100</v>
      </c>
      <c r="K765" s="1">
        <v>500</v>
      </c>
      <c r="L765">
        <v>0.92</v>
      </c>
      <c r="M7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19020</v>
      </c>
      <c r="N765" s="1">
        <f>International_Education_Costs[[#This Row],[Total_Cost]]/International_Education_Costs[[#This Row],[Duration_Years]]</f>
        <v>9510</v>
      </c>
      <c r="O765" s="1">
        <f>International_Education_Costs[[#This Row],[Rent_USD]] * 12 * International_Education_Costs[[#This Row],[Duration_Years]]</f>
        <v>10320</v>
      </c>
      <c r="P765" s="1">
        <f>International_Education_Costs[[#This Row],[Total_Cost]]-International_Education_Costs[[#This Row],[Tuition_USD]]</f>
        <v>11420</v>
      </c>
      <c r="Q765" s="2">
        <f>International_Education_Costs[[#This Row],[Tuition_USD]]/International_Education_Costs[[#This Row],[Total_Cost]]</f>
        <v>0.39957939011566773</v>
      </c>
    </row>
    <row r="766" spans="1:17" x14ac:dyDescent="0.25">
      <c r="A766" t="s">
        <v>1038</v>
      </c>
      <c r="B766" t="s">
        <v>1110</v>
      </c>
      <c r="C766" t="s">
        <v>1111</v>
      </c>
      <c r="D766" t="s">
        <v>242</v>
      </c>
      <c r="E766" t="s">
        <v>16</v>
      </c>
      <c r="F766">
        <v>2</v>
      </c>
      <c r="G766" s="1">
        <v>3400</v>
      </c>
      <c r="H766">
        <v>54.5</v>
      </c>
      <c r="I766" s="1">
        <v>390</v>
      </c>
      <c r="J766" s="1">
        <v>80</v>
      </c>
      <c r="K766" s="1">
        <v>400</v>
      </c>
      <c r="L766">
        <v>7.35</v>
      </c>
      <c r="M7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13640</v>
      </c>
      <c r="N766" s="1">
        <f>International_Education_Costs[[#This Row],[Total_Cost]]/International_Education_Costs[[#This Row],[Duration_Years]]</f>
        <v>6820</v>
      </c>
      <c r="O766" s="1">
        <f>International_Education_Costs[[#This Row],[Rent_USD]] * 12 * International_Education_Costs[[#This Row],[Duration_Years]]</f>
        <v>9360</v>
      </c>
      <c r="P766" s="1">
        <f>International_Education_Costs[[#This Row],[Total_Cost]]-International_Education_Costs[[#This Row],[Tuition_USD]]</f>
        <v>10240</v>
      </c>
      <c r="Q766" s="2">
        <f>International_Education_Costs[[#This Row],[Tuition_USD]]/International_Education_Costs[[#This Row],[Total_Cost]]</f>
        <v>0.24926686217008798</v>
      </c>
    </row>
    <row r="767" spans="1:17" x14ac:dyDescent="0.25">
      <c r="A767" t="s">
        <v>1044</v>
      </c>
      <c r="B767" t="s">
        <v>1112</v>
      </c>
      <c r="C767" t="s">
        <v>1113</v>
      </c>
      <c r="D767" t="s">
        <v>15</v>
      </c>
      <c r="E767" t="s">
        <v>75</v>
      </c>
      <c r="F767">
        <v>4</v>
      </c>
      <c r="G767" s="1">
        <v>1700</v>
      </c>
      <c r="H767">
        <v>37.5</v>
      </c>
      <c r="I767" s="1">
        <v>240</v>
      </c>
      <c r="J767" s="1">
        <v>70</v>
      </c>
      <c r="K767" s="1">
        <v>250</v>
      </c>
      <c r="L767">
        <v>10.15</v>
      </c>
      <c r="M7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14290</v>
      </c>
      <c r="N767" s="1">
        <f>International_Education_Costs[[#This Row],[Total_Cost]]/International_Education_Costs[[#This Row],[Duration_Years]]</f>
        <v>3572.5</v>
      </c>
      <c r="O767" s="1">
        <f>International_Education_Costs[[#This Row],[Rent_USD]] * 12 * International_Education_Costs[[#This Row],[Duration_Years]]</f>
        <v>11520</v>
      </c>
      <c r="P767" s="1">
        <f>International_Education_Costs[[#This Row],[Total_Cost]]-International_Education_Costs[[#This Row],[Tuition_USD]]</f>
        <v>12590</v>
      </c>
      <c r="Q767" s="2">
        <f>International_Education_Costs[[#This Row],[Tuition_USD]]/International_Education_Costs[[#This Row],[Total_Cost]]</f>
        <v>0.11896431070678797</v>
      </c>
    </row>
    <row r="768" spans="1:17" x14ac:dyDescent="0.25">
      <c r="A768" t="s">
        <v>1047</v>
      </c>
      <c r="B768" t="s">
        <v>1114</v>
      </c>
      <c r="C768" t="s">
        <v>1115</v>
      </c>
      <c r="D768" t="s">
        <v>252</v>
      </c>
      <c r="E768" t="s">
        <v>122</v>
      </c>
      <c r="F768">
        <v>4</v>
      </c>
      <c r="G768" s="1">
        <v>6500</v>
      </c>
      <c r="H768">
        <v>37.799999999999997</v>
      </c>
      <c r="I768" s="1">
        <v>240</v>
      </c>
      <c r="J768" s="1">
        <v>120</v>
      </c>
      <c r="K768" s="1">
        <v>350</v>
      </c>
      <c r="L768">
        <v>3.75</v>
      </c>
      <c r="M7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19540</v>
      </c>
      <c r="N768" s="1">
        <f>International_Education_Costs[[#This Row],[Total_Cost]]/International_Education_Costs[[#This Row],[Duration_Years]]</f>
        <v>4885</v>
      </c>
      <c r="O768" s="1">
        <f>International_Education_Costs[[#This Row],[Rent_USD]] * 12 * International_Education_Costs[[#This Row],[Duration_Years]]</f>
        <v>11520</v>
      </c>
      <c r="P768" s="1">
        <f>International_Education_Costs[[#This Row],[Total_Cost]]-International_Education_Costs[[#This Row],[Tuition_USD]]</f>
        <v>13040</v>
      </c>
      <c r="Q768" s="2">
        <f>International_Education_Costs[[#This Row],[Tuition_USD]]/International_Education_Costs[[#This Row],[Total_Cost]]</f>
        <v>0.33265097236438074</v>
      </c>
    </row>
    <row r="769" spans="1:17" x14ac:dyDescent="0.25">
      <c r="A769" t="s">
        <v>1116</v>
      </c>
      <c r="B769" t="s">
        <v>1117</v>
      </c>
      <c r="C769" t="s">
        <v>1118</v>
      </c>
      <c r="D769" t="s">
        <v>15</v>
      </c>
      <c r="E769" t="s">
        <v>16</v>
      </c>
      <c r="F769">
        <v>2</v>
      </c>
      <c r="G769" s="1">
        <v>8500</v>
      </c>
      <c r="H769">
        <v>45.8</v>
      </c>
      <c r="I769" s="1">
        <v>400</v>
      </c>
      <c r="J769" s="1">
        <v>100</v>
      </c>
      <c r="K769" s="1">
        <v>300</v>
      </c>
      <c r="L769">
        <v>1</v>
      </c>
      <c r="M7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18800</v>
      </c>
      <c r="N769" s="1">
        <f>International_Education_Costs[[#This Row],[Total_Cost]]/International_Education_Costs[[#This Row],[Duration_Years]]</f>
        <v>9400</v>
      </c>
      <c r="O769" s="1">
        <f>International_Education_Costs[[#This Row],[Rent_USD]] * 12 * International_Education_Costs[[#This Row],[Duration_Years]]</f>
        <v>9600</v>
      </c>
      <c r="P769" s="1">
        <f>International_Education_Costs[[#This Row],[Total_Cost]]-International_Education_Costs[[#This Row],[Tuition_USD]]</f>
        <v>10300</v>
      </c>
      <c r="Q769" s="2">
        <f>International_Education_Costs[[#This Row],[Tuition_USD]]/International_Education_Costs[[#This Row],[Total_Cost]]</f>
        <v>0.4521276595744681</v>
      </c>
    </row>
    <row r="770" spans="1:17" x14ac:dyDescent="0.25">
      <c r="A770" t="s">
        <v>1119</v>
      </c>
      <c r="B770" t="s">
        <v>1120</v>
      </c>
      <c r="C770" t="s">
        <v>1121</v>
      </c>
      <c r="D770" t="s">
        <v>20</v>
      </c>
      <c r="E770" t="s">
        <v>16</v>
      </c>
      <c r="F770">
        <v>2</v>
      </c>
      <c r="G770" s="1">
        <v>20000</v>
      </c>
      <c r="H770">
        <v>58.9</v>
      </c>
      <c r="I770" s="1">
        <v>600</v>
      </c>
      <c r="J770" s="1">
        <v>150</v>
      </c>
      <c r="K770" s="1">
        <v>500</v>
      </c>
      <c r="L770">
        <v>15000</v>
      </c>
      <c r="M7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35550</v>
      </c>
      <c r="N770" s="1">
        <f>International_Education_Costs[[#This Row],[Total_Cost]]/International_Education_Costs[[#This Row],[Duration_Years]]</f>
        <v>17775</v>
      </c>
      <c r="O770" s="1">
        <f>International_Education_Costs[[#This Row],[Rent_USD]] * 12 * International_Education_Costs[[#This Row],[Duration_Years]]</f>
        <v>14400</v>
      </c>
      <c r="P770" s="1">
        <f>International_Education_Costs[[#This Row],[Total_Cost]]-International_Education_Costs[[#This Row],[Tuition_USD]]</f>
        <v>15550</v>
      </c>
      <c r="Q770" s="2">
        <f>International_Education_Costs[[#This Row],[Tuition_USD]]/International_Education_Costs[[#This Row],[Total_Cost]]</f>
        <v>0.56258790436005623</v>
      </c>
    </row>
    <row r="771" spans="1:17" x14ac:dyDescent="0.25">
      <c r="A771" t="s">
        <v>1122</v>
      </c>
      <c r="B771" t="s">
        <v>1123</v>
      </c>
      <c r="C771" t="s">
        <v>1124</v>
      </c>
      <c r="D771" t="s">
        <v>208</v>
      </c>
      <c r="E771" t="s">
        <v>75</v>
      </c>
      <c r="F771">
        <v>4</v>
      </c>
      <c r="G771" s="1">
        <v>7000</v>
      </c>
      <c r="H771">
        <v>65.400000000000006</v>
      </c>
      <c r="I771" s="1">
        <v>700</v>
      </c>
      <c r="J771" s="1">
        <v>130</v>
      </c>
      <c r="K771" s="1">
        <v>600</v>
      </c>
      <c r="L771">
        <v>0.38</v>
      </c>
      <c r="M7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43130</v>
      </c>
      <c r="N771" s="1">
        <f>International_Education_Costs[[#This Row],[Total_Cost]]/International_Education_Costs[[#This Row],[Duration_Years]]</f>
        <v>10782.5</v>
      </c>
      <c r="O771" s="1">
        <f>International_Education_Costs[[#This Row],[Rent_USD]] * 12 * International_Education_Costs[[#This Row],[Duration_Years]]</f>
        <v>33600</v>
      </c>
      <c r="P771" s="1">
        <f>International_Education_Costs[[#This Row],[Total_Cost]]-International_Education_Costs[[#This Row],[Tuition_USD]]</f>
        <v>36130</v>
      </c>
      <c r="Q771" s="2">
        <f>International_Education_Costs[[#This Row],[Tuition_USD]]/International_Education_Costs[[#This Row],[Total_Cost]]</f>
        <v>0.1623000231857176</v>
      </c>
    </row>
    <row r="772" spans="1:17" x14ac:dyDescent="0.25">
      <c r="A772" t="s">
        <v>1125</v>
      </c>
      <c r="B772" t="s">
        <v>1126</v>
      </c>
      <c r="C772" t="s">
        <v>1127</v>
      </c>
      <c r="D772" t="s">
        <v>63</v>
      </c>
      <c r="E772" t="s">
        <v>122</v>
      </c>
      <c r="F772">
        <v>4</v>
      </c>
      <c r="G772" s="1">
        <v>0</v>
      </c>
      <c r="H772">
        <v>52.4</v>
      </c>
      <c r="I772" s="1">
        <v>450</v>
      </c>
      <c r="J772" s="1">
        <v>90</v>
      </c>
      <c r="K772" s="1">
        <v>350</v>
      </c>
      <c r="L772">
        <v>39.5</v>
      </c>
      <c r="M7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23090</v>
      </c>
      <c r="N772" s="1">
        <f>International_Education_Costs[[#This Row],[Total_Cost]]/International_Education_Costs[[#This Row],[Duration_Years]]</f>
        <v>5772.5</v>
      </c>
      <c r="O772" s="1">
        <f>International_Education_Costs[[#This Row],[Rent_USD]] * 12 * International_Education_Costs[[#This Row],[Duration_Years]]</f>
        <v>21600</v>
      </c>
      <c r="P772" s="1">
        <f>International_Education_Costs[[#This Row],[Total_Cost]]-International_Education_Costs[[#This Row],[Tuition_USD]]</f>
        <v>23090</v>
      </c>
      <c r="Q772" s="2">
        <f>International_Education_Costs[[#This Row],[Tuition_USD]]/International_Education_Costs[[#This Row],[Total_Cost]]</f>
        <v>0</v>
      </c>
    </row>
    <row r="773" spans="1:17" x14ac:dyDescent="0.25">
      <c r="A773" t="s">
        <v>1128</v>
      </c>
      <c r="B773" t="s">
        <v>1129</v>
      </c>
      <c r="C773" t="s">
        <v>1130</v>
      </c>
      <c r="D773" t="s">
        <v>216</v>
      </c>
      <c r="E773" t="s">
        <v>16</v>
      </c>
      <c r="F773">
        <v>2</v>
      </c>
      <c r="G773" s="1">
        <v>3500</v>
      </c>
      <c r="H773">
        <v>48.5</v>
      </c>
      <c r="I773" s="1">
        <v>400</v>
      </c>
      <c r="J773" s="1">
        <v>110</v>
      </c>
      <c r="K773" s="1">
        <v>300</v>
      </c>
      <c r="L773">
        <v>1.85</v>
      </c>
      <c r="M7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13810</v>
      </c>
      <c r="N773" s="1">
        <f>International_Education_Costs[[#This Row],[Total_Cost]]/International_Education_Costs[[#This Row],[Duration_Years]]</f>
        <v>6905</v>
      </c>
      <c r="O773" s="1">
        <f>International_Education_Costs[[#This Row],[Rent_USD]] * 12 * International_Education_Costs[[#This Row],[Duration_Years]]</f>
        <v>9600</v>
      </c>
      <c r="P773" s="1">
        <f>International_Education_Costs[[#This Row],[Total_Cost]]-International_Education_Costs[[#This Row],[Tuition_USD]]</f>
        <v>10310</v>
      </c>
      <c r="Q773" s="2">
        <f>International_Education_Costs[[#This Row],[Tuition_USD]]/International_Education_Costs[[#This Row],[Total_Cost]]</f>
        <v>0.25343953656770457</v>
      </c>
    </row>
    <row r="774" spans="1:17" x14ac:dyDescent="0.25">
      <c r="A774" t="s">
        <v>1131</v>
      </c>
      <c r="B774" t="s">
        <v>1132</v>
      </c>
      <c r="C774" t="s">
        <v>1133</v>
      </c>
      <c r="D774" t="s">
        <v>71</v>
      </c>
      <c r="E774" t="s">
        <v>16</v>
      </c>
      <c r="F774">
        <v>2</v>
      </c>
      <c r="G774" s="1">
        <v>4500</v>
      </c>
      <c r="H774">
        <v>42.1</v>
      </c>
      <c r="I774" s="1">
        <v>300</v>
      </c>
      <c r="J774" s="1">
        <v>120</v>
      </c>
      <c r="K774" s="1">
        <v>250</v>
      </c>
      <c r="L774">
        <v>12</v>
      </c>
      <c r="M7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12320</v>
      </c>
      <c r="N774" s="1">
        <f>International_Education_Costs[[#This Row],[Total_Cost]]/International_Education_Costs[[#This Row],[Duration_Years]]</f>
        <v>6160</v>
      </c>
      <c r="O774" s="1">
        <f>International_Education_Costs[[#This Row],[Rent_USD]] * 12 * International_Education_Costs[[#This Row],[Duration_Years]]</f>
        <v>7200</v>
      </c>
      <c r="P774" s="1">
        <f>International_Education_Costs[[#This Row],[Total_Cost]]-International_Education_Costs[[#This Row],[Tuition_USD]]</f>
        <v>7820</v>
      </c>
      <c r="Q774" s="2">
        <f>International_Education_Costs[[#This Row],[Tuition_USD]]/International_Education_Costs[[#This Row],[Total_Cost]]</f>
        <v>0.36525974025974028</v>
      </c>
    </row>
    <row r="775" spans="1:17" x14ac:dyDescent="0.25">
      <c r="A775" t="s">
        <v>1134</v>
      </c>
      <c r="B775" t="s">
        <v>1135</v>
      </c>
      <c r="C775" t="s">
        <v>1136</v>
      </c>
      <c r="D775" t="s">
        <v>15</v>
      </c>
      <c r="E775" t="s">
        <v>75</v>
      </c>
      <c r="F775">
        <v>3</v>
      </c>
      <c r="G775" s="1">
        <v>1200</v>
      </c>
      <c r="H775">
        <v>38.5</v>
      </c>
      <c r="I775" s="1">
        <v>250</v>
      </c>
      <c r="J775" s="1">
        <v>80</v>
      </c>
      <c r="K775" s="1">
        <v>200</v>
      </c>
      <c r="L775">
        <v>137.5</v>
      </c>
      <c r="M7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10880</v>
      </c>
      <c r="N775" s="1">
        <f>International_Education_Costs[[#This Row],[Total_Cost]]/International_Education_Costs[[#This Row],[Duration_Years]]</f>
        <v>3626.6666666666665</v>
      </c>
      <c r="O775" s="1">
        <f>International_Education_Costs[[#This Row],[Rent_USD]] * 12 * International_Education_Costs[[#This Row],[Duration_Years]]</f>
        <v>9000</v>
      </c>
      <c r="P775" s="1">
        <f>International_Education_Costs[[#This Row],[Total_Cost]]-International_Education_Costs[[#This Row],[Tuition_USD]]</f>
        <v>9680</v>
      </c>
      <c r="Q775" s="2">
        <f>International_Education_Costs[[#This Row],[Tuition_USD]]/International_Education_Costs[[#This Row],[Total_Cost]]</f>
        <v>0.11029411764705882</v>
      </c>
    </row>
    <row r="776" spans="1:17" x14ac:dyDescent="0.25">
      <c r="A776" t="s">
        <v>1137</v>
      </c>
      <c r="B776" t="s">
        <v>1138</v>
      </c>
      <c r="C776" t="s">
        <v>1139</v>
      </c>
      <c r="D776" t="s">
        <v>40</v>
      </c>
      <c r="E776" t="s">
        <v>16</v>
      </c>
      <c r="F776">
        <v>2</v>
      </c>
      <c r="G776" s="1">
        <v>7500</v>
      </c>
      <c r="H776">
        <v>51.2</v>
      </c>
      <c r="I776" s="1">
        <v>600</v>
      </c>
      <c r="J776" s="1">
        <v>100</v>
      </c>
      <c r="K776" s="1">
        <v>400</v>
      </c>
      <c r="L776">
        <v>1</v>
      </c>
      <c r="M7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22800</v>
      </c>
      <c r="N776" s="1">
        <f>International_Education_Costs[[#This Row],[Total_Cost]]/International_Education_Costs[[#This Row],[Duration_Years]]</f>
        <v>11400</v>
      </c>
      <c r="O776" s="1">
        <f>International_Education_Costs[[#This Row],[Rent_USD]] * 12 * International_Education_Costs[[#This Row],[Duration_Years]]</f>
        <v>14400</v>
      </c>
      <c r="P776" s="1">
        <f>International_Education_Costs[[#This Row],[Total_Cost]]-International_Education_Costs[[#This Row],[Tuition_USD]]</f>
        <v>15300</v>
      </c>
      <c r="Q776" s="2">
        <f>International_Education_Costs[[#This Row],[Tuition_USD]]/International_Education_Costs[[#This Row],[Total_Cost]]</f>
        <v>0.32894736842105265</v>
      </c>
    </row>
    <row r="777" spans="1:17" x14ac:dyDescent="0.25">
      <c r="A777" t="s">
        <v>1116</v>
      </c>
      <c r="B777" t="s">
        <v>1140</v>
      </c>
      <c r="C777" t="s">
        <v>1141</v>
      </c>
      <c r="D777" t="s">
        <v>242</v>
      </c>
      <c r="E777" t="s">
        <v>122</v>
      </c>
      <c r="F777">
        <v>4</v>
      </c>
      <c r="G777" s="1">
        <v>7800</v>
      </c>
      <c r="H777">
        <v>43.2</v>
      </c>
      <c r="I777" s="1">
        <v>350</v>
      </c>
      <c r="J777" s="1">
        <v>100</v>
      </c>
      <c r="K777" s="1">
        <v>300</v>
      </c>
      <c r="L777">
        <v>1</v>
      </c>
      <c r="M7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25900</v>
      </c>
      <c r="N777" s="1">
        <f>International_Education_Costs[[#This Row],[Total_Cost]]/International_Education_Costs[[#This Row],[Duration_Years]]</f>
        <v>6475</v>
      </c>
      <c r="O777" s="1">
        <f>International_Education_Costs[[#This Row],[Rent_USD]] * 12 * International_Education_Costs[[#This Row],[Duration_Years]]</f>
        <v>16800</v>
      </c>
      <c r="P777" s="1">
        <f>International_Education_Costs[[#This Row],[Total_Cost]]-International_Education_Costs[[#This Row],[Tuition_USD]]</f>
        <v>18100</v>
      </c>
      <c r="Q777" s="2">
        <f>International_Education_Costs[[#This Row],[Tuition_USD]]/International_Education_Costs[[#This Row],[Total_Cost]]</f>
        <v>0.30115830115830117</v>
      </c>
    </row>
    <row r="778" spans="1:17" x14ac:dyDescent="0.25">
      <c r="A778" t="s">
        <v>1119</v>
      </c>
      <c r="B778" t="s">
        <v>1142</v>
      </c>
      <c r="C778" t="s">
        <v>1143</v>
      </c>
      <c r="D778" t="s">
        <v>252</v>
      </c>
      <c r="E778" t="s">
        <v>16</v>
      </c>
      <c r="F778">
        <v>2</v>
      </c>
      <c r="G778" s="1">
        <v>18000</v>
      </c>
      <c r="H778">
        <v>55.4</v>
      </c>
      <c r="I778" s="1">
        <v>500</v>
      </c>
      <c r="J778" s="1">
        <v>150</v>
      </c>
      <c r="K778" s="1">
        <v>500</v>
      </c>
      <c r="L778">
        <v>15000</v>
      </c>
      <c r="M7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31150</v>
      </c>
      <c r="N778" s="1">
        <f>International_Education_Costs[[#This Row],[Total_Cost]]/International_Education_Costs[[#This Row],[Duration_Years]]</f>
        <v>15575</v>
      </c>
      <c r="O778" s="1">
        <f>International_Education_Costs[[#This Row],[Rent_USD]] * 12 * International_Education_Costs[[#This Row],[Duration_Years]]</f>
        <v>12000</v>
      </c>
      <c r="P778" s="1">
        <f>International_Education_Costs[[#This Row],[Total_Cost]]-International_Education_Costs[[#This Row],[Tuition_USD]]</f>
        <v>13150</v>
      </c>
      <c r="Q778" s="2">
        <f>International_Education_Costs[[#This Row],[Tuition_USD]]/International_Education_Costs[[#This Row],[Total_Cost]]</f>
        <v>0.5778491171749599</v>
      </c>
    </row>
    <row r="779" spans="1:17" x14ac:dyDescent="0.25">
      <c r="A779" t="s">
        <v>1122</v>
      </c>
      <c r="B779" t="s">
        <v>1144</v>
      </c>
      <c r="C779" t="s">
        <v>1145</v>
      </c>
      <c r="D779" t="s">
        <v>223</v>
      </c>
      <c r="E779" t="s">
        <v>16</v>
      </c>
      <c r="F779">
        <v>2</v>
      </c>
      <c r="G779" s="1">
        <v>8000</v>
      </c>
      <c r="H779">
        <v>63.2</v>
      </c>
      <c r="I779" s="1">
        <v>650</v>
      </c>
      <c r="J779" s="1">
        <v>130</v>
      </c>
      <c r="K779" s="1">
        <v>600</v>
      </c>
      <c r="L779">
        <v>0.38</v>
      </c>
      <c r="M7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24930</v>
      </c>
      <c r="N779" s="1">
        <f>International_Education_Costs[[#This Row],[Total_Cost]]/International_Education_Costs[[#This Row],[Duration_Years]]</f>
        <v>12465</v>
      </c>
      <c r="O779" s="1">
        <f>International_Education_Costs[[#This Row],[Rent_USD]] * 12 * International_Education_Costs[[#This Row],[Duration_Years]]</f>
        <v>15600</v>
      </c>
      <c r="P779" s="1">
        <f>International_Education_Costs[[#This Row],[Total_Cost]]-International_Education_Costs[[#This Row],[Tuition_USD]]</f>
        <v>16930</v>
      </c>
      <c r="Q779" s="2">
        <f>International_Education_Costs[[#This Row],[Tuition_USD]]/International_Education_Costs[[#This Row],[Total_Cost]]</f>
        <v>0.32089851584436424</v>
      </c>
    </row>
    <row r="780" spans="1:17" x14ac:dyDescent="0.25">
      <c r="A780" t="s">
        <v>1125</v>
      </c>
      <c r="B780" t="s">
        <v>1146</v>
      </c>
      <c r="C780" t="s">
        <v>1147</v>
      </c>
      <c r="D780" t="s">
        <v>15</v>
      </c>
      <c r="E780" t="s">
        <v>16</v>
      </c>
      <c r="F780">
        <v>2</v>
      </c>
      <c r="G780" s="1">
        <v>6500</v>
      </c>
      <c r="H780">
        <v>48.5</v>
      </c>
      <c r="I780" s="1">
        <v>380</v>
      </c>
      <c r="J780" s="1">
        <v>90</v>
      </c>
      <c r="K780" s="1">
        <v>350</v>
      </c>
      <c r="L780">
        <v>39.5</v>
      </c>
      <c r="M7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16410</v>
      </c>
      <c r="N780" s="1">
        <f>International_Education_Costs[[#This Row],[Total_Cost]]/International_Education_Costs[[#This Row],[Duration_Years]]</f>
        <v>8205</v>
      </c>
      <c r="O780" s="1">
        <f>International_Education_Costs[[#This Row],[Rent_USD]] * 12 * International_Education_Costs[[#This Row],[Duration_Years]]</f>
        <v>9120</v>
      </c>
      <c r="P780" s="1">
        <f>International_Education_Costs[[#This Row],[Total_Cost]]-International_Education_Costs[[#This Row],[Tuition_USD]]</f>
        <v>9910</v>
      </c>
      <c r="Q780" s="2">
        <f>International_Education_Costs[[#This Row],[Tuition_USD]]/International_Education_Costs[[#This Row],[Total_Cost]]</f>
        <v>0.39609993906154783</v>
      </c>
    </row>
    <row r="781" spans="1:17" x14ac:dyDescent="0.25">
      <c r="A781" t="s">
        <v>1128</v>
      </c>
      <c r="B781" t="s">
        <v>1148</v>
      </c>
      <c r="C781" t="s">
        <v>1149</v>
      </c>
      <c r="D781" t="s">
        <v>20</v>
      </c>
      <c r="E781" t="s">
        <v>75</v>
      </c>
      <c r="F781">
        <v>3</v>
      </c>
      <c r="G781" s="1">
        <v>3200</v>
      </c>
      <c r="H781">
        <v>45.8</v>
      </c>
      <c r="I781" s="1">
        <v>350</v>
      </c>
      <c r="J781" s="1">
        <v>110</v>
      </c>
      <c r="K781" s="1">
        <v>300</v>
      </c>
      <c r="L781">
        <v>1.85</v>
      </c>
      <c r="M7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16810</v>
      </c>
      <c r="N781" s="1">
        <f>International_Education_Costs[[#This Row],[Total_Cost]]/International_Education_Costs[[#This Row],[Duration_Years]]</f>
        <v>5603.333333333333</v>
      </c>
      <c r="O781" s="1">
        <f>International_Education_Costs[[#This Row],[Rent_USD]] * 12 * International_Education_Costs[[#This Row],[Duration_Years]]</f>
        <v>12600</v>
      </c>
      <c r="P781" s="1">
        <f>International_Education_Costs[[#This Row],[Total_Cost]]-International_Education_Costs[[#This Row],[Tuition_USD]]</f>
        <v>13610</v>
      </c>
      <c r="Q781" s="2">
        <f>International_Education_Costs[[#This Row],[Tuition_USD]]/International_Education_Costs[[#This Row],[Total_Cost]]</f>
        <v>0.19036287923854847</v>
      </c>
    </row>
    <row r="782" spans="1:17" x14ac:dyDescent="0.25">
      <c r="A782" t="s">
        <v>1131</v>
      </c>
      <c r="B782" t="s">
        <v>1150</v>
      </c>
      <c r="C782" t="s">
        <v>1151</v>
      </c>
      <c r="D782" t="s">
        <v>208</v>
      </c>
      <c r="E782" t="s">
        <v>122</v>
      </c>
      <c r="F782">
        <v>4</v>
      </c>
      <c r="G782" s="1">
        <v>4200</v>
      </c>
      <c r="H782">
        <v>39.799999999999997</v>
      </c>
      <c r="I782" s="1">
        <v>250</v>
      </c>
      <c r="J782" s="1">
        <v>120</v>
      </c>
      <c r="K782" s="1">
        <v>250</v>
      </c>
      <c r="L782">
        <v>12</v>
      </c>
      <c r="M7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17320</v>
      </c>
      <c r="N782" s="1">
        <f>International_Education_Costs[[#This Row],[Total_Cost]]/International_Education_Costs[[#This Row],[Duration_Years]]</f>
        <v>4330</v>
      </c>
      <c r="O782" s="1">
        <f>International_Education_Costs[[#This Row],[Rent_USD]] * 12 * International_Education_Costs[[#This Row],[Duration_Years]]</f>
        <v>12000</v>
      </c>
      <c r="P782" s="1">
        <f>International_Education_Costs[[#This Row],[Total_Cost]]-International_Education_Costs[[#This Row],[Tuition_USD]]</f>
        <v>13120</v>
      </c>
      <c r="Q782" s="2">
        <f>International_Education_Costs[[#This Row],[Tuition_USD]]/International_Education_Costs[[#This Row],[Total_Cost]]</f>
        <v>0.24249422632794457</v>
      </c>
    </row>
    <row r="783" spans="1:17" x14ac:dyDescent="0.25">
      <c r="A783" t="s">
        <v>1134</v>
      </c>
      <c r="B783" t="s">
        <v>1152</v>
      </c>
      <c r="C783" t="s">
        <v>1153</v>
      </c>
      <c r="D783" t="s">
        <v>63</v>
      </c>
      <c r="E783" t="s">
        <v>16</v>
      </c>
      <c r="F783">
        <v>2</v>
      </c>
      <c r="G783" s="1">
        <v>1100</v>
      </c>
      <c r="H783">
        <v>36.4</v>
      </c>
      <c r="I783" s="1">
        <v>220</v>
      </c>
      <c r="J783" s="1">
        <v>80</v>
      </c>
      <c r="K783" s="1">
        <v>200</v>
      </c>
      <c r="L783">
        <v>137.5</v>
      </c>
      <c r="M7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6860</v>
      </c>
      <c r="N783" s="1">
        <f>International_Education_Costs[[#This Row],[Total_Cost]]/International_Education_Costs[[#This Row],[Duration_Years]]</f>
        <v>3430</v>
      </c>
      <c r="O783" s="1">
        <f>International_Education_Costs[[#This Row],[Rent_USD]] * 12 * International_Education_Costs[[#This Row],[Duration_Years]]</f>
        <v>5280</v>
      </c>
      <c r="P783" s="1">
        <f>International_Education_Costs[[#This Row],[Total_Cost]]-International_Education_Costs[[#This Row],[Tuition_USD]]</f>
        <v>5760</v>
      </c>
      <c r="Q783" s="2">
        <f>International_Education_Costs[[#This Row],[Tuition_USD]]/International_Education_Costs[[#This Row],[Total_Cost]]</f>
        <v>0.16034985422740525</v>
      </c>
    </row>
    <row r="784" spans="1:17" x14ac:dyDescent="0.25">
      <c r="A784" t="s">
        <v>1137</v>
      </c>
      <c r="B784" t="s">
        <v>1154</v>
      </c>
      <c r="C784" t="s">
        <v>1155</v>
      </c>
      <c r="D784" t="s">
        <v>71</v>
      </c>
      <c r="E784" t="s">
        <v>75</v>
      </c>
      <c r="F784">
        <v>4</v>
      </c>
      <c r="G784" s="1">
        <v>6800</v>
      </c>
      <c r="H784">
        <v>47.5</v>
      </c>
      <c r="I784" s="1">
        <v>450</v>
      </c>
      <c r="J784" s="1">
        <v>100</v>
      </c>
      <c r="K784" s="1">
        <v>400</v>
      </c>
      <c r="L784">
        <v>1</v>
      </c>
      <c r="M7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30100</v>
      </c>
      <c r="N784" s="1">
        <f>International_Education_Costs[[#This Row],[Total_Cost]]/International_Education_Costs[[#This Row],[Duration_Years]]</f>
        <v>7525</v>
      </c>
      <c r="O784" s="1">
        <f>International_Education_Costs[[#This Row],[Rent_USD]] * 12 * International_Education_Costs[[#This Row],[Duration_Years]]</f>
        <v>21600</v>
      </c>
      <c r="P784" s="1">
        <f>International_Education_Costs[[#This Row],[Total_Cost]]-International_Education_Costs[[#This Row],[Tuition_USD]]</f>
        <v>23300</v>
      </c>
      <c r="Q784" s="2">
        <f>International_Education_Costs[[#This Row],[Tuition_USD]]/International_Education_Costs[[#This Row],[Total_Cost]]</f>
        <v>0.22591362126245848</v>
      </c>
    </row>
    <row r="785" spans="1:17" x14ac:dyDescent="0.25">
      <c r="A785" t="s">
        <v>1116</v>
      </c>
      <c r="B785" t="s">
        <v>1156</v>
      </c>
      <c r="C785" t="s">
        <v>1157</v>
      </c>
      <c r="D785" t="s">
        <v>216</v>
      </c>
      <c r="E785" t="s">
        <v>16</v>
      </c>
      <c r="F785">
        <v>2</v>
      </c>
      <c r="G785" s="1">
        <v>7200</v>
      </c>
      <c r="H785">
        <v>42.5</v>
      </c>
      <c r="I785" s="1">
        <v>320</v>
      </c>
      <c r="J785" s="1">
        <v>100</v>
      </c>
      <c r="K785" s="1">
        <v>300</v>
      </c>
      <c r="L785">
        <v>1</v>
      </c>
      <c r="M7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15580</v>
      </c>
      <c r="N785" s="1">
        <f>International_Education_Costs[[#This Row],[Total_Cost]]/International_Education_Costs[[#This Row],[Duration_Years]]</f>
        <v>7790</v>
      </c>
      <c r="O785" s="1">
        <f>International_Education_Costs[[#This Row],[Rent_USD]] * 12 * International_Education_Costs[[#This Row],[Duration_Years]]</f>
        <v>7680</v>
      </c>
      <c r="P785" s="1">
        <f>International_Education_Costs[[#This Row],[Total_Cost]]-International_Education_Costs[[#This Row],[Tuition_USD]]</f>
        <v>8380</v>
      </c>
      <c r="Q785" s="2">
        <f>International_Education_Costs[[#This Row],[Tuition_USD]]/International_Education_Costs[[#This Row],[Total_Cost]]</f>
        <v>0.46213093709884467</v>
      </c>
    </row>
    <row r="786" spans="1:17" x14ac:dyDescent="0.25">
      <c r="A786" t="s">
        <v>1119</v>
      </c>
      <c r="B786" t="s">
        <v>1158</v>
      </c>
      <c r="C786" t="s">
        <v>1159</v>
      </c>
      <c r="D786" t="s">
        <v>15</v>
      </c>
      <c r="E786" t="s">
        <v>122</v>
      </c>
      <c r="F786">
        <v>4</v>
      </c>
      <c r="G786" s="1">
        <v>2000</v>
      </c>
      <c r="H786">
        <v>52.1</v>
      </c>
      <c r="I786" s="1">
        <v>400</v>
      </c>
      <c r="J786" s="1">
        <v>150</v>
      </c>
      <c r="K786" s="1">
        <v>500</v>
      </c>
      <c r="L786">
        <v>15000</v>
      </c>
      <c r="M7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23350</v>
      </c>
      <c r="N786" s="1">
        <f>International_Education_Costs[[#This Row],[Total_Cost]]/International_Education_Costs[[#This Row],[Duration_Years]]</f>
        <v>5837.5</v>
      </c>
      <c r="O786" s="1">
        <f>International_Education_Costs[[#This Row],[Rent_USD]] * 12 * International_Education_Costs[[#This Row],[Duration_Years]]</f>
        <v>19200</v>
      </c>
      <c r="P786" s="1">
        <f>International_Education_Costs[[#This Row],[Total_Cost]]-International_Education_Costs[[#This Row],[Tuition_USD]]</f>
        <v>21350</v>
      </c>
      <c r="Q786" s="2">
        <f>International_Education_Costs[[#This Row],[Tuition_USD]]/International_Education_Costs[[#This Row],[Total_Cost]]</f>
        <v>8.5653104925053528E-2</v>
      </c>
    </row>
    <row r="787" spans="1:17" x14ac:dyDescent="0.25">
      <c r="A787" t="s">
        <v>1122</v>
      </c>
      <c r="B787" t="s">
        <v>1160</v>
      </c>
      <c r="C787" t="s">
        <v>1161</v>
      </c>
      <c r="D787" t="s">
        <v>242</v>
      </c>
      <c r="E787" t="s">
        <v>75</v>
      </c>
      <c r="F787">
        <v>4</v>
      </c>
      <c r="G787" s="1">
        <v>6500</v>
      </c>
      <c r="H787">
        <v>61.8</v>
      </c>
      <c r="I787" s="1">
        <v>600</v>
      </c>
      <c r="J787" s="1">
        <v>130</v>
      </c>
      <c r="K787" s="1">
        <v>600</v>
      </c>
      <c r="L787">
        <v>0.38</v>
      </c>
      <c r="M7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37830</v>
      </c>
      <c r="N787" s="1">
        <f>International_Education_Costs[[#This Row],[Total_Cost]]/International_Education_Costs[[#This Row],[Duration_Years]]</f>
        <v>9457.5</v>
      </c>
      <c r="O787" s="1">
        <f>International_Education_Costs[[#This Row],[Rent_USD]] * 12 * International_Education_Costs[[#This Row],[Duration_Years]]</f>
        <v>28800</v>
      </c>
      <c r="P787" s="1">
        <f>International_Education_Costs[[#This Row],[Total_Cost]]-International_Education_Costs[[#This Row],[Tuition_USD]]</f>
        <v>31330</v>
      </c>
      <c r="Q787" s="2">
        <f>International_Education_Costs[[#This Row],[Tuition_USD]]/International_Education_Costs[[#This Row],[Total_Cost]]</f>
        <v>0.1718213058419244</v>
      </c>
    </row>
    <row r="788" spans="1:17" x14ac:dyDescent="0.25">
      <c r="A788" t="s">
        <v>1125</v>
      </c>
      <c r="B788" t="s">
        <v>1162</v>
      </c>
      <c r="C788" t="s">
        <v>1163</v>
      </c>
      <c r="D788" t="s">
        <v>20</v>
      </c>
      <c r="E788" t="s">
        <v>16</v>
      </c>
      <c r="F788">
        <v>2</v>
      </c>
      <c r="G788" s="1">
        <v>7000</v>
      </c>
      <c r="H788">
        <v>49.2</v>
      </c>
      <c r="I788" s="1">
        <v>400</v>
      </c>
      <c r="J788" s="1">
        <v>90</v>
      </c>
      <c r="K788" s="1">
        <v>350</v>
      </c>
      <c r="L788">
        <v>39.5</v>
      </c>
      <c r="M7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17390</v>
      </c>
      <c r="N788" s="1">
        <f>International_Education_Costs[[#This Row],[Total_Cost]]/International_Education_Costs[[#This Row],[Duration_Years]]</f>
        <v>8695</v>
      </c>
      <c r="O788" s="1">
        <f>International_Education_Costs[[#This Row],[Rent_USD]] * 12 * International_Education_Costs[[#This Row],[Duration_Years]]</f>
        <v>9600</v>
      </c>
      <c r="P788" s="1">
        <f>International_Education_Costs[[#This Row],[Total_Cost]]-International_Education_Costs[[#This Row],[Tuition_USD]]</f>
        <v>10390</v>
      </c>
      <c r="Q788" s="2">
        <f>International_Education_Costs[[#This Row],[Tuition_USD]]/International_Education_Costs[[#This Row],[Total_Cost]]</f>
        <v>0.40253018976423233</v>
      </c>
    </row>
    <row r="789" spans="1:17" x14ac:dyDescent="0.25">
      <c r="A789" t="s">
        <v>1128</v>
      </c>
      <c r="B789" t="s">
        <v>1164</v>
      </c>
      <c r="C789" t="s">
        <v>1165</v>
      </c>
      <c r="D789" t="s">
        <v>63</v>
      </c>
      <c r="E789" t="s">
        <v>16</v>
      </c>
      <c r="F789">
        <v>2</v>
      </c>
      <c r="G789" s="1">
        <v>3100</v>
      </c>
      <c r="H789">
        <v>44.2</v>
      </c>
      <c r="I789" s="1">
        <v>330</v>
      </c>
      <c r="J789" s="1">
        <v>110</v>
      </c>
      <c r="K789" s="1">
        <v>300</v>
      </c>
      <c r="L789">
        <v>1.85</v>
      </c>
      <c r="M7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11730</v>
      </c>
      <c r="N789" s="1">
        <f>International_Education_Costs[[#This Row],[Total_Cost]]/International_Education_Costs[[#This Row],[Duration_Years]]</f>
        <v>5865</v>
      </c>
      <c r="O789" s="1">
        <f>International_Education_Costs[[#This Row],[Rent_USD]] * 12 * International_Education_Costs[[#This Row],[Duration_Years]]</f>
        <v>7920</v>
      </c>
      <c r="P789" s="1">
        <f>International_Education_Costs[[#This Row],[Total_Cost]]-International_Education_Costs[[#This Row],[Tuition_USD]]</f>
        <v>8630</v>
      </c>
      <c r="Q789" s="2">
        <f>International_Education_Costs[[#This Row],[Tuition_USD]]/International_Education_Costs[[#This Row],[Total_Cost]]</f>
        <v>0.26427962489343565</v>
      </c>
    </row>
    <row r="790" spans="1:17" x14ac:dyDescent="0.25">
      <c r="A790" t="s">
        <v>1131</v>
      </c>
      <c r="B790" t="s">
        <v>1166</v>
      </c>
      <c r="C790" t="s">
        <v>1167</v>
      </c>
      <c r="D790" t="s">
        <v>223</v>
      </c>
      <c r="E790" t="s">
        <v>16</v>
      </c>
      <c r="F790">
        <v>2</v>
      </c>
      <c r="G790" s="1">
        <v>4000</v>
      </c>
      <c r="H790">
        <v>38.5</v>
      </c>
      <c r="I790" s="1">
        <v>230</v>
      </c>
      <c r="J790" s="1">
        <v>120</v>
      </c>
      <c r="K790" s="1">
        <v>250</v>
      </c>
      <c r="L790">
        <v>12</v>
      </c>
      <c r="M7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10140</v>
      </c>
      <c r="N790" s="1">
        <f>International_Education_Costs[[#This Row],[Total_Cost]]/International_Education_Costs[[#This Row],[Duration_Years]]</f>
        <v>5070</v>
      </c>
      <c r="O790" s="1">
        <f>International_Education_Costs[[#This Row],[Rent_USD]] * 12 * International_Education_Costs[[#This Row],[Duration_Years]]</f>
        <v>5520</v>
      </c>
      <c r="P790" s="1">
        <f>International_Education_Costs[[#This Row],[Total_Cost]]-International_Education_Costs[[#This Row],[Tuition_USD]]</f>
        <v>6140</v>
      </c>
      <c r="Q790" s="2">
        <f>International_Education_Costs[[#This Row],[Tuition_USD]]/International_Education_Costs[[#This Row],[Total_Cost]]</f>
        <v>0.39447731755424065</v>
      </c>
    </row>
    <row r="791" spans="1:17" x14ac:dyDescent="0.25">
      <c r="A791" t="s">
        <v>1134</v>
      </c>
      <c r="B791" t="s">
        <v>1168</v>
      </c>
      <c r="C791" t="s">
        <v>1169</v>
      </c>
      <c r="D791" t="s">
        <v>71</v>
      </c>
      <c r="E791" t="s">
        <v>122</v>
      </c>
      <c r="F791">
        <v>4</v>
      </c>
      <c r="G791" s="1">
        <v>1300</v>
      </c>
      <c r="H791">
        <v>35.799999999999997</v>
      </c>
      <c r="I791" s="1">
        <v>200</v>
      </c>
      <c r="J791" s="1">
        <v>80</v>
      </c>
      <c r="K791" s="1">
        <v>200</v>
      </c>
      <c r="L791">
        <v>137.5</v>
      </c>
      <c r="M7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11780</v>
      </c>
      <c r="N791" s="1">
        <f>International_Education_Costs[[#This Row],[Total_Cost]]/International_Education_Costs[[#This Row],[Duration_Years]]</f>
        <v>2945</v>
      </c>
      <c r="O791" s="1">
        <f>International_Education_Costs[[#This Row],[Rent_USD]] * 12 * International_Education_Costs[[#This Row],[Duration_Years]]</f>
        <v>9600</v>
      </c>
      <c r="P791" s="1">
        <f>International_Education_Costs[[#This Row],[Total_Cost]]-International_Education_Costs[[#This Row],[Tuition_USD]]</f>
        <v>10480</v>
      </c>
      <c r="Q791" s="2">
        <f>International_Education_Costs[[#This Row],[Tuition_USD]]/International_Education_Costs[[#This Row],[Total_Cost]]</f>
        <v>0.11035653650254669</v>
      </c>
    </row>
    <row r="792" spans="1:17" x14ac:dyDescent="0.25">
      <c r="A792" t="s">
        <v>1137</v>
      </c>
      <c r="B792" t="s">
        <v>1056</v>
      </c>
      <c r="C792" t="s">
        <v>1170</v>
      </c>
      <c r="D792" t="s">
        <v>15</v>
      </c>
      <c r="E792" t="s">
        <v>16</v>
      </c>
      <c r="F792">
        <v>2</v>
      </c>
      <c r="G792" s="1">
        <v>6500</v>
      </c>
      <c r="H792">
        <v>45.8</v>
      </c>
      <c r="I792" s="1">
        <v>400</v>
      </c>
      <c r="J792" s="1">
        <v>100</v>
      </c>
      <c r="K792" s="1">
        <v>400</v>
      </c>
      <c r="L792">
        <v>1</v>
      </c>
      <c r="M7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17000</v>
      </c>
      <c r="N792" s="1">
        <f>International_Education_Costs[[#This Row],[Total_Cost]]/International_Education_Costs[[#This Row],[Duration_Years]]</f>
        <v>8500</v>
      </c>
      <c r="O792" s="1">
        <f>International_Education_Costs[[#This Row],[Rent_USD]] * 12 * International_Education_Costs[[#This Row],[Duration_Years]]</f>
        <v>9600</v>
      </c>
      <c r="P792" s="1">
        <f>International_Education_Costs[[#This Row],[Total_Cost]]-International_Education_Costs[[#This Row],[Tuition_USD]]</f>
        <v>10500</v>
      </c>
      <c r="Q792" s="2">
        <f>International_Education_Costs[[#This Row],[Tuition_USD]]/International_Education_Costs[[#This Row],[Total_Cost]]</f>
        <v>0.38235294117647056</v>
      </c>
    </row>
    <row r="793" spans="1:17" x14ac:dyDescent="0.25">
      <c r="A793" t="s">
        <v>1116</v>
      </c>
      <c r="B793" t="s">
        <v>1171</v>
      </c>
      <c r="C793" t="s">
        <v>1172</v>
      </c>
      <c r="D793" t="s">
        <v>40</v>
      </c>
      <c r="E793" t="s">
        <v>75</v>
      </c>
      <c r="F793">
        <v>3</v>
      </c>
      <c r="G793" s="1">
        <v>6800</v>
      </c>
      <c r="H793">
        <v>41.2</v>
      </c>
      <c r="I793" s="1">
        <v>300</v>
      </c>
      <c r="J793" s="1">
        <v>100</v>
      </c>
      <c r="K793" s="1">
        <v>300</v>
      </c>
      <c r="L793">
        <v>1</v>
      </c>
      <c r="M7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18600</v>
      </c>
      <c r="N793" s="1">
        <f>International_Education_Costs[[#This Row],[Total_Cost]]/International_Education_Costs[[#This Row],[Duration_Years]]</f>
        <v>6200</v>
      </c>
      <c r="O793" s="1">
        <f>International_Education_Costs[[#This Row],[Rent_USD]] * 12 * International_Education_Costs[[#This Row],[Duration_Years]]</f>
        <v>10800</v>
      </c>
      <c r="P793" s="1">
        <f>International_Education_Costs[[#This Row],[Total_Cost]]-International_Education_Costs[[#This Row],[Tuition_USD]]</f>
        <v>11800</v>
      </c>
      <c r="Q793" s="2">
        <f>International_Education_Costs[[#This Row],[Tuition_USD]]/International_Education_Costs[[#This Row],[Total_Cost]]</f>
        <v>0.36559139784946237</v>
      </c>
    </row>
    <row r="794" spans="1:17" x14ac:dyDescent="0.25">
      <c r="A794" t="s">
        <v>1119</v>
      </c>
      <c r="B794" t="s">
        <v>1173</v>
      </c>
      <c r="C794" t="s">
        <v>1174</v>
      </c>
      <c r="D794" t="s">
        <v>208</v>
      </c>
      <c r="E794" t="s">
        <v>16</v>
      </c>
      <c r="F794">
        <v>2</v>
      </c>
      <c r="G794" s="1">
        <v>16000</v>
      </c>
      <c r="H794">
        <v>54.5</v>
      </c>
      <c r="I794" s="1">
        <v>450</v>
      </c>
      <c r="J794" s="1">
        <v>150</v>
      </c>
      <c r="K794" s="1">
        <v>500</v>
      </c>
      <c r="L794">
        <v>15000</v>
      </c>
      <c r="M7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27950</v>
      </c>
      <c r="N794" s="1">
        <f>International_Education_Costs[[#This Row],[Total_Cost]]/International_Education_Costs[[#This Row],[Duration_Years]]</f>
        <v>13975</v>
      </c>
      <c r="O794" s="1">
        <f>International_Education_Costs[[#This Row],[Rent_USD]] * 12 * International_Education_Costs[[#This Row],[Duration_Years]]</f>
        <v>10800</v>
      </c>
      <c r="P794" s="1">
        <f>International_Education_Costs[[#This Row],[Total_Cost]]-International_Education_Costs[[#This Row],[Tuition_USD]]</f>
        <v>11950</v>
      </c>
      <c r="Q794" s="2">
        <f>International_Education_Costs[[#This Row],[Tuition_USD]]/International_Education_Costs[[#This Row],[Total_Cost]]</f>
        <v>0.57245080500894452</v>
      </c>
    </row>
    <row r="795" spans="1:17" x14ac:dyDescent="0.25">
      <c r="A795" t="s">
        <v>1122</v>
      </c>
      <c r="B795" t="s">
        <v>1175</v>
      </c>
      <c r="C795" t="s">
        <v>1176</v>
      </c>
      <c r="D795" t="s">
        <v>20</v>
      </c>
      <c r="E795" t="s">
        <v>122</v>
      </c>
      <c r="F795">
        <v>4</v>
      </c>
      <c r="G795" s="1">
        <v>9000</v>
      </c>
      <c r="H795">
        <v>62.4</v>
      </c>
      <c r="I795" s="1">
        <v>620</v>
      </c>
      <c r="J795" s="1">
        <v>130</v>
      </c>
      <c r="K795" s="1">
        <v>600</v>
      </c>
      <c r="L795">
        <v>0.38</v>
      </c>
      <c r="M7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41290</v>
      </c>
      <c r="N795" s="1">
        <f>International_Education_Costs[[#This Row],[Total_Cost]]/International_Education_Costs[[#This Row],[Duration_Years]]</f>
        <v>10322.5</v>
      </c>
      <c r="O795" s="1">
        <f>International_Education_Costs[[#This Row],[Rent_USD]] * 12 * International_Education_Costs[[#This Row],[Duration_Years]]</f>
        <v>29760</v>
      </c>
      <c r="P795" s="1">
        <f>International_Education_Costs[[#This Row],[Total_Cost]]-International_Education_Costs[[#This Row],[Tuition_USD]]</f>
        <v>32290</v>
      </c>
      <c r="Q795" s="2">
        <f>International_Education_Costs[[#This Row],[Tuition_USD]]/International_Education_Costs[[#This Row],[Total_Cost]]</f>
        <v>0.21797045289416322</v>
      </c>
    </row>
    <row r="796" spans="1:17" x14ac:dyDescent="0.25">
      <c r="A796" t="s">
        <v>1125</v>
      </c>
      <c r="B796" t="s">
        <v>1177</v>
      </c>
      <c r="C796" t="s">
        <v>1178</v>
      </c>
      <c r="D796" t="s">
        <v>216</v>
      </c>
      <c r="E796" t="s">
        <v>75</v>
      </c>
      <c r="F796">
        <v>4</v>
      </c>
      <c r="G796" s="1">
        <v>0</v>
      </c>
      <c r="H796">
        <v>47.8</v>
      </c>
      <c r="I796" s="1">
        <v>350</v>
      </c>
      <c r="J796" s="1">
        <v>90</v>
      </c>
      <c r="K796" s="1">
        <v>350</v>
      </c>
      <c r="L796">
        <v>39.5</v>
      </c>
      <c r="M7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18290</v>
      </c>
      <c r="N796" s="1">
        <f>International_Education_Costs[[#This Row],[Total_Cost]]/International_Education_Costs[[#This Row],[Duration_Years]]</f>
        <v>4572.5</v>
      </c>
      <c r="O796" s="1">
        <f>International_Education_Costs[[#This Row],[Rent_USD]] * 12 * International_Education_Costs[[#This Row],[Duration_Years]]</f>
        <v>16800</v>
      </c>
      <c r="P796" s="1">
        <f>International_Education_Costs[[#This Row],[Total_Cost]]-International_Education_Costs[[#This Row],[Tuition_USD]]</f>
        <v>18290</v>
      </c>
      <c r="Q796" s="2">
        <f>International_Education_Costs[[#This Row],[Tuition_USD]]/International_Education_Costs[[#This Row],[Total_Cost]]</f>
        <v>0</v>
      </c>
    </row>
    <row r="797" spans="1:17" x14ac:dyDescent="0.25">
      <c r="A797" t="s">
        <v>1128</v>
      </c>
      <c r="B797" t="s">
        <v>1179</v>
      </c>
      <c r="C797" t="s">
        <v>1180</v>
      </c>
      <c r="D797" t="s">
        <v>15</v>
      </c>
      <c r="E797" t="s">
        <v>16</v>
      </c>
      <c r="F797">
        <v>2</v>
      </c>
      <c r="G797" s="1">
        <v>2900</v>
      </c>
      <c r="H797">
        <v>43.5</v>
      </c>
      <c r="I797" s="1">
        <v>320</v>
      </c>
      <c r="J797" s="1">
        <v>110</v>
      </c>
      <c r="K797" s="1">
        <v>300</v>
      </c>
      <c r="L797">
        <v>1.85</v>
      </c>
      <c r="M7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11290</v>
      </c>
      <c r="N797" s="1">
        <f>International_Education_Costs[[#This Row],[Total_Cost]]/International_Education_Costs[[#This Row],[Duration_Years]]</f>
        <v>5645</v>
      </c>
      <c r="O797" s="1">
        <f>International_Education_Costs[[#This Row],[Rent_USD]] * 12 * International_Education_Costs[[#This Row],[Duration_Years]]</f>
        <v>7680</v>
      </c>
      <c r="P797" s="1">
        <f>International_Education_Costs[[#This Row],[Total_Cost]]-International_Education_Costs[[#This Row],[Tuition_USD]]</f>
        <v>8390</v>
      </c>
      <c r="Q797" s="2">
        <f>International_Education_Costs[[#This Row],[Tuition_USD]]/International_Education_Costs[[#This Row],[Total_Cost]]</f>
        <v>0.25686448184233834</v>
      </c>
    </row>
    <row r="798" spans="1:17" x14ac:dyDescent="0.25">
      <c r="A798" t="s">
        <v>1131</v>
      </c>
      <c r="B798" t="s">
        <v>1181</v>
      </c>
      <c r="C798" t="s">
        <v>1182</v>
      </c>
      <c r="D798" t="s">
        <v>242</v>
      </c>
      <c r="E798" t="s">
        <v>122</v>
      </c>
      <c r="F798">
        <v>4</v>
      </c>
      <c r="G798" s="1">
        <v>3800</v>
      </c>
      <c r="H798">
        <v>36.799999999999997</v>
      </c>
      <c r="I798" s="1">
        <v>200</v>
      </c>
      <c r="J798" s="1">
        <v>120</v>
      </c>
      <c r="K798" s="1">
        <v>250</v>
      </c>
      <c r="L798">
        <v>12</v>
      </c>
      <c r="M7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14520</v>
      </c>
      <c r="N798" s="1">
        <f>International_Education_Costs[[#This Row],[Total_Cost]]/International_Education_Costs[[#This Row],[Duration_Years]]</f>
        <v>3630</v>
      </c>
      <c r="O798" s="1">
        <f>International_Education_Costs[[#This Row],[Rent_USD]] * 12 * International_Education_Costs[[#This Row],[Duration_Years]]</f>
        <v>9600</v>
      </c>
      <c r="P798" s="1">
        <f>International_Education_Costs[[#This Row],[Total_Cost]]-International_Education_Costs[[#This Row],[Tuition_USD]]</f>
        <v>10720</v>
      </c>
      <c r="Q798" s="2">
        <f>International_Education_Costs[[#This Row],[Tuition_USD]]/International_Education_Costs[[#This Row],[Total_Cost]]</f>
        <v>0.26170798898071623</v>
      </c>
    </row>
    <row r="799" spans="1:17" x14ac:dyDescent="0.25">
      <c r="A799" t="s">
        <v>1134</v>
      </c>
      <c r="B799" t="s">
        <v>1183</v>
      </c>
      <c r="C799" t="s">
        <v>1184</v>
      </c>
      <c r="D799" t="s">
        <v>63</v>
      </c>
      <c r="E799" t="s">
        <v>16</v>
      </c>
      <c r="F799">
        <v>2</v>
      </c>
      <c r="G799" s="1">
        <v>1000</v>
      </c>
      <c r="H799">
        <v>34.5</v>
      </c>
      <c r="I799" s="1">
        <v>180</v>
      </c>
      <c r="J799" s="1">
        <v>80</v>
      </c>
      <c r="K799" s="1">
        <v>200</v>
      </c>
      <c r="L799">
        <v>137.5</v>
      </c>
      <c r="M7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5800</v>
      </c>
      <c r="N799" s="1">
        <f>International_Education_Costs[[#This Row],[Total_Cost]]/International_Education_Costs[[#This Row],[Duration_Years]]</f>
        <v>2900</v>
      </c>
      <c r="O799" s="1">
        <f>International_Education_Costs[[#This Row],[Rent_USD]] * 12 * International_Education_Costs[[#This Row],[Duration_Years]]</f>
        <v>4320</v>
      </c>
      <c r="P799" s="1">
        <f>International_Education_Costs[[#This Row],[Total_Cost]]-International_Education_Costs[[#This Row],[Tuition_USD]]</f>
        <v>4800</v>
      </c>
      <c r="Q799" s="2">
        <f>International_Education_Costs[[#This Row],[Tuition_USD]]/International_Education_Costs[[#This Row],[Total_Cost]]</f>
        <v>0.17241379310344829</v>
      </c>
    </row>
    <row r="800" spans="1:17" x14ac:dyDescent="0.25">
      <c r="A800" t="s">
        <v>1137</v>
      </c>
      <c r="B800" t="s">
        <v>1363</v>
      </c>
      <c r="C800" t="s">
        <v>1185</v>
      </c>
      <c r="D800" t="s">
        <v>71</v>
      </c>
      <c r="E800" t="s">
        <v>75</v>
      </c>
      <c r="F800">
        <v>3</v>
      </c>
      <c r="G800" s="1">
        <v>6200</v>
      </c>
      <c r="H800">
        <v>44.2</v>
      </c>
      <c r="I800" s="1">
        <v>380</v>
      </c>
      <c r="J800" s="1">
        <v>100</v>
      </c>
      <c r="K800" s="1">
        <v>400</v>
      </c>
      <c r="L800">
        <v>1</v>
      </c>
      <c r="M8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21180</v>
      </c>
      <c r="N800" s="1">
        <f>International_Education_Costs[[#This Row],[Total_Cost]]/International_Education_Costs[[#This Row],[Duration_Years]]</f>
        <v>7060</v>
      </c>
      <c r="O800" s="1">
        <f>International_Education_Costs[[#This Row],[Rent_USD]] * 12 * International_Education_Costs[[#This Row],[Duration_Years]]</f>
        <v>13680</v>
      </c>
      <c r="P800" s="1">
        <f>International_Education_Costs[[#This Row],[Total_Cost]]-International_Education_Costs[[#This Row],[Tuition_USD]]</f>
        <v>14980</v>
      </c>
      <c r="Q800" s="2">
        <f>International_Education_Costs[[#This Row],[Tuition_USD]]/International_Education_Costs[[#This Row],[Total_Cost]]</f>
        <v>0.29272898961284233</v>
      </c>
    </row>
    <row r="801" spans="1:17" x14ac:dyDescent="0.25">
      <c r="A801" t="s">
        <v>1116</v>
      </c>
      <c r="B801" t="s">
        <v>1186</v>
      </c>
      <c r="C801" t="s">
        <v>1187</v>
      </c>
      <c r="D801" t="s">
        <v>223</v>
      </c>
      <c r="E801" t="s">
        <v>122</v>
      </c>
      <c r="F801">
        <v>4</v>
      </c>
      <c r="G801" s="1">
        <v>6500</v>
      </c>
      <c r="H801">
        <v>40.5</v>
      </c>
      <c r="I801" s="1">
        <v>280</v>
      </c>
      <c r="J801" s="1">
        <v>100</v>
      </c>
      <c r="K801" s="1">
        <v>300</v>
      </c>
      <c r="L801">
        <v>1</v>
      </c>
      <c r="M8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21240</v>
      </c>
      <c r="N801" s="1">
        <f>International_Education_Costs[[#This Row],[Total_Cost]]/International_Education_Costs[[#This Row],[Duration_Years]]</f>
        <v>5310</v>
      </c>
      <c r="O801" s="1">
        <f>International_Education_Costs[[#This Row],[Rent_USD]] * 12 * International_Education_Costs[[#This Row],[Duration_Years]]</f>
        <v>13440</v>
      </c>
      <c r="P801" s="1">
        <f>International_Education_Costs[[#This Row],[Total_Cost]]-International_Education_Costs[[#This Row],[Tuition_USD]]</f>
        <v>14740</v>
      </c>
      <c r="Q801" s="2">
        <f>International_Education_Costs[[#This Row],[Tuition_USD]]/International_Education_Costs[[#This Row],[Total_Cost]]</f>
        <v>0.30602636534839922</v>
      </c>
    </row>
    <row r="802" spans="1:17" x14ac:dyDescent="0.25">
      <c r="A802" t="s">
        <v>1119</v>
      </c>
      <c r="B802" t="s">
        <v>1188</v>
      </c>
      <c r="C802" t="s">
        <v>1189</v>
      </c>
      <c r="D802" t="s">
        <v>15</v>
      </c>
      <c r="E802" t="s">
        <v>75</v>
      </c>
      <c r="F802">
        <v>4</v>
      </c>
      <c r="G802" s="1">
        <v>15000</v>
      </c>
      <c r="H802">
        <v>51.8</v>
      </c>
      <c r="I802" s="1">
        <v>420</v>
      </c>
      <c r="J802" s="1">
        <v>150</v>
      </c>
      <c r="K802" s="1">
        <v>500</v>
      </c>
      <c r="L802">
        <v>15000</v>
      </c>
      <c r="M8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37310</v>
      </c>
      <c r="N802" s="1">
        <f>International_Education_Costs[[#This Row],[Total_Cost]]/International_Education_Costs[[#This Row],[Duration_Years]]</f>
        <v>9327.5</v>
      </c>
      <c r="O802" s="1">
        <f>International_Education_Costs[[#This Row],[Rent_USD]] * 12 * International_Education_Costs[[#This Row],[Duration_Years]]</f>
        <v>20160</v>
      </c>
      <c r="P802" s="1">
        <f>International_Education_Costs[[#This Row],[Total_Cost]]-International_Education_Costs[[#This Row],[Tuition_USD]]</f>
        <v>22310</v>
      </c>
      <c r="Q802" s="2">
        <f>International_Education_Costs[[#This Row],[Tuition_USD]]/International_Education_Costs[[#This Row],[Total_Cost]]</f>
        <v>0.40203698740284105</v>
      </c>
    </row>
    <row r="803" spans="1:17" x14ac:dyDescent="0.25">
      <c r="A803" t="s">
        <v>1122</v>
      </c>
      <c r="B803" t="s">
        <v>1190</v>
      </c>
      <c r="C803" t="s">
        <v>1191</v>
      </c>
      <c r="D803" t="s">
        <v>252</v>
      </c>
      <c r="E803" t="s">
        <v>16</v>
      </c>
      <c r="F803">
        <v>2</v>
      </c>
      <c r="G803" s="1">
        <v>7500</v>
      </c>
      <c r="H803">
        <v>61.5</v>
      </c>
      <c r="I803" s="1">
        <v>580</v>
      </c>
      <c r="J803" s="1">
        <v>130</v>
      </c>
      <c r="K803" s="1">
        <v>600</v>
      </c>
      <c r="L803">
        <v>0.38</v>
      </c>
      <c r="M8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22750</v>
      </c>
      <c r="N803" s="1">
        <f>International_Education_Costs[[#This Row],[Total_Cost]]/International_Education_Costs[[#This Row],[Duration_Years]]</f>
        <v>11375</v>
      </c>
      <c r="O803" s="1">
        <f>International_Education_Costs[[#This Row],[Rent_USD]] * 12 * International_Education_Costs[[#This Row],[Duration_Years]]</f>
        <v>13920</v>
      </c>
      <c r="P803" s="1">
        <f>International_Education_Costs[[#This Row],[Total_Cost]]-International_Education_Costs[[#This Row],[Tuition_USD]]</f>
        <v>15250</v>
      </c>
      <c r="Q803" s="2">
        <f>International_Education_Costs[[#This Row],[Tuition_USD]]/International_Education_Costs[[#This Row],[Total_Cost]]</f>
        <v>0.32967032967032966</v>
      </c>
    </row>
    <row r="804" spans="1:17" x14ac:dyDescent="0.25">
      <c r="A804" t="s">
        <v>1125</v>
      </c>
      <c r="B804" t="s">
        <v>1192</v>
      </c>
      <c r="C804" t="s">
        <v>1193</v>
      </c>
      <c r="D804" t="s">
        <v>208</v>
      </c>
      <c r="E804" t="s">
        <v>16</v>
      </c>
      <c r="F804">
        <v>2</v>
      </c>
      <c r="G804" s="1">
        <v>0</v>
      </c>
      <c r="H804">
        <v>46.5</v>
      </c>
      <c r="I804" s="1">
        <v>330</v>
      </c>
      <c r="J804" s="1">
        <v>90</v>
      </c>
      <c r="K804" s="1">
        <v>350</v>
      </c>
      <c r="L804">
        <v>39.5</v>
      </c>
      <c r="M8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8710</v>
      </c>
      <c r="N804" s="1">
        <f>International_Education_Costs[[#This Row],[Total_Cost]]/International_Education_Costs[[#This Row],[Duration_Years]]</f>
        <v>4355</v>
      </c>
      <c r="O804" s="1">
        <f>International_Education_Costs[[#This Row],[Rent_USD]] * 12 * International_Education_Costs[[#This Row],[Duration_Years]]</f>
        <v>7920</v>
      </c>
      <c r="P804" s="1">
        <f>International_Education_Costs[[#This Row],[Total_Cost]]-International_Education_Costs[[#This Row],[Tuition_USD]]</f>
        <v>8710</v>
      </c>
      <c r="Q804" s="2">
        <f>International_Education_Costs[[#This Row],[Tuition_USD]]/International_Education_Costs[[#This Row],[Total_Cost]]</f>
        <v>0</v>
      </c>
    </row>
    <row r="805" spans="1:17" x14ac:dyDescent="0.25">
      <c r="A805" t="s">
        <v>1128</v>
      </c>
      <c r="B805" t="s">
        <v>1194</v>
      </c>
      <c r="C805" t="s">
        <v>1195</v>
      </c>
      <c r="D805" t="s">
        <v>40</v>
      </c>
      <c r="E805" t="s">
        <v>122</v>
      </c>
      <c r="F805">
        <v>4</v>
      </c>
      <c r="G805" s="1">
        <v>3300</v>
      </c>
      <c r="H805">
        <v>42.8</v>
      </c>
      <c r="I805" s="1">
        <v>300</v>
      </c>
      <c r="J805" s="1">
        <v>110</v>
      </c>
      <c r="K805" s="1">
        <v>300</v>
      </c>
      <c r="L805">
        <v>1.85</v>
      </c>
      <c r="M8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19010</v>
      </c>
      <c r="N805" s="1">
        <f>International_Education_Costs[[#This Row],[Total_Cost]]/International_Education_Costs[[#This Row],[Duration_Years]]</f>
        <v>4752.5</v>
      </c>
      <c r="O805" s="1">
        <f>International_Education_Costs[[#This Row],[Rent_USD]] * 12 * International_Education_Costs[[#This Row],[Duration_Years]]</f>
        <v>14400</v>
      </c>
      <c r="P805" s="1">
        <f>International_Education_Costs[[#This Row],[Total_Cost]]-International_Education_Costs[[#This Row],[Tuition_USD]]</f>
        <v>15710</v>
      </c>
      <c r="Q805" s="2">
        <f>International_Education_Costs[[#This Row],[Tuition_USD]]/International_Education_Costs[[#This Row],[Total_Cost]]</f>
        <v>0.17359284587059443</v>
      </c>
    </row>
    <row r="806" spans="1:17" x14ac:dyDescent="0.25">
      <c r="A806" t="s">
        <v>1131</v>
      </c>
      <c r="B806" t="s">
        <v>1196</v>
      </c>
      <c r="C806" t="s">
        <v>1197</v>
      </c>
      <c r="D806" t="s">
        <v>20</v>
      </c>
      <c r="E806" t="s">
        <v>16</v>
      </c>
      <c r="F806">
        <v>2</v>
      </c>
      <c r="G806" s="1">
        <v>3500</v>
      </c>
      <c r="H806">
        <v>35.4</v>
      </c>
      <c r="I806" s="1">
        <v>180</v>
      </c>
      <c r="J806" s="1">
        <v>120</v>
      </c>
      <c r="K806" s="1">
        <v>250</v>
      </c>
      <c r="L806">
        <v>12</v>
      </c>
      <c r="M8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8440</v>
      </c>
      <c r="N806" s="1">
        <f>International_Education_Costs[[#This Row],[Total_Cost]]/International_Education_Costs[[#This Row],[Duration_Years]]</f>
        <v>4220</v>
      </c>
      <c r="O806" s="1">
        <f>International_Education_Costs[[#This Row],[Rent_USD]] * 12 * International_Education_Costs[[#This Row],[Duration_Years]]</f>
        <v>4320</v>
      </c>
      <c r="P806" s="1">
        <f>International_Education_Costs[[#This Row],[Total_Cost]]-International_Education_Costs[[#This Row],[Tuition_USD]]</f>
        <v>4940</v>
      </c>
      <c r="Q806" s="2">
        <f>International_Education_Costs[[#This Row],[Tuition_USD]]/International_Education_Costs[[#This Row],[Total_Cost]]</f>
        <v>0.41469194312796209</v>
      </c>
    </row>
    <row r="807" spans="1:17" x14ac:dyDescent="0.25">
      <c r="A807" t="s">
        <v>1134</v>
      </c>
      <c r="B807" t="s">
        <v>1198</v>
      </c>
      <c r="C807" t="s">
        <v>1199</v>
      </c>
      <c r="D807" t="s">
        <v>216</v>
      </c>
      <c r="E807" t="s">
        <v>75</v>
      </c>
      <c r="F807">
        <v>3</v>
      </c>
      <c r="G807" s="1">
        <v>900</v>
      </c>
      <c r="H807">
        <v>33.200000000000003</v>
      </c>
      <c r="I807" s="1">
        <v>160</v>
      </c>
      <c r="J807" s="1">
        <v>80</v>
      </c>
      <c r="K807" s="1">
        <v>200</v>
      </c>
      <c r="L807">
        <v>137.5</v>
      </c>
      <c r="M8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7340</v>
      </c>
      <c r="N807" s="1">
        <f>International_Education_Costs[[#This Row],[Total_Cost]]/International_Education_Costs[[#This Row],[Duration_Years]]</f>
        <v>2446.6666666666665</v>
      </c>
      <c r="O807" s="1">
        <f>International_Education_Costs[[#This Row],[Rent_USD]] * 12 * International_Education_Costs[[#This Row],[Duration_Years]]</f>
        <v>5760</v>
      </c>
      <c r="P807" s="1">
        <f>International_Education_Costs[[#This Row],[Total_Cost]]-International_Education_Costs[[#This Row],[Tuition_USD]]</f>
        <v>6440</v>
      </c>
      <c r="Q807" s="2">
        <f>International_Education_Costs[[#This Row],[Tuition_USD]]/International_Education_Costs[[#This Row],[Total_Cost]]</f>
        <v>0.1226158038147139</v>
      </c>
    </row>
    <row r="808" spans="1:17" x14ac:dyDescent="0.25">
      <c r="A808" t="s">
        <v>1137</v>
      </c>
      <c r="B808" t="s">
        <v>1200</v>
      </c>
      <c r="C808" t="s">
        <v>1201</v>
      </c>
      <c r="D808" t="s">
        <v>15</v>
      </c>
      <c r="E808" t="s">
        <v>16</v>
      </c>
      <c r="F808">
        <v>2</v>
      </c>
      <c r="G808" s="1">
        <v>6000</v>
      </c>
      <c r="H808">
        <v>43.5</v>
      </c>
      <c r="I808" s="1">
        <v>350</v>
      </c>
      <c r="J808" s="1">
        <v>100</v>
      </c>
      <c r="K808" s="1">
        <v>400</v>
      </c>
      <c r="L808">
        <v>1</v>
      </c>
      <c r="M8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15300</v>
      </c>
      <c r="N808" s="1">
        <f>International_Education_Costs[[#This Row],[Total_Cost]]/International_Education_Costs[[#This Row],[Duration_Years]]</f>
        <v>7650</v>
      </c>
      <c r="O808" s="1">
        <f>International_Education_Costs[[#This Row],[Rent_USD]] * 12 * International_Education_Costs[[#This Row],[Duration_Years]]</f>
        <v>8400</v>
      </c>
      <c r="P808" s="1">
        <f>International_Education_Costs[[#This Row],[Total_Cost]]-International_Education_Costs[[#This Row],[Tuition_USD]]</f>
        <v>9300</v>
      </c>
      <c r="Q808" s="2">
        <f>International_Education_Costs[[#This Row],[Tuition_USD]]/International_Education_Costs[[#This Row],[Total_Cost]]</f>
        <v>0.39215686274509803</v>
      </c>
    </row>
    <row r="809" spans="1:17" x14ac:dyDescent="0.25">
      <c r="A809" t="s">
        <v>1202</v>
      </c>
      <c r="B809" t="s">
        <v>1203</v>
      </c>
      <c r="C809" t="s">
        <v>1204</v>
      </c>
      <c r="D809" t="s">
        <v>15</v>
      </c>
      <c r="E809" t="s">
        <v>16</v>
      </c>
      <c r="F809">
        <v>2</v>
      </c>
      <c r="G809" s="1">
        <v>2500</v>
      </c>
      <c r="H809">
        <v>42.5</v>
      </c>
      <c r="I809" s="1">
        <v>250</v>
      </c>
      <c r="J809" s="1">
        <v>100</v>
      </c>
      <c r="K809" s="1">
        <v>200</v>
      </c>
      <c r="L809">
        <v>109.5</v>
      </c>
      <c r="M80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9000</v>
      </c>
      <c r="N809" s="1">
        <f>International_Education_Costs[[#This Row],[Total_Cost]]/International_Education_Costs[[#This Row],[Duration_Years]]</f>
        <v>4500</v>
      </c>
      <c r="O809" s="1">
        <f>International_Education_Costs[[#This Row],[Rent_USD]] * 12 * International_Education_Costs[[#This Row],[Duration_Years]]</f>
        <v>6000</v>
      </c>
      <c r="P809" s="1">
        <f>International_Education_Costs[[#This Row],[Total_Cost]]-International_Education_Costs[[#This Row],[Tuition_USD]]</f>
        <v>6500</v>
      </c>
      <c r="Q809" s="2">
        <f>International_Education_Costs[[#This Row],[Tuition_USD]]/International_Education_Costs[[#This Row],[Total_Cost]]</f>
        <v>0.27777777777777779</v>
      </c>
    </row>
    <row r="810" spans="1:17" x14ac:dyDescent="0.25">
      <c r="A810" t="s">
        <v>1205</v>
      </c>
      <c r="B810" t="s">
        <v>1206</v>
      </c>
      <c r="C810" t="s">
        <v>1207</v>
      </c>
      <c r="D810" t="s">
        <v>20</v>
      </c>
      <c r="E810" t="s">
        <v>16</v>
      </c>
      <c r="F810">
        <v>2</v>
      </c>
      <c r="G810" s="1">
        <v>3500</v>
      </c>
      <c r="H810">
        <v>71.2</v>
      </c>
      <c r="I810" s="1">
        <v>800</v>
      </c>
      <c r="J810" s="1">
        <v>140</v>
      </c>
      <c r="K810" s="1">
        <v>700</v>
      </c>
      <c r="L810">
        <v>0.31</v>
      </c>
      <c r="M81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24240</v>
      </c>
      <c r="N810" s="1">
        <f>International_Education_Costs[[#This Row],[Total_Cost]]/International_Education_Costs[[#This Row],[Duration_Years]]</f>
        <v>12120</v>
      </c>
      <c r="O810" s="1">
        <f>International_Education_Costs[[#This Row],[Rent_USD]] * 12 * International_Education_Costs[[#This Row],[Duration_Years]]</f>
        <v>19200</v>
      </c>
      <c r="P810" s="1">
        <f>International_Education_Costs[[#This Row],[Total_Cost]]-International_Education_Costs[[#This Row],[Tuition_USD]]</f>
        <v>20740</v>
      </c>
      <c r="Q810" s="2">
        <f>International_Education_Costs[[#This Row],[Tuition_USD]]/International_Education_Costs[[#This Row],[Total_Cost]]</f>
        <v>0.14438943894389439</v>
      </c>
    </row>
    <row r="811" spans="1:17" x14ac:dyDescent="0.25">
      <c r="A811" t="s">
        <v>1208</v>
      </c>
      <c r="B811" t="s">
        <v>1209</v>
      </c>
      <c r="C811" t="s">
        <v>1210</v>
      </c>
      <c r="D811" t="s">
        <v>208</v>
      </c>
      <c r="E811" t="s">
        <v>75</v>
      </c>
      <c r="F811">
        <v>4</v>
      </c>
      <c r="G811" s="1">
        <v>3800</v>
      </c>
      <c r="H811">
        <v>45.8</v>
      </c>
      <c r="I811" s="1">
        <v>400</v>
      </c>
      <c r="J811" s="1">
        <v>120</v>
      </c>
      <c r="K811" s="1">
        <v>300</v>
      </c>
      <c r="L811">
        <v>36.799999999999997</v>
      </c>
      <c r="M81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24320</v>
      </c>
      <c r="N811" s="1">
        <f>International_Education_Costs[[#This Row],[Total_Cost]]/International_Education_Costs[[#This Row],[Duration_Years]]</f>
        <v>6080</v>
      </c>
      <c r="O811" s="1">
        <f>International_Education_Costs[[#This Row],[Rent_USD]] * 12 * International_Education_Costs[[#This Row],[Duration_Years]]</f>
        <v>19200</v>
      </c>
      <c r="P811" s="1">
        <f>International_Education_Costs[[#This Row],[Total_Cost]]-International_Education_Costs[[#This Row],[Tuition_USD]]</f>
        <v>20520</v>
      </c>
      <c r="Q811" s="2">
        <f>International_Education_Costs[[#This Row],[Tuition_USD]]/International_Education_Costs[[#This Row],[Total_Cost]]</f>
        <v>0.15625</v>
      </c>
    </row>
    <row r="812" spans="1:17" x14ac:dyDescent="0.25">
      <c r="A812" t="s">
        <v>1211</v>
      </c>
      <c r="B812" t="s">
        <v>1212</v>
      </c>
      <c r="C812" t="s">
        <v>1213</v>
      </c>
      <c r="D812" t="s">
        <v>63</v>
      </c>
      <c r="E812" t="s">
        <v>122</v>
      </c>
      <c r="F812">
        <v>4</v>
      </c>
      <c r="G812" s="1">
        <v>4500</v>
      </c>
      <c r="H812">
        <v>62.4</v>
      </c>
      <c r="I812" s="1">
        <v>500</v>
      </c>
      <c r="J812" s="1">
        <v>80</v>
      </c>
      <c r="K812" s="1">
        <v>450</v>
      </c>
      <c r="L812">
        <v>0.92</v>
      </c>
      <c r="M81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30380</v>
      </c>
      <c r="N812" s="1">
        <f>International_Education_Costs[[#This Row],[Total_Cost]]/International_Education_Costs[[#This Row],[Duration_Years]]</f>
        <v>7595</v>
      </c>
      <c r="O812" s="1">
        <f>International_Education_Costs[[#This Row],[Rent_USD]] * 12 * International_Education_Costs[[#This Row],[Duration_Years]]</f>
        <v>24000</v>
      </c>
      <c r="P812" s="1">
        <f>International_Education_Costs[[#This Row],[Total_Cost]]-International_Education_Costs[[#This Row],[Tuition_USD]]</f>
        <v>25880</v>
      </c>
      <c r="Q812" s="2">
        <f>International_Education_Costs[[#This Row],[Tuition_USD]]/International_Education_Costs[[#This Row],[Total_Cost]]</f>
        <v>0.14812376563528637</v>
      </c>
    </row>
    <row r="813" spans="1:17" x14ac:dyDescent="0.25">
      <c r="A813" t="s">
        <v>1214</v>
      </c>
      <c r="B813" t="s">
        <v>1215</v>
      </c>
      <c r="C813" t="s">
        <v>1216</v>
      </c>
      <c r="D813" t="s">
        <v>216</v>
      </c>
      <c r="E813" t="s">
        <v>16</v>
      </c>
      <c r="F813">
        <v>2</v>
      </c>
      <c r="G813" s="1">
        <v>2800</v>
      </c>
      <c r="H813">
        <v>48.5</v>
      </c>
      <c r="I813" s="1">
        <v>350</v>
      </c>
      <c r="J813" s="1">
        <v>90</v>
      </c>
      <c r="K813" s="1">
        <v>320</v>
      </c>
      <c r="L813">
        <v>108.5</v>
      </c>
      <c r="M81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11930</v>
      </c>
      <c r="N813" s="1">
        <f>International_Education_Costs[[#This Row],[Total_Cost]]/International_Education_Costs[[#This Row],[Duration_Years]]</f>
        <v>5965</v>
      </c>
      <c r="O813" s="1">
        <f>International_Education_Costs[[#This Row],[Rent_USD]] * 12 * International_Education_Costs[[#This Row],[Duration_Years]]</f>
        <v>8400</v>
      </c>
      <c r="P813" s="1">
        <f>International_Education_Costs[[#This Row],[Total_Cost]]-International_Education_Costs[[#This Row],[Tuition_USD]]</f>
        <v>9130</v>
      </c>
      <c r="Q813" s="2">
        <f>International_Education_Costs[[#This Row],[Tuition_USD]]/International_Education_Costs[[#This Row],[Total_Cost]]</f>
        <v>0.23470243084660519</v>
      </c>
    </row>
    <row r="814" spans="1:17" x14ac:dyDescent="0.25">
      <c r="A814" t="s">
        <v>1217</v>
      </c>
      <c r="B814" t="s">
        <v>1218</v>
      </c>
      <c r="C814" t="s">
        <v>1219</v>
      </c>
      <c r="D814" t="s">
        <v>71</v>
      </c>
      <c r="E814" t="s">
        <v>16</v>
      </c>
      <c r="F814">
        <v>2</v>
      </c>
      <c r="G814" s="1">
        <v>3000</v>
      </c>
      <c r="H814">
        <v>51.2</v>
      </c>
      <c r="I814" s="1">
        <v>400</v>
      </c>
      <c r="J814" s="1">
        <v>150</v>
      </c>
      <c r="K814" s="1">
        <v>280</v>
      </c>
      <c r="L814">
        <v>42150</v>
      </c>
      <c r="M81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13310</v>
      </c>
      <c r="N814" s="1">
        <f>International_Education_Costs[[#This Row],[Total_Cost]]/International_Education_Costs[[#This Row],[Duration_Years]]</f>
        <v>6655</v>
      </c>
      <c r="O814" s="1">
        <f>International_Education_Costs[[#This Row],[Rent_USD]] * 12 * International_Education_Costs[[#This Row],[Duration_Years]]</f>
        <v>9600</v>
      </c>
      <c r="P814" s="1">
        <f>International_Education_Costs[[#This Row],[Total_Cost]]-International_Education_Costs[[#This Row],[Tuition_USD]]</f>
        <v>10310</v>
      </c>
      <c r="Q814" s="2">
        <f>International_Education_Costs[[#This Row],[Tuition_USD]]/International_Education_Costs[[#This Row],[Total_Cost]]</f>
        <v>0.22539444027047334</v>
      </c>
    </row>
    <row r="815" spans="1:17" x14ac:dyDescent="0.25">
      <c r="A815" t="s">
        <v>1220</v>
      </c>
      <c r="B815" t="s">
        <v>1221</v>
      </c>
      <c r="C815" t="s">
        <v>1222</v>
      </c>
      <c r="D815" t="s">
        <v>15</v>
      </c>
      <c r="E815" t="s">
        <v>75</v>
      </c>
      <c r="F815">
        <v>4</v>
      </c>
      <c r="G815" s="1">
        <v>4200</v>
      </c>
      <c r="H815">
        <v>44.5</v>
      </c>
      <c r="I815" s="1">
        <v>300</v>
      </c>
      <c r="J815" s="1">
        <v>160</v>
      </c>
      <c r="K815" s="1">
        <v>250</v>
      </c>
      <c r="L815">
        <v>12300</v>
      </c>
      <c r="M81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19760</v>
      </c>
      <c r="N815" s="1">
        <f>International_Education_Costs[[#This Row],[Total_Cost]]/International_Education_Costs[[#This Row],[Duration_Years]]</f>
        <v>4940</v>
      </c>
      <c r="O815" s="1">
        <f>International_Education_Costs[[#This Row],[Rent_USD]] * 12 * International_Education_Costs[[#This Row],[Duration_Years]]</f>
        <v>14400</v>
      </c>
      <c r="P815" s="1">
        <f>International_Education_Costs[[#This Row],[Total_Cost]]-International_Education_Costs[[#This Row],[Tuition_USD]]</f>
        <v>15560</v>
      </c>
      <c r="Q815" s="2">
        <f>International_Education_Costs[[#This Row],[Tuition_USD]]/International_Education_Costs[[#This Row],[Total_Cost]]</f>
        <v>0.2125506072874494</v>
      </c>
    </row>
    <row r="816" spans="1:17" x14ac:dyDescent="0.25">
      <c r="A816" t="s">
        <v>1223</v>
      </c>
      <c r="B816" t="s">
        <v>1224</v>
      </c>
      <c r="C816" t="s">
        <v>1225</v>
      </c>
      <c r="D816" t="s">
        <v>242</v>
      </c>
      <c r="E816" t="s">
        <v>16</v>
      </c>
      <c r="F816">
        <v>2</v>
      </c>
      <c r="G816" s="1">
        <v>5500</v>
      </c>
      <c r="H816">
        <v>46.8</v>
      </c>
      <c r="I816" s="1">
        <v>400</v>
      </c>
      <c r="J816" s="1">
        <v>110</v>
      </c>
      <c r="K816" s="1">
        <v>300</v>
      </c>
      <c r="L816">
        <v>1</v>
      </c>
      <c r="M81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15810</v>
      </c>
      <c r="N816" s="1">
        <f>International_Education_Costs[[#This Row],[Total_Cost]]/International_Education_Costs[[#This Row],[Duration_Years]]</f>
        <v>7905</v>
      </c>
      <c r="O816" s="1">
        <f>International_Education_Costs[[#This Row],[Rent_USD]] * 12 * International_Education_Costs[[#This Row],[Duration_Years]]</f>
        <v>9600</v>
      </c>
      <c r="P816" s="1">
        <f>International_Education_Costs[[#This Row],[Total_Cost]]-International_Education_Costs[[#This Row],[Tuition_USD]]</f>
        <v>10310</v>
      </c>
      <c r="Q816" s="2">
        <f>International_Education_Costs[[#This Row],[Tuition_USD]]/International_Education_Costs[[#This Row],[Total_Cost]]</f>
        <v>0.3478810879190386</v>
      </c>
    </row>
    <row r="817" spans="1:17" x14ac:dyDescent="0.25">
      <c r="A817" t="s">
        <v>1202</v>
      </c>
      <c r="B817" t="s">
        <v>1226</v>
      </c>
      <c r="C817" t="s">
        <v>1227</v>
      </c>
      <c r="D817" t="s">
        <v>40</v>
      </c>
      <c r="E817" t="s">
        <v>122</v>
      </c>
      <c r="F817">
        <v>4</v>
      </c>
      <c r="G817" s="1">
        <v>2200</v>
      </c>
      <c r="H817">
        <v>39.799999999999997</v>
      </c>
      <c r="I817" s="1">
        <v>200</v>
      </c>
      <c r="J817" s="1">
        <v>100</v>
      </c>
      <c r="K817" s="1">
        <v>200</v>
      </c>
      <c r="L817">
        <v>109.5</v>
      </c>
      <c r="M81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12700</v>
      </c>
      <c r="N817" s="1">
        <f>International_Education_Costs[[#This Row],[Total_Cost]]/International_Education_Costs[[#This Row],[Duration_Years]]</f>
        <v>3175</v>
      </c>
      <c r="O817" s="1">
        <f>International_Education_Costs[[#This Row],[Rent_USD]] * 12 * International_Education_Costs[[#This Row],[Duration_Years]]</f>
        <v>9600</v>
      </c>
      <c r="P817" s="1">
        <f>International_Education_Costs[[#This Row],[Total_Cost]]-International_Education_Costs[[#This Row],[Tuition_USD]]</f>
        <v>10500</v>
      </c>
      <c r="Q817" s="2">
        <f>International_Education_Costs[[#This Row],[Tuition_USD]]/International_Education_Costs[[#This Row],[Total_Cost]]</f>
        <v>0.17322834645669291</v>
      </c>
    </row>
    <row r="818" spans="1:17" x14ac:dyDescent="0.25">
      <c r="A818" t="s">
        <v>1205</v>
      </c>
      <c r="B818" t="s">
        <v>1228</v>
      </c>
      <c r="C818" t="s">
        <v>1229</v>
      </c>
      <c r="D818" t="s">
        <v>252</v>
      </c>
      <c r="E818" t="s">
        <v>16</v>
      </c>
      <c r="F818">
        <v>2</v>
      </c>
      <c r="G818" s="1">
        <v>15000</v>
      </c>
      <c r="H818">
        <v>68.5</v>
      </c>
      <c r="I818" s="1">
        <v>750</v>
      </c>
      <c r="J818" s="1">
        <v>140</v>
      </c>
      <c r="K818" s="1">
        <v>700</v>
      </c>
      <c r="L818">
        <v>0.31</v>
      </c>
      <c r="M81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34540</v>
      </c>
      <c r="N818" s="1">
        <f>International_Education_Costs[[#This Row],[Total_Cost]]/International_Education_Costs[[#This Row],[Duration_Years]]</f>
        <v>17270</v>
      </c>
      <c r="O818" s="1">
        <f>International_Education_Costs[[#This Row],[Rent_USD]] * 12 * International_Education_Costs[[#This Row],[Duration_Years]]</f>
        <v>18000</v>
      </c>
      <c r="P818" s="1">
        <f>International_Education_Costs[[#This Row],[Total_Cost]]-International_Education_Costs[[#This Row],[Tuition_USD]]</f>
        <v>19540</v>
      </c>
      <c r="Q818" s="2">
        <f>International_Education_Costs[[#This Row],[Tuition_USD]]/International_Education_Costs[[#This Row],[Total_Cost]]</f>
        <v>0.43427909669947884</v>
      </c>
    </row>
    <row r="819" spans="1:17" x14ac:dyDescent="0.25">
      <c r="A819" t="s">
        <v>1208</v>
      </c>
      <c r="B819" t="s">
        <v>1230</v>
      </c>
      <c r="C819" t="s">
        <v>1231</v>
      </c>
      <c r="D819" t="s">
        <v>15</v>
      </c>
      <c r="E819" t="s">
        <v>16</v>
      </c>
      <c r="F819">
        <v>2</v>
      </c>
      <c r="G819" s="1">
        <v>3500</v>
      </c>
      <c r="H819">
        <v>43.2</v>
      </c>
      <c r="I819" s="1">
        <v>350</v>
      </c>
      <c r="J819" s="1">
        <v>120</v>
      </c>
      <c r="K819" s="1">
        <v>300</v>
      </c>
      <c r="L819">
        <v>36.799999999999997</v>
      </c>
      <c r="M81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12620</v>
      </c>
      <c r="N819" s="1">
        <f>International_Education_Costs[[#This Row],[Total_Cost]]/International_Education_Costs[[#This Row],[Duration_Years]]</f>
        <v>6310</v>
      </c>
      <c r="O819" s="1">
        <f>International_Education_Costs[[#This Row],[Rent_USD]] * 12 * International_Education_Costs[[#This Row],[Duration_Years]]</f>
        <v>8400</v>
      </c>
      <c r="P819" s="1">
        <f>International_Education_Costs[[#This Row],[Total_Cost]]-International_Education_Costs[[#This Row],[Tuition_USD]]</f>
        <v>9120</v>
      </c>
      <c r="Q819" s="2">
        <f>International_Education_Costs[[#This Row],[Tuition_USD]]/International_Education_Costs[[#This Row],[Total_Cost]]</f>
        <v>0.27733755942947702</v>
      </c>
    </row>
    <row r="820" spans="1:17" x14ac:dyDescent="0.25">
      <c r="A820" t="s">
        <v>1211</v>
      </c>
      <c r="B820" t="s">
        <v>1232</v>
      </c>
      <c r="C820" t="s">
        <v>1233</v>
      </c>
      <c r="D820" t="s">
        <v>20</v>
      </c>
      <c r="E820" t="s">
        <v>16</v>
      </c>
      <c r="F820">
        <v>2</v>
      </c>
      <c r="G820" s="1">
        <v>4200</v>
      </c>
      <c r="H820">
        <v>58.5</v>
      </c>
      <c r="I820" s="1">
        <v>450</v>
      </c>
      <c r="J820" s="1">
        <v>80</v>
      </c>
      <c r="K820" s="1">
        <v>450</v>
      </c>
      <c r="L820">
        <v>0.92</v>
      </c>
      <c r="M82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15980</v>
      </c>
      <c r="N820" s="1">
        <f>International_Education_Costs[[#This Row],[Total_Cost]]/International_Education_Costs[[#This Row],[Duration_Years]]</f>
        <v>7990</v>
      </c>
      <c r="O820" s="1">
        <f>International_Education_Costs[[#This Row],[Rent_USD]] * 12 * International_Education_Costs[[#This Row],[Duration_Years]]</f>
        <v>10800</v>
      </c>
      <c r="P820" s="1">
        <f>International_Education_Costs[[#This Row],[Total_Cost]]-International_Education_Costs[[#This Row],[Tuition_USD]]</f>
        <v>11780</v>
      </c>
      <c r="Q820" s="2">
        <f>International_Education_Costs[[#This Row],[Tuition_USD]]/International_Education_Costs[[#This Row],[Total_Cost]]</f>
        <v>0.26282853566958697</v>
      </c>
    </row>
    <row r="821" spans="1:17" x14ac:dyDescent="0.25">
      <c r="A821" t="s">
        <v>1214</v>
      </c>
      <c r="B821" t="s">
        <v>1234</v>
      </c>
      <c r="C821" t="s">
        <v>1235</v>
      </c>
      <c r="D821" t="s">
        <v>208</v>
      </c>
      <c r="E821" t="s">
        <v>122</v>
      </c>
      <c r="F821">
        <v>4</v>
      </c>
      <c r="G821" s="1">
        <v>2600</v>
      </c>
      <c r="H821">
        <v>45.8</v>
      </c>
      <c r="I821" s="1">
        <v>320</v>
      </c>
      <c r="J821" s="1">
        <v>90</v>
      </c>
      <c r="K821" s="1">
        <v>320</v>
      </c>
      <c r="L821">
        <v>108.5</v>
      </c>
      <c r="M82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19330</v>
      </c>
      <c r="N821" s="1">
        <f>International_Education_Costs[[#This Row],[Total_Cost]]/International_Education_Costs[[#This Row],[Duration_Years]]</f>
        <v>4832.5</v>
      </c>
      <c r="O821" s="1">
        <f>International_Education_Costs[[#This Row],[Rent_USD]] * 12 * International_Education_Costs[[#This Row],[Duration_Years]]</f>
        <v>15360</v>
      </c>
      <c r="P821" s="1">
        <f>International_Education_Costs[[#This Row],[Total_Cost]]-International_Education_Costs[[#This Row],[Tuition_USD]]</f>
        <v>16730</v>
      </c>
      <c r="Q821" s="2">
        <f>International_Education_Costs[[#This Row],[Tuition_USD]]/International_Education_Costs[[#This Row],[Total_Cost]]</f>
        <v>0.13450594930160373</v>
      </c>
    </row>
    <row r="822" spans="1:17" x14ac:dyDescent="0.25">
      <c r="A822" t="s">
        <v>1217</v>
      </c>
      <c r="B822" t="s">
        <v>1236</v>
      </c>
      <c r="C822" t="s">
        <v>1237</v>
      </c>
      <c r="D822" t="s">
        <v>216</v>
      </c>
      <c r="E822" t="s">
        <v>75</v>
      </c>
      <c r="F822">
        <v>3</v>
      </c>
      <c r="G822" s="1">
        <v>2800</v>
      </c>
      <c r="H822">
        <v>48.5</v>
      </c>
      <c r="I822" s="1">
        <v>350</v>
      </c>
      <c r="J822" s="1">
        <v>150</v>
      </c>
      <c r="K822" s="1">
        <v>280</v>
      </c>
      <c r="L822">
        <v>42150</v>
      </c>
      <c r="M82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16390</v>
      </c>
      <c r="N822" s="1">
        <f>International_Education_Costs[[#This Row],[Total_Cost]]/International_Education_Costs[[#This Row],[Duration_Years]]</f>
        <v>5463.333333333333</v>
      </c>
      <c r="O822" s="1">
        <f>International_Education_Costs[[#This Row],[Rent_USD]] * 12 * International_Education_Costs[[#This Row],[Duration_Years]]</f>
        <v>12600</v>
      </c>
      <c r="P822" s="1">
        <f>International_Education_Costs[[#This Row],[Total_Cost]]-International_Education_Costs[[#This Row],[Tuition_USD]]</f>
        <v>13590</v>
      </c>
      <c r="Q822" s="2">
        <f>International_Education_Costs[[#This Row],[Tuition_USD]]/International_Education_Costs[[#This Row],[Total_Cost]]</f>
        <v>0.17083587553386212</v>
      </c>
    </row>
    <row r="823" spans="1:17" x14ac:dyDescent="0.25">
      <c r="A823" t="s">
        <v>1220</v>
      </c>
      <c r="B823" t="s">
        <v>1238</v>
      </c>
      <c r="C823" t="s">
        <v>1239</v>
      </c>
      <c r="D823" t="s">
        <v>71</v>
      </c>
      <c r="E823" t="s">
        <v>16</v>
      </c>
      <c r="F823">
        <v>2</v>
      </c>
      <c r="G823" s="1">
        <v>3800</v>
      </c>
      <c r="H823">
        <v>41.2</v>
      </c>
      <c r="I823" s="1">
        <v>250</v>
      </c>
      <c r="J823" s="1">
        <v>160</v>
      </c>
      <c r="K823" s="1">
        <v>250</v>
      </c>
      <c r="L823">
        <v>12300</v>
      </c>
      <c r="M82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10460</v>
      </c>
      <c r="N823" s="1">
        <f>International_Education_Costs[[#This Row],[Total_Cost]]/International_Education_Costs[[#This Row],[Duration_Years]]</f>
        <v>5230</v>
      </c>
      <c r="O823" s="1">
        <f>International_Education_Costs[[#This Row],[Rent_USD]] * 12 * International_Education_Costs[[#This Row],[Duration_Years]]</f>
        <v>6000</v>
      </c>
      <c r="P823" s="1">
        <f>International_Education_Costs[[#This Row],[Total_Cost]]-International_Education_Costs[[#This Row],[Tuition_USD]]</f>
        <v>6660</v>
      </c>
      <c r="Q823" s="2">
        <f>International_Education_Costs[[#This Row],[Tuition_USD]]/International_Education_Costs[[#This Row],[Total_Cost]]</f>
        <v>0.3632887189292543</v>
      </c>
    </row>
    <row r="824" spans="1:17" x14ac:dyDescent="0.25">
      <c r="A824" t="s">
        <v>1223</v>
      </c>
      <c r="B824" t="s">
        <v>1240</v>
      </c>
      <c r="C824" t="s">
        <v>1163</v>
      </c>
      <c r="D824" t="s">
        <v>63</v>
      </c>
      <c r="E824" t="s">
        <v>75</v>
      </c>
      <c r="F824">
        <v>4</v>
      </c>
      <c r="G824" s="1">
        <v>5000</v>
      </c>
      <c r="H824">
        <v>44.5</v>
      </c>
      <c r="I824" s="1">
        <v>350</v>
      </c>
      <c r="J824" s="1">
        <v>110</v>
      </c>
      <c r="K824" s="1">
        <v>300</v>
      </c>
      <c r="L824">
        <v>1</v>
      </c>
      <c r="M82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23110</v>
      </c>
      <c r="N824" s="1">
        <f>International_Education_Costs[[#This Row],[Total_Cost]]/International_Education_Costs[[#This Row],[Duration_Years]]</f>
        <v>5777.5</v>
      </c>
      <c r="O824" s="1">
        <f>International_Education_Costs[[#This Row],[Rent_USD]] * 12 * International_Education_Costs[[#This Row],[Duration_Years]]</f>
        <v>16800</v>
      </c>
      <c r="P824" s="1">
        <f>International_Education_Costs[[#This Row],[Total_Cost]]-International_Education_Costs[[#This Row],[Tuition_USD]]</f>
        <v>18110</v>
      </c>
      <c r="Q824" s="2">
        <f>International_Education_Costs[[#This Row],[Tuition_USD]]/International_Education_Costs[[#This Row],[Total_Cost]]</f>
        <v>0.21635655560363479</v>
      </c>
    </row>
    <row r="825" spans="1:17" x14ac:dyDescent="0.25">
      <c r="A825" t="s">
        <v>1202</v>
      </c>
      <c r="B825" t="s">
        <v>1241</v>
      </c>
      <c r="C825" t="s">
        <v>1242</v>
      </c>
      <c r="D825" t="s">
        <v>242</v>
      </c>
      <c r="E825" t="s">
        <v>16</v>
      </c>
      <c r="F825">
        <v>2</v>
      </c>
      <c r="G825" s="1">
        <v>2100</v>
      </c>
      <c r="H825">
        <v>38.5</v>
      </c>
      <c r="I825" s="1">
        <v>180</v>
      </c>
      <c r="J825" s="1">
        <v>100</v>
      </c>
      <c r="K825" s="1">
        <v>200</v>
      </c>
      <c r="L825">
        <v>109.5</v>
      </c>
      <c r="M82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6920</v>
      </c>
      <c r="N825" s="1">
        <f>International_Education_Costs[[#This Row],[Total_Cost]]/International_Education_Costs[[#This Row],[Duration_Years]]</f>
        <v>3460</v>
      </c>
      <c r="O825" s="1">
        <f>International_Education_Costs[[#This Row],[Rent_USD]] * 12 * International_Education_Costs[[#This Row],[Duration_Years]]</f>
        <v>4320</v>
      </c>
      <c r="P825" s="1">
        <f>International_Education_Costs[[#This Row],[Total_Cost]]-International_Education_Costs[[#This Row],[Tuition_USD]]</f>
        <v>4820</v>
      </c>
      <c r="Q825" s="2">
        <f>International_Education_Costs[[#This Row],[Tuition_USD]]/International_Education_Costs[[#This Row],[Total_Cost]]</f>
        <v>0.30346820809248554</v>
      </c>
    </row>
    <row r="826" spans="1:17" x14ac:dyDescent="0.25">
      <c r="A826" t="s">
        <v>1205</v>
      </c>
      <c r="B826" t="s">
        <v>1243</v>
      </c>
      <c r="C826" t="s">
        <v>1244</v>
      </c>
      <c r="D826" t="s">
        <v>40</v>
      </c>
      <c r="E826" t="s">
        <v>122</v>
      </c>
      <c r="F826">
        <v>4</v>
      </c>
      <c r="G826" s="1">
        <v>14000</v>
      </c>
      <c r="H826">
        <v>66.8</v>
      </c>
      <c r="I826" s="1">
        <v>700</v>
      </c>
      <c r="J826" s="1">
        <v>140</v>
      </c>
      <c r="K826" s="1">
        <v>700</v>
      </c>
      <c r="L826">
        <v>0.31</v>
      </c>
      <c r="M82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50540</v>
      </c>
      <c r="N826" s="1">
        <f>International_Education_Costs[[#This Row],[Total_Cost]]/International_Education_Costs[[#This Row],[Duration_Years]]</f>
        <v>12635</v>
      </c>
      <c r="O826" s="1">
        <f>International_Education_Costs[[#This Row],[Rent_USD]] * 12 * International_Education_Costs[[#This Row],[Duration_Years]]</f>
        <v>33600</v>
      </c>
      <c r="P826" s="1">
        <f>International_Education_Costs[[#This Row],[Total_Cost]]-International_Education_Costs[[#This Row],[Tuition_USD]]</f>
        <v>36540</v>
      </c>
      <c r="Q826" s="2">
        <f>International_Education_Costs[[#This Row],[Tuition_USD]]/International_Education_Costs[[#This Row],[Total_Cost]]</f>
        <v>0.2770083102493075</v>
      </c>
    </row>
    <row r="827" spans="1:17" x14ac:dyDescent="0.25">
      <c r="A827" t="s">
        <v>1208</v>
      </c>
      <c r="B827" t="s">
        <v>1245</v>
      </c>
      <c r="C827" t="s">
        <v>1246</v>
      </c>
      <c r="D827" t="s">
        <v>20</v>
      </c>
      <c r="E827" t="s">
        <v>16</v>
      </c>
      <c r="F827">
        <v>2</v>
      </c>
      <c r="G827" s="1">
        <v>3400</v>
      </c>
      <c r="H827">
        <v>42.5</v>
      </c>
      <c r="I827" s="1">
        <v>330</v>
      </c>
      <c r="J827" s="1">
        <v>120</v>
      </c>
      <c r="K827" s="1">
        <v>300</v>
      </c>
      <c r="L827">
        <v>36.799999999999997</v>
      </c>
      <c r="M82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12040</v>
      </c>
      <c r="N827" s="1">
        <f>International_Education_Costs[[#This Row],[Total_Cost]]/International_Education_Costs[[#This Row],[Duration_Years]]</f>
        <v>6020</v>
      </c>
      <c r="O827" s="1">
        <f>International_Education_Costs[[#This Row],[Rent_USD]] * 12 * International_Education_Costs[[#This Row],[Duration_Years]]</f>
        <v>7920</v>
      </c>
      <c r="P827" s="1">
        <f>International_Education_Costs[[#This Row],[Total_Cost]]-International_Education_Costs[[#This Row],[Tuition_USD]]</f>
        <v>8640</v>
      </c>
      <c r="Q827" s="2">
        <f>International_Education_Costs[[#This Row],[Tuition_USD]]/International_Education_Costs[[#This Row],[Total_Cost]]</f>
        <v>0.28239202657807311</v>
      </c>
    </row>
    <row r="828" spans="1:17" x14ac:dyDescent="0.25">
      <c r="A828" t="s">
        <v>1211</v>
      </c>
      <c r="B828" t="s">
        <v>1247</v>
      </c>
      <c r="C828" t="s">
        <v>1248</v>
      </c>
      <c r="D828" t="s">
        <v>223</v>
      </c>
      <c r="E828" t="s">
        <v>75</v>
      </c>
      <c r="F828">
        <v>3</v>
      </c>
      <c r="G828" s="1">
        <v>4000</v>
      </c>
      <c r="H828">
        <v>57.2</v>
      </c>
      <c r="I828" s="1">
        <v>420</v>
      </c>
      <c r="J828" s="1">
        <v>80</v>
      </c>
      <c r="K828" s="1">
        <v>450</v>
      </c>
      <c r="L828">
        <v>0.92</v>
      </c>
      <c r="M82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20550</v>
      </c>
      <c r="N828" s="1">
        <f>International_Education_Costs[[#This Row],[Total_Cost]]/International_Education_Costs[[#This Row],[Duration_Years]]</f>
        <v>6850</v>
      </c>
      <c r="O828" s="1">
        <f>International_Education_Costs[[#This Row],[Rent_USD]] * 12 * International_Education_Costs[[#This Row],[Duration_Years]]</f>
        <v>15120</v>
      </c>
      <c r="P828" s="1">
        <f>International_Education_Costs[[#This Row],[Total_Cost]]-International_Education_Costs[[#This Row],[Tuition_USD]]</f>
        <v>16550</v>
      </c>
      <c r="Q828" s="2">
        <f>International_Education_Costs[[#This Row],[Tuition_USD]]/International_Education_Costs[[#This Row],[Total_Cost]]</f>
        <v>0.19464720194647203</v>
      </c>
    </row>
    <row r="829" spans="1:17" x14ac:dyDescent="0.25">
      <c r="A829" t="s">
        <v>1214</v>
      </c>
      <c r="B829" t="s">
        <v>1249</v>
      </c>
      <c r="C829" t="s">
        <v>1250</v>
      </c>
      <c r="D829" t="s">
        <v>63</v>
      </c>
      <c r="E829" t="s">
        <v>16</v>
      </c>
      <c r="F829">
        <v>2</v>
      </c>
      <c r="G829" s="1">
        <v>2500</v>
      </c>
      <c r="H829">
        <v>44.2</v>
      </c>
      <c r="I829" s="1">
        <v>300</v>
      </c>
      <c r="J829" s="1">
        <v>90</v>
      </c>
      <c r="K829" s="1">
        <v>320</v>
      </c>
      <c r="L829">
        <v>108.5</v>
      </c>
      <c r="M82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10430</v>
      </c>
      <c r="N829" s="1">
        <f>International_Education_Costs[[#This Row],[Total_Cost]]/International_Education_Costs[[#This Row],[Duration_Years]]</f>
        <v>5215</v>
      </c>
      <c r="O829" s="1">
        <f>International_Education_Costs[[#This Row],[Rent_USD]] * 12 * International_Education_Costs[[#This Row],[Duration_Years]]</f>
        <v>7200</v>
      </c>
      <c r="P829" s="1">
        <f>International_Education_Costs[[#This Row],[Total_Cost]]-International_Education_Costs[[#This Row],[Tuition_USD]]</f>
        <v>7930</v>
      </c>
      <c r="Q829" s="2">
        <f>International_Education_Costs[[#This Row],[Tuition_USD]]/International_Education_Costs[[#This Row],[Total_Cost]]</f>
        <v>0.23969319271332695</v>
      </c>
    </row>
    <row r="830" spans="1:17" x14ac:dyDescent="0.25">
      <c r="A830" t="s">
        <v>1217</v>
      </c>
      <c r="B830" t="s">
        <v>1251</v>
      </c>
      <c r="C830" t="s">
        <v>1252</v>
      </c>
      <c r="D830" t="s">
        <v>71</v>
      </c>
      <c r="E830" t="s">
        <v>122</v>
      </c>
      <c r="F830">
        <v>4</v>
      </c>
      <c r="G830" s="1">
        <v>2900</v>
      </c>
      <c r="H830">
        <v>47.8</v>
      </c>
      <c r="I830" s="1">
        <v>320</v>
      </c>
      <c r="J830" s="1">
        <v>150</v>
      </c>
      <c r="K830" s="1">
        <v>280</v>
      </c>
      <c r="L830">
        <v>42150</v>
      </c>
      <c r="M83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19530</v>
      </c>
      <c r="N830" s="1">
        <f>International_Education_Costs[[#This Row],[Total_Cost]]/International_Education_Costs[[#This Row],[Duration_Years]]</f>
        <v>4882.5</v>
      </c>
      <c r="O830" s="1">
        <f>International_Education_Costs[[#This Row],[Rent_USD]] * 12 * International_Education_Costs[[#This Row],[Duration_Years]]</f>
        <v>15360</v>
      </c>
      <c r="P830" s="1">
        <f>International_Education_Costs[[#This Row],[Total_Cost]]-International_Education_Costs[[#This Row],[Tuition_USD]]</f>
        <v>16630</v>
      </c>
      <c r="Q830" s="2">
        <f>International_Education_Costs[[#This Row],[Tuition_USD]]/International_Education_Costs[[#This Row],[Total_Cost]]</f>
        <v>0.14848950332821301</v>
      </c>
    </row>
    <row r="831" spans="1:17" x14ac:dyDescent="0.25">
      <c r="A831" t="s">
        <v>1220</v>
      </c>
      <c r="B831" t="s">
        <v>1253</v>
      </c>
      <c r="C831" t="s">
        <v>1254</v>
      </c>
      <c r="D831" t="s">
        <v>15</v>
      </c>
      <c r="E831" t="s">
        <v>75</v>
      </c>
      <c r="F831">
        <v>4</v>
      </c>
      <c r="G831" s="1">
        <v>3500</v>
      </c>
      <c r="H831">
        <v>39.799999999999997</v>
      </c>
      <c r="I831" s="1">
        <v>220</v>
      </c>
      <c r="J831" s="1">
        <v>160</v>
      </c>
      <c r="K831" s="1">
        <v>250</v>
      </c>
      <c r="L831">
        <v>12300</v>
      </c>
      <c r="M83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15220</v>
      </c>
      <c r="N831" s="1">
        <f>International_Education_Costs[[#This Row],[Total_Cost]]/International_Education_Costs[[#This Row],[Duration_Years]]</f>
        <v>3805</v>
      </c>
      <c r="O831" s="1">
        <f>International_Education_Costs[[#This Row],[Rent_USD]] * 12 * International_Education_Costs[[#This Row],[Duration_Years]]</f>
        <v>10560</v>
      </c>
      <c r="P831" s="1">
        <f>International_Education_Costs[[#This Row],[Total_Cost]]-International_Education_Costs[[#This Row],[Tuition_USD]]</f>
        <v>11720</v>
      </c>
      <c r="Q831" s="2">
        <f>International_Education_Costs[[#This Row],[Tuition_USD]]/International_Education_Costs[[#This Row],[Total_Cost]]</f>
        <v>0.22996057818659657</v>
      </c>
    </row>
    <row r="832" spans="1:17" x14ac:dyDescent="0.25">
      <c r="A832" t="s">
        <v>1223</v>
      </c>
      <c r="B832" t="s">
        <v>1255</v>
      </c>
      <c r="C832" t="s">
        <v>1256</v>
      </c>
      <c r="D832" t="s">
        <v>216</v>
      </c>
      <c r="E832" t="s">
        <v>16</v>
      </c>
      <c r="F832">
        <v>2</v>
      </c>
      <c r="G832" s="1">
        <v>4800</v>
      </c>
      <c r="H832">
        <v>43.2</v>
      </c>
      <c r="I832" s="1">
        <v>320</v>
      </c>
      <c r="J832" s="1">
        <v>110</v>
      </c>
      <c r="K832" s="1">
        <v>300</v>
      </c>
      <c r="L832">
        <v>1</v>
      </c>
      <c r="M83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13190</v>
      </c>
      <c r="N832" s="1">
        <f>International_Education_Costs[[#This Row],[Total_Cost]]/International_Education_Costs[[#This Row],[Duration_Years]]</f>
        <v>6595</v>
      </c>
      <c r="O832" s="1">
        <f>International_Education_Costs[[#This Row],[Rent_USD]] * 12 * International_Education_Costs[[#This Row],[Duration_Years]]</f>
        <v>7680</v>
      </c>
      <c r="P832" s="1">
        <f>International_Education_Costs[[#This Row],[Total_Cost]]-International_Education_Costs[[#This Row],[Tuition_USD]]</f>
        <v>8390</v>
      </c>
      <c r="Q832" s="2">
        <f>International_Education_Costs[[#This Row],[Tuition_USD]]/International_Education_Costs[[#This Row],[Total_Cost]]</f>
        <v>0.3639120545868082</v>
      </c>
    </row>
    <row r="833" spans="1:17" x14ac:dyDescent="0.25">
      <c r="A833" t="s">
        <v>1202</v>
      </c>
      <c r="B833" t="s">
        <v>1257</v>
      </c>
      <c r="C833" t="s">
        <v>1258</v>
      </c>
      <c r="D833" t="s">
        <v>208</v>
      </c>
      <c r="E833" t="s">
        <v>16</v>
      </c>
      <c r="F833">
        <v>2</v>
      </c>
      <c r="G833" s="1">
        <v>2000</v>
      </c>
      <c r="H833">
        <v>37.200000000000003</v>
      </c>
      <c r="I833" s="1">
        <v>170</v>
      </c>
      <c r="J833" s="1">
        <v>100</v>
      </c>
      <c r="K833" s="1">
        <v>200</v>
      </c>
      <c r="L833">
        <v>109.5</v>
      </c>
      <c r="M83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6580</v>
      </c>
      <c r="N833" s="1">
        <f>International_Education_Costs[[#This Row],[Total_Cost]]/International_Education_Costs[[#This Row],[Duration_Years]]</f>
        <v>3290</v>
      </c>
      <c r="O833" s="1">
        <f>International_Education_Costs[[#This Row],[Rent_USD]] * 12 * International_Education_Costs[[#This Row],[Duration_Years]]</f>
        <v>4080</v>
      </c>
      <c r="P833" s="1">
        <f>International_Education_Costs[[#This Row],[Total_Cost]]-International_Education_Costs[[#This Row],[Tuition_USD]]</f>
        <v>4580</v>
      </c>
      <c r="Q833" s="2">
        <f>International_Education_Costs[[#This Row],[Tuition_USD]]/International_Education_Costs[[#This Row],[Total_Cost]]</f>
        <v>0.303951367781155</v>
      </c>
    </row>
    <row r="834" spans="1:17" x14ac:dyDescent="0.25">
      <c r="A834" t="s">
        <v>1205</v>
      </c>
      <c r="B834" t="s">
        <v>1259</v>
      </c>
      <c r="C834" t="s">
        <v>1260</v>
      </c>
      <c r="D834" t="s">
        <v>20</v>
      </c>
      <c r="E834" t="s">
        <v>75</v>
      </c>
      <c r="F834">
        <v>3</v>
      </c>
      <c r="G834" s="1">
        <v>13500</v>
      </c>
      <c r="H834">
        <v>65.400000000000006</v>
      </c>
      <c r="I834" s="1">
        <v>680</v>
      </c>
      <c r="J834" s="1">
        <v>140</v>
      </c>
      <c r="K834" s="1">
        <v>700</v>
      </c>
      <c r="L834">
        <v>0.31</v>
      </c>
      <c r="M83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40220</v>
      </c>
      <c r="N834" s="1">
        <f>International_Education_Costs[[#This Row],[Total_Cost]]/International_Education_Costs[[#This Row],[Duration_Years]]</f>
        <v>13406.666666666666</v>
      </c>
      <c r="O834" s="1">
        <f>International_Education_Costs[[#This Row],[Rent_USD]] * 12 * International_Education_Costs[[#This Row],[Duration_Years]]</f>
        <v>24480</v>
      </c>
      <c r="P834" s="1">
        <f>International_Education_Costs[[#This Row],[Total_Cost]]-International_Education_Costs[[#This Row],[Tuition_USD]]</f>
        <v>26720</v>
      </c>
      <c r="Q834" s="2">
        <f>International_Education_Costs[[#This Row],[Tuition_USD]]/International_Education_Costs[[#This Row],[Total_Cost]]</f>
        <v>0.33565390353058178</v>
      </c>
    </row>
    <row r="835" spans="1:17" x14ac:dyDescent="0.25">
      <c r="A835" t="s">
        <v>1208</v>
      </c>
      <c r="B835" t="s">
        <v>1261</v>
      </c>
      <c r="C835" t="s">
        <v>1262</v>
      </c>
      <c r="D835" t="s">
        <v>40</v>
      </c>
      <c r="E835" t="s">
        <v>122</v>
      </c>
      <c r="F835">
        <v>4</v>
      </c>
      <c r="G835" s="1">
        <v>3600</v>
      </c>
      <c r="H835">
        <v>41.8</v>
      </c>
      <c r="I835" s="1">
        <v>320</v>
      </c>
      <c r="J835" s="1">
        <v>120</v>
      </c>
      <c r="K835" s="1">
        <v>300</v>
      </c>
      <c r="L835">
        <v>36.799999999999997</v>
      </c>
      <c r="M83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20280</v>
      </c>
      <c r="N835" s="1">
        <f>International_Education_Costs[[#This Row],[Total_Cost]]/International_Education_Costs[[#This Row],[Duration_Years]]</f>
        <v>5070</v>
      </c>
      <c r="O835" s="1">
        <f>International_Education_Costs[[#This Row],[Rent_USD]] * 12 * International_Education_Costs[[#This Row],[Duration_Years]]</f>
        <v>15360</v>
      </c>
      <c r="P835" s="1">
        <f>International_Education_Costs[[#This Row],[Total_Cost]]-International_Education_Costs[[#This Row],[Tuition_USD]]</f>
        <v>16680</v>
      </c>
      <c r="Q835" s="2">
        <f>International_Education_Costs[[#This Row],[Tuition_USD]]/International_Education_Costs[[#This Row],[Total_Cost]]</f>
        <v>0.17751479289940827</v>
      </c>
    </row>
    <row r="836" spans="1:17" x14ac:dyDescent="0.25">
      <c r="A836" t="s">
        <v>1211</v>
      </c>
      <c r="B836" t="s">
        <v>1263</v>
      </c>
      <c r="C836" t="s">
        <v>1264</v>
      </c>
      <c r="D836" t="s">
        <v>15</v>
      </c>
      <c r="E836" t="s">
        <v>16</v>
      </c>
      <c r="F836">
        <v>2</v>
      </c>
      <c r="G836" s="1">
        <v>4100</v>
      </c>
      <c r="H836">
        <v>56.5</v>
      </c>
      <c r="I836" s="1">
        <v>400</v>
      </c>
      <c r="J836" s="1">
        <v>80</v>
      </c>
      <c r="K836" s="1">
        <v>450</v>
      </c>
      <c r="L836">
        <v>0.92</v>
      </c>
      <c r="M83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14680</v>
      </c>
      <c r="N836" s="1">
        <f>International_Education_Costs[[#This Row],[Total_Cost]]/International_Education_Costs[[#This Row],[Duration_Years]]</f>
        <v>7340</v>
      </c>
      <c r="O836" s="1">
        <f>International_Education_Costs[[#This Row],[Rent_USD]] * 12 * International_Education_Costs[[#This Row],[Duration_Years]]</f>
        <v>9600</v>
      </c>
      <c r="P836" s="1">
        <f>International_Education_Costs[[#This Row],[Total_Cost]]-International_Education_Costs[[#This Row],[Tuition_USD]]</f>
        <v>10580</v>
      </c>
      <c r="Q836" s="2">
        <f>International_Education_Costs[[#This Row],[Tuition_USD]]/International_Education_Costs[[#This Row],[Total_Cost]]</f>
        <v>0.279291553133515</v>
      </c>
    </row>
    <row r="837" spans="1:17" x14ac:dyDescent="0.25">
      <c r="A837" t="s">
        <v>1214</v>
      </c>
      <c r="B837" t="s">
        <v>1265</v>
      </c>
      <c r="C837" t="s">
        <v>1266</v>
      </c>
      <c r="D837" t="s">
        <v>252</v>
      </c>
      <c r="E837" t="s">
        <v>75</v>
      </c>
      <c r="F837">
        <v>4</v>
      </c>
      <c r="G837" s="1">
        <v>2400</v>
      </c>
      <c r="H837">
        <v>43.5</v>
      </c>
      <c r="I837" s="1">
        <v>280</v>
      </c>
      <c r="J837" s="1">
        <v>90</v>
      </c>
      <c r="K837" s="1">
        <v>320</v>
      </c>
      <c r="L837">
        <v>108.5</v>
      </c>
      <c r="M83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17210</v>
      </c>
      <c r="N837" s="1">
        <f>International_Education_Costs[[#This Row],[Total_Cost]]/International_Education_Costs[[#This Row],[Duration_Years]]</f>
        <v>4302.5</v>
      </c>
      <c r="O837" s="1">
        <f>International_Education_Costs[[#This Row],[Rent_USD]] * 12 * International_Education_Costs[[#This Row],[Duration_Years]]</f>
        <v>13440</v>
      </c>
      <c r="P837" s="1">
        <f>International_Education_Costs[[#This Row],[Total_Cost]]-International_Education_Costs[[#This Row],[Tuition_USD]]</f>
        <v>14810</v>
      </c>
      <c r="Q837" s="2">
        <f>International_Education_Costs[[#This Row],[Tuition_USD]]/International_Education_Costs[[#This Row],[Total_Cost]]</f>
        <v>0.13945380592678674</v>
      </c>
    </row>
    <row r="838" spans="1:17" x14ac:dyDescent="0.25">
      <c r="A838" t="s">
        <v>1217</v>
      </c>
      <c r="B838" t="s">
        <v>1267</v>
      </c>
      <c r="C838" t="s">
        <v>1268</v>
      </c>
      <c r="D838" t="s">
        <v>242</v>
      </c>
      <c r="E838" t="s">
        <v>16</v>
      </c>
      <c r="F838">
        <v>2</v>
      </c>
      <c r="G838" s="1">
        <v>2700</v>
      </c>
      <c r="H838">
        <v>46.8</v>
      </c>
      <c r="I838" s="1">
        <v>300</v>
      </c>
      <c r="J838" s="1">
        <v>150</v>
      </c>
      <c r="K838" s="1">
        <v>280</v>
      </c>
      <c r="L838">
        <v>42150</v>
      </c>
      <c r="M83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10610</v>
      </c>
      <c r="N838" s="1">
        <f>International_Education_Costs[[#This Row],[Total_Cost]]/International_Education_Costs[[#This Row],[Duration_Years]]</f>
        <v>5305</v>
      </c>
      <c r="O838" s="1">
        <f>International_Education_Costs[[#This Row],[Rent_USD]] * 12 * International_Education_Costs[[#This Row],[Duration_Years]]</f>
        <v>7200</v>
      </c>
      <c r="P838" s="1">
        <f>International_Education_Costs[[#This Row],[Total_Cost]]-International_Education_Costs[[#This Row],[Tuition_USD]]</f>
        <v>7910</v>
      </c>
      <c r="Q838" s="2">
        <f>International_Education_Costs[[#This Row],[Tuition_USD]]/International_Education_Costs[[#This Row],[Total_Cost]]</f>
        <v>0.25447690857681432</v>
      </c>
    </row>
    <row r="839" spans="1:17" x14ac:dyDescent="0.25">
      <c r="A839" t="s">
        <v>1220</v>
      </c>
      <c r="B839" t="s">
        <v>1269</v>
      </c>
      <c r="C839" t="s">
        <v>1270</v>
      </c>
      <c r="D839" t="s">
        <v>223</v>
      </c>
      <c r="E839" t="s">
        <v>16</v>
      </c>
      <c r="F839">
        <v>2</v>
      </c>
      <c r="G839" s="1">
        <v>3400</v>
      </c>
      <c r="H839">
        <v>38.5</v>
      </c>
      <c r="I839" s="1">
        <v>200</v>
      </c>
      <c r="J839" s="1">
        <v>160</v>
      </c>
      <c r="K839" s="1">
        <v>250</v>
      </c>
      <c r="L839">
        <v>12300</v>
      </c>
      <c r="M83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8860</v>
      </c>
      <c r="N839" s="1">
        <f>International_Education_Costs[[#This Row],[Total_Cost]]/International_Education_Costs[[#This Row],[Duration_Years]]</f>
        <v>4430</v>
      </c>
      <c r="O839" s="1">
        <f>International_Education_Costs[[#This Row],[Rent_USD]] * 12 * International_Education_Costs[[#This Row],[Duration_Years]]</f>
        <v>4800</v>
      </c>
      <c r="P839" s="1">
        <f>International_Education_Costs[[#This Row],[Total_Cost]]-International_Education_Costs[[#This Row],[Tuition_USD]]</f>
        <v>5460</v>
      </c>
      <c r="Q839" s="2">
        <f>International_Education_Costs[[#This Row],[Tuition_USD]]/International_Education_Costs[[#This Row],[Total_Cost]]</f>
        <v>0.38374717832957111</v>
      </c>
    </row>
    <row r="840" spans="1:17" x14ac:dyDescent="0.25">
      <c r="A840" t="s">
        <v>1223</v>
      </c>
      <c r="B840" t="s">
        <v>1271</v>
      </c>
      <c r="C840" t="s">
        <v>1272</v>
      </c>
      <c r="D840" t="s">
        <v>20</v>
      </c>
      <c r="E840" t="s">
        <v>75</v>
      </c>
      <c r="F840">
        <v>3</v>
      </c>
      <c r="G840" s="1">
        <v>4500</v>
      </c>
      <c r="H840">
        <v>42.8</v>
      </c>
      <c r="I840" s="1">
        <v>300</v>
      </c>
      <c r="J840" s="1">
        <v>110</v>
      </c>
      <c r="K840" s="1">
        <v>300</v>
      </c>
      <c r="L840">
        <v>1</v>
      </c>
      <c r="M84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16310</v>
      </c>
      <c r="N840" s="1">
        <f>International_Education_Costs[[#This Row],[Total_Cost]]/International_Education_Costs[[#This Row],[Duration_Years]]</f>
        <v>5436.666666666667</v>
      </c>
      <c r="O840" s="1">
        <f>International_Education_Costs[[#This Row],[Rent_USD]] * 12 * International_Education_Costs[[#This Row],[Duration_Years]]</f>
        <v>10800</v>
      </c>
      <c r="P840" s="1">
        <f>International_Education_Costs[[#This Row],[Total_Cost]]-International_Education_Costs[[#This Row],[Tuition_USD]]</f>
        <v>11810</v>
      </c>
      <c r="Q840" s="2">
        <f>International_Education_Costs[[#This Row],[Tuition_USD]]/International_Education_Costs[[#This Row],[Total_Cost]]</f>
        <v>0.27590435315757206</v>
      </c>
    </row>
    <row r="841" spans="1:17" x14ac:dyDescent="0.25">
      <c r="A841" t="s">
        <v>1202</v>
      </c>
      <c r="B841" t="s">
        <v>1273</v>
      </c>
      <c r="C841" t="s">
        <v>1274</v>
      </c>
      <c r="D841" t="s">
        <v>63</v>
      </c>
      <c r="E841" t="s">
        <v>122</v>
      </c>
      <c r="F841">
        <v>4</v>
      </c>
      <c r="G841" s="1">
        <v>2300</v>
      </c>
      <c r="H841">
        <v>36.799999999999997</v>
      </c>
      <c r="I841" s="1">
        <v>160</v>
      </c>
      <c r="J841" s="1">
        <v>100</v>
      </c>
      <c r="K841" s="1">
        <v>200</v>
      </c>
      <c r="L841">
        <v>109.5</v>
      </c>
      <c r="M84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10880</v>
      </c>
      <c r="N841" s="1">
        <f>International_Education_Costs[[#This Row],[Total_Cost]]/International_Education_Costs[[#This Row],[Duration_Years]]</f>
        <v>2720</v>
      </c>
      <c r="O841" s="1">
        <f>International_Education_Costs[[#This Row],[Rent_USD]] * 12 * International_Education_Costs[[#This Row],[Duration_Years]]</f>
        <v>7680</v>
      </c>
      <c r="P841" s="1">
        <f>International_Education_Costs[[#This Row],[Total_Cost]]-International_Education_Costs[[#This Row],[Tuition_USD]]</f>
        <v>8580</v>
      </c>
      <c r="Q841" s="2">
        <f>International_Education_Costs[[#This Row],[Tuition_USD]]/International_Education_Costs[[#This Row],[Total_Cost]]</f>
        <v>0.21139705882352941</v>
      </c>
    </row>
    <row r="842" spans="1:17" x14ac:dyDescent="0.25">
      <c r="A842" t="s">
        <v>1205</v>
      </c>
      <c r="B842" t="s">
        <v>1275</v>
      </c>
      <c r="C842" t="s">
        <v>1276</v>
      </c>
      <c r="D842" t="s">
        <v>208</v>
      </c>
      <c r="E842" t="s">
        <v>16</v>
      </c>
      <c r="F842">
        <v>2</v>
      </c>
      <c r="G842" s="1">
        <v>13000</v>
      </c>
      <c r="H842">
        <v>64.5</v>
      </c>
      <c r="I842" s="1">
        <v>650</v>
      </c>
      <c r="J842" s="1">
        <v>140</v>
      </c>
      <c r="K842" s="1">
        <v>700</v>
      </c>
      <c r="L842">
        <v>0.31</v>
      </c>
      <c r="M84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30140</v>
      </c>
      <c r="N842" s="1">
        <f>International_Education_Costs[[#This Row],[Total_Cost]]/International_Education_Costs[[#This Row],[Duration_Years]]</f>
        <v>15070</v>
      </c>
      <c r="O842" s="1">
        <f>International_Education_Costs[[#This Row],[Rent_USD]] * 12 * International_Education_Costs[[#This Row],[Duration_Years]]</f>
        <v>15600</v>
      </c>
      <c r="P842" s="1">
        <f>International_Education_Costs[[#This Row],[Total_Cost]]-International_Education_Costs[[#This Row],[Tuition_USD]]</f>
        <v>17140</v>
      </c>
      <c r="Q842" s="2">
        <f>International_Education_Costs[[#This Row],[Tuition_USD]]/International_Education_Costs[[#This Row],[Total_Cost]]</f>
        <v>0.43132050431320507</v>
      </c>
    </row>
    <row r="843" spans="1:17" x14ac:dyDescent="0.25">
      <c r="A843" t="s">
        <v>1208</v>
      </c>
      <c r="B843" t="s">
        <v>1277</v>
      </c>
      <c r="C843" t="s">
        <v>1278</v>
      </c>
      <c r="D843" t="s">
        <v>71</v>
      </c>
      <c r="E843" t="s">
        <v>16</v>
      </c>
      <c r="F843">
        <v>2</v>
      </c>
      <c r="G843" s="1">
        <v>3300</v>
      </c>
      <c r="H843">
        <v>40.5</v>
      </c>
      <c r="I843" s="1">
        <v>300</v>
      </c>
      <c r="J843" s="1">
        <v>120</v>
      </c>
      <c r="K843" s="1">
        <v>300</v>
      </c>
      <c r="L843">
        <v>36.799999999999997</v>
      </c>
      <c r="M84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11220</v>
      </c>
      <c r="N843" s="1">
        <f>International_Education_Costs[[#This Row],[Total_Cost]]/International_Education_Costs[[#This Row],[Duration_Years]]</f>
        <v>5610</v>
      </c>
      <c r="O843" s="1">
        <f>International_Education_Costs[[#This Row],[Rent_USD]] * 12 * International_Education_Costs[[#This Row],[Duration_Years]]</f>
        <v>7200</v>
      </c>
      <c r="P843" s="1">
        <f>International_Education_Costs[[#This Row],[Total_Cost]]-International_Education_Costs[[#This Row],[Tuition_USD]]</f>
        <v>7920</v>
      </c>
      <c r="Q843" s="2">
        <f>International_Education_Costs[[#This Row],[Tuition_USD]]/International_Education_Costs[[#This Row],[Total_Cost]]</f>
        <v>0.29411764705882354</v>
      </c>
    </row>
    <row r="844" spans="1:17" x14ac:dyDescent="0.25">
      <c r="A844" t="s">
        <v>1211</v>
      </c>
      <c r="B844" t="s">
        <v>1279</v>
      </c>
      <c r="C844" t="s">
        <v>1280</v>
      </c>
      <c r="D844" t="s">
        <v>216</v>
      </c>
      <c r="E844" t="s">
        <v>75</v>
      </c>
      <c r="F844">
        <v>3</v>
      </c>
      <c r="G844" s="1">
        <v>3900</v>
      </c>
      <c r="H844">
        <v>55.4</v>
      </c>
      <c r="I844" s="1">
        <v>380</v>
      </c>
      <c r="J844" s="1">
        <v>80</v>
      </c>
      <c r="K844" s="1">
        <v>450</v>
      </c>
      <c r="L844">
        <v>0.92</v>
      </c>
      <c r="M84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19010</v>
      </c>
      <c r="N844" s="1">
        <f>International_Education_Costs[[#This Row],[Total_Cost]]/International_Education_Costs[[#This Row],[Duration_Years]]</f>
        <v>6336.666666666667</v>
      </c>
      <c r="O844" s="1">
        <f>International_Education_Costs[[#This Row],[Rent_USD]] * 12 * International_Education_Costs[[#This Row],[Duration_Years]]</f>
        <v>13680</v>
      </c>
      <c r="P844" s="1">
        <f>International_Education_Costs[[#This Row],[Total_Cost]]-International_Education_Costs[[#This Row],[Tuition_USD]]</f>
        <v>15110</v>
      </c>
      <c r="Q844" s="2">
        <f>International_Education_Costs[[#This Row],[Tuition_USD]]/International_Education_Costs[[#This Row],[Total_Cost]]</f>
        <v>0.20515518148342976</v>
      </c>
    </row>
    <row r="845" spans="1:17" x14ac:dyDescent="0.25">
      <c r="A845" t="s">
        <v>1214</v>
      </c>
      <c r="B845" t="s">
        <v>1281</v>
      </c>
      <c r="C845" t="s">
        <v>1282</v>
      </c>
      <c r="D845" t="s">
        <v>15</v>
      </c>
      <c r="E845" t="s">
        <v>16</v>
      </c>
      <c r="F845">
        <v>2</v>
      </c>
      <c r="G845" s="1">
        <v>2300</v>
      </c>
      <c r="H845">
        <v>42.8</v>
      </c>
      <c r="I845" s="1">
        <v>270</v>
      </c>
      <c r="J845" s="1">
        <v>90</v>
      </c>
      <c r="K845" s="1">
        <v>320</v>
      </c>
      <c r="L845">
        <v>108.5</v>
      </c>
      <c r="M84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9510</v>
      </c>
      <c r="N845" s="1">
        <f>International_Education_Costs[[#This Row],[Total_Cost]]/International_Education_Costs[[#This Row],[Duration_Years]]</f>
        <v>4755</v>
      </c>
      <c r="O845" s="1">
        <f>International_Education_Costs[[#This Row],[Rent_USD]] * 12 * International_Education_Costs[[#This Row],[Duration_Years]]</f>
        <v>6480</v>
      </c>
      <c r="P845" s="1">
        <f>International_Education_Costs[[#This Row],[Total_Cost]]-International_Education_Costs[[#This Row],[Tuition_USD]]</f>
        <v>7210</v>
      </c>
      <c r="Q845" s="2">
        <f>International_Education_Costs[[#This Row],[Tuition_USD]]/International_Education_Costs[[#This Row],[Total_Cost]]</f>
        <v>0.24185068349106204</v>
      </c>
    </row>
    <row r="846" spans="1:17" x14ac:dyDescent="0.25">
      <c r="A846" t="s">
        <v>1217</v>
      </c>
      <c r="B846" t="s">
        <v>1283</v>
      </c>
      <c r="C846" t="s">
        <v>1284</v>
      </c>
      <c r="D846" t="s">
        <v>40</v>
      </c>
      <c r="E846" t="s">
        <v>122</v>
      </c>
      <c r="F846">
        <v>4</v>
      </c>
      <c r="G846" s="1">
        <v>2600</v>
      </c>
      <c r="H846">
        <v>45.5</v>
      </c>
      <c r="I846" s="1">
        <v>280</v>
      </c>
      <c r="J846" s="1">
        <v>150</v>
      </c>
      <c r="K846" s="1">
        <v>280</v>
      </c>
      <c r="L846">
        <v>42150</v>
      </c>
      <c r="M84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17310</v>
      </c>
      <c r="N846" s="1">
        <f>International_Education_Costs[[#This Row],[Total_Cost]]/International_Education_Costs[[#This Row],[Duration_Years]]</f>
        <v>4327.5</v>
      </c>
      <c r="O846" s="1">
        <f>International_Education_Costs[[#This Row],[Rent_USD]] * 12 * International_Education_Costs[[#This Row],[Duration_Years]]</f>
        <v>13440</v>
      </c>
      <c r="P846" s="1">
        <f>International_Education_Costs[[#This Row],[Total_Cost]]-International_Education_Costs[[#This Row],[Tuition_USD]]</f>
        <v>14710</v>
      </c>
      <c r="Q846" s="2">
        <f>International_Education_Costs[[#This Row],[Tuition_USD]]/International_Education_Costs[[#This Row],[Total_Cost]]</f>
        <v>0.15020219526285383</v>
      </c>
    </row>
    <row r="847" spans="1:17" x14ac:dyDescent="0.25">
      <c r="A847" t="s">
        <v>1220</v>
      </c>
      <c r="B847" t="s">
        <v>1285</v>
      </c>
      <c r="C847" t="s">
        <v>1286</v>
      </c>
      <c r="D847" t="s">
        <v>242</v>
      </c>
      <c r="E847" t="s">
        <v>16</v>
      </c>
      <c r="F847">
        <v>2</v>
      </c>
      <c r="G847" s="1">
        <v>3200</v>
      </c>
      <c r="H847">
        <v>37.799999999999997</v>
      </c>
      <c r="I847" s="1">
        <v>180</v>
      </c>
      <c r="J847" s="1">
        <v>160</v>
      </c>
      <c r="K847" s="1">
        <v>250</v>
      </c>
      <c r="L847">
        <v>12300</v>
      </c>
      <c r="M84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8180</v>
      </c>
      <c r="N847" s="1">
        <f>International_Education_Costs[[#This Row],[Total_Cost]]/International_Education_Costs[[#This Row],[Duration_Years]]</f>
        <v>4090</v>
      </c>
      <c r="O847" s="1">
        <f>International_Education_Costs[[#This Row],[Rent_USD]] * 12 * International_Education_Costs[[#This Row],[Duration_Years]]</f>
        <v>4320</v>
      </c>
      <c r="P847" s="1">
        <f>International_Education_Costs[[#This Row],[Total_Cost]]-International_Education_Costs[[#This Row],[Tuition_USD]]</f>
        <v>4980</v>
      </c>
      <c r="Q847" s="2">
        <f>International_Education_Costs[[#This Row],[Tuition_USD]]/International_Education_Costs[[#This Row],[Total_Cost]]</f>
        <v>0.39119804400977998</v>
      </c>
    </row>
    <row r="848" spans="1:17" x14ac:dyDescent="0.25">
      <c r="A848" t="s">
        <v>1223</v>
      </c>
      <c r="B848" t="s">
        <v>1287</v>
      </c>
      <c r="C848" t="s">
        <v>1288</v>
      </c>
      <c r="D848" t="s">
        <v>63</v>
      </c>
      <c r="E848" t="s">
        <v>75</v>
      </c>
      <c r="F848">
        <v>4</v>
      </c>
      <c r="G848" s="1">
        <v>4200</v>
      </c>
      <c r="H848">
        <v>42.1</v>
      </c>
      <c r="I848" s="1">
        <v>280</v>
      </c>
      <c r="J848" s="1">
        <v>110</v>
      </c>
      <c r="K848" s="1">
        <v>300</v>
      </c>
      <c r="L848">
        <v>1</v>
      </c>
      <c r="M84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18950</v>
      </c>
      <c r="N848" s="1">
        <f>International_Education_Costs[[#This Row],[Total_Cost]]/International_Education_Costs[[#This Row],[Duration_Years]]</f>
        <v>4737.5</v>
      </c>
      <c r="O848" s="1">
        <f>International_Education_Costs[[#This Row],[Rent_USD]] * 12 * International_Education_Costs[[#This Row],[Duration_Years]]</f>
        <v>13440</v>
      </c>
      <c r="P848" s="1">
        <f>International_Education_Costs[[#This Row],[Total_Cost]]-International_Education_Costs[[#This Row],[Tuition_USD]]</f>
        <v>14750</v>
      </c>
      <c r="Q848" s="2">
        <f>International_Education_Costs[[#This Row],[Tuition_USD]]/International_Education_Costs[[#This Row],[Total_Cost]]</f>
        <v>0.22163588390501318</v>
      </c>
    </row>
    <row r="849" spans="1:17" x14ac:dyDescent="0.25">
      <c r="A849" t="s">
        <v>168</v>
      </c>
      <c r="B849" t="s">
        <v>169</v>
      </c>
      <c r="C849" t="s">
        <v>170</v>
      </c>
      <c r="D849" t="s">
        <v>15</v>
      </c>
      <c r="E849" t="s">
        <v>16</v>
      </c>
      <c r="F849">
        <v>2</v>
      </c>
      <c r="G849" s="1">
        <v>8500</v>
      </c>
      <c r="H849">
        <v>55.4</v>
      </c>
      <c r="I849" s="1">
        <v>500</v>
      </c>
      <c r="J849" s="1">
        <v>120</v>
      </c>
      <c r="K849" s="1">
        <v>400</v>
      </c>
      <c r="L849">
        <v>4.6500000000000004</v>
      </c>
      <c r="M84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21420</v>
      </c>
      <c r="N849" s="1">
        <f>International_Education_Costs[[#This Row],[Total_Cost]]/International_Education_Costs[[#This Row],[Duration_Years]]</f>
        <v>10710</v>
      </c>
      <c r="O849" s="1">
        <f>International_Education_Costs[[#This Row],[Rent_USD]] * 12 * International_Education_Costs[[#This Row],[Duration_Years]]</f>
        <v>12000</v>
      </c>
      <c r="P849" s="1">
        <f>International_Education_Costs[[#This Row],[Total_Cost]]-International_Education_Costs[[#This Row],[Tuition_USD]]</f>
        <v>12920</v>
      </c>
      <c r="Q849" s="2">
        <f>International_Education_Costs[[#This Row],[Tuition_USD]]/International_Education_Costs[[#This Row],[Total_Cost]]</f>
        <v>0.3968253968253968</v>
      </c>
    </row>
    <row r="850" spans="1:17" x14ac:dyDescent="0.25">
      <c r="A850" t="s">
        <v>375</v>
      </c>
      <c r="B850" t="s">
        <v>376</v>
      </c>
      <c r="C850" t="s">
        <v>377</v>
      </c>
      <c r="D850" t="s">
        <v>20</v>
      </c>
      <c r="E850" t="s">
        <v>122</v>
      </c>
      <c r="F850">
        <v>4</v>
      </c>
      <c r="G850" s="1">
        <v>5000</v>
      </c>
      <c r="H850">
        <v>72.5</v>
      </c>
      <c r="I850" s="1">
        <v>800</v>
      </c>
      <c r="J850" s="1">
        <v>200</v>
      </c>
      <c r="K850" s="1">
        <v>800</v>
      </c>
      <c r="L850">
        <v>3.75</v>
      </c>
      <c r="M85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46800</v>
      </c>
      <c r="N850" s="1">
        <f>International_Education_Costs[[#This Row],[Total_Cost]]/International_Education_Costs[[#This Row],[Duration_Years]]</f>
        <v>11700</v>
      </c>
      <c r="O850" s="1">
        <f>International_Education_Costs[[#This Row],[Rent_USD]] * 12 * International_Education_Costs[[#This Row],[Duration_Years]]</f>
        <v>38400</v>
      </c>
      <c r="P850" s="1">
        <f>International_Education_Costs[[#This Row],[Total_Cost]]-International_Education_Costs[[#This Row],[Tuition_USD]]</f>
        <v>41800</v>
      </c>
      <c r="Q850" s="2">
        <f>International_Education_Costs[[#This Row],[Tuition_USD]]/International_Education_Costs[[#This Row],[Total_Cost]]</f>
        <v>0.10683760683760683</v>
      </c>
    </row>
    <row r="851" spans="1:17" x14ac:dyDescent="0.25">
      <c r="A851" t="s">
        <v>12</v>
      </c>
      <c r="B851" t="s">
        <v>123</v>
      </c>
      <c r="C851" t="s">
        <v>14</v>
      </c>
      <c r="D851" t="s">
        <v>40</v>
      </c>
      <c r="E851" t="s">
        <v>16</v>
      </c>
      <c r="F851">
        <v>2</v>
      </c>
      <c r="G851" s="1">
        <v>58000</v>
      </c>
      <c r="H851">
        <v>82.1</v>
      </c>
      <c r="I851" s="1">
        <v>2200</v>
      </c>
      <c r="J851" s="1">
        <v>160</v>
      </c>
      <c r="K851" s="1">
        <v>1500</v>
      </c>
      <c r="L851">
        <v>1</v>
      </c>
      <c r="M85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113960</v>
      </c>
      <c r="N851" s="1">
        <f>International_Education_Costs[[#This Row],[Total_Cost]]/International_Education_Costs[[#This Row],[Duration_Years]]</f>
        <v>56980</v>
      </c>
      <c r="O851" s="1">
        <f>International_Education_Costs[[#This Row],[Rent_USD]] * 12 * International_Education_Costs[[#This Row],[Duration_Years]]</f>
        <v>52800</v>
      </c>
      <c r="P851" s="1">
        <f>International_Education_Costs[[#This Row],[Total_Cost]]-International_Education_Costs[[#This Row],[Tuition_USD]]</f>
        <v>55960</v>
      </c>
      <c r="Q851" s="2">
        <f>International_Education_Costs[[#This Row],[Tuition_USD]]/International_Education_Costs[[#This Row],[Total_Cost]]</f>
        <v>0.50895050895050897</v>
      </c>
    </row>
    <row r="852" spans="1:17" x14ac:dyDescent="0.25">
      <c r="A852" t="s">
        <v>17</v>
      </c>
      <c r="B852" t="s">
        <v>18</v>
      </c>
      <c r="C852" t="s">
        <v>1289</v>
      </c>
      <c r="D852" t="s">
        <v>63</v>
      </c>
      <c r="E852" t="s">
        <v>16</v>
      </c>
      <c r="F852">
        <v>2</v>
      </c>
      <c r="G852" s="1">
        <v>42000</v>
      </c>
      <c r="H852">
        <v>75.3</v>
      </c>
      <c r="I852" s="1">
        <v>1800</v>
      </c>
      <c r="J852" s="1">
        <v>485</v>
      </c>
      <c r="K852" s="1">
        <v>800</v>
      </c>
      <c r="L852">
        <v>0.79</v>
      </c>
      <c r="M85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87285</v>
      </c>
      <c r="N852" s="1">
        <f>International_Education_Costs[[#This Row],[Total_Cost]]/International_Education_Costs[[#This Row],[Duration_Years]]</f>
        <v>43642.5</v>
      </c>
      <c r="O852" s="1">
        <f>International_Education_Costs[[#This Row],[Rent_USD]] * 12 * International_Education_Costs[[#This Row],[Duration_Years]]</f>
        <v>43200</v>
      </c>
      <c r="P852" s="1">
        <f>International_Education_Costs[[#This Row],[Total_Cost]]-International_Education_Costs[[#This Row],[Tuition_USD]]</f>
        <v>45285</v>
      </c>
      <c r="Q852" s="2">
        <f>International_Education_Costs[[#This Row],[Tuition_USD]]/International_Education_Costs[[#This Row],[Total_Cost]]</f>
        <v>0.48118233373431862</v>
      </c>
    </row>
    <row r="853" spans="1:17" x14ac:dyDescent="0.25">
      <c r="A853" t="s">
        <v>184</v>
      </c>
      <c r="B853" t="s">
        <v>754</v>
      </c>
      <c r="C853" t="s">
        <v>1290</v>
      </c>
      <c r="D853" t="s">
        <v>208</v>
      </c>
      <c r="E853" t="s">
        <v>122</v>
      </c>
      <c r="F853">
        <v>4</v>
      </c>
      <c r="G853" s="1">
        <v>3500</v>
      </c>
      <c r="H853">
        <v>71.400000000000006</v>
      </c>
      <c r="I853" s="1">
        <v>1100</v>
      </c>
      <c r="J853" s="1">
        <v>80</v>
      </c>
      <c r="K853" s="1">
        <v>750</v>
      </c>
      <c r="L853">
        <v>0.92</v>
      </c>
      <c r="M85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59380</v>
      </c>
      <c r="N853" s="1">
        <f>International_Education_Costs[[#This Row],[Total_Cost]]/International_Education_Costs[[#This Row],[Duration_Years]]</f>
        <v>14845</v>
      </c>
      <c r="O853" s="1">
        <f>International_Education_Costs[[#This Row],[Rent_USD]] * 12 * International_Education_Costs[[#This Row],[Duration_Years]]</f>
        <v>52800</v>
      </c>
      <c r="P853" s="1">
        <f>International_Education_Costs[[#This Row],[Total_Cost]]-International_Education_Costs[[#This Row],[Tuition_USD]]</f>
        <v>55880</v>
      </c>
      <c r="Q853" s="2">
        <f>International_Education_Costs[[#This Row],[Tuition_USD]]/International_Education_Costs[[#This Row],[Total_Cost]]</f>
        <v>5.8942404850117883E-2</v>
      </c>
    </row>
    <row r="854" spans="1:17" x14ac:dyDescent="0.25">
      <c r="A854" t="s">
        <v>187</v>
      </c>
      <c r="B854" t="s">
        <v>188</v>
      </c>
      <c r="C854" t="s">
        <v>189</v>
      </c>
      <c r="D854" t="s">
        <v>71</v>
      </c>
      <c r="E854" t="s">
        <v>16</v>
      </c>
      <c r="F854">
        <v>2</v>
      </c>
      <c r="G854" s="1">
        <v>4000</v>
      </c>
      <c r="H854">
        <v>73.2</v>
      </c>
      <c r="I854" s="1">
        <v>1200</v>
      </c>
      <c r="J854" s="1">
        <v>120</v>
      </c>
      <c r="K854" s="1">
        <v>700</v>
      </c>
      <c r="L854">
        <v>0.92</v>
      </c>
      <c r="M85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34320</v>
      </c>
      <c r="N854" s="1">
        <f>International_Education_Costs[[#This Row],[Total_Cost]]/International_Education_Costs[[#This Row],[Duration_Years]]</f>
        <v>17160</v>
      </c>
      <c r="O854" s="1">
        <f>International_Education_Costs[[#This Row],[Rent_USD]] * 12 * International_Education_Costs[[#This Row],[Duration_Years]]</f>
        <v>28800</v>
      </c>
      <c r="P854" s="1">
        <f>International_Education_Costs[[#This Row],[Total_Cost]]-International_Education_Costs[[#This Row],[Tuition_USD]]</f>
        <v>30320</v>
      </c>
      <c r="Q854" s="2">
        <f>International_Education_Costs[[#This Row],[Tuition_USD]]/International_Education_Costs[[#This Row],[Total_Cost]]</f>
        <v>0.11655011655011654</v>
      </c>
    </row>
    <row r="855" spans="1:17" x14ac:dyDescent="0.25">
      <c r="A855" t="s">
        <v>44</v>
      </c>
      <c r="B855" t="s">
        <v>45</v>
      </c>
      <c r="C855" t="s">
        <v>46</v>
      </c>
      <c r="D855" t="s">
        <v>15</v>
      </c>
      <c r="E855" t="s">
        <v>16</v>
      </c>
      <c r="F855">
        <v>2</v>
      </c>
      <c r="G855" s="1">
        <v>4500</v>
      </c>
      <c r="H855">
        <v>84.3</v>
      </c>
      <c r="I855" s="1">
        <v>1800</v>
      </c>
      <c r="J855" s="1">
        <v>99</v>
      </c>
      <c r="K855" s="1">
        <v>850</v>
      </c>
      <c r="L855">
        <v>0.92</v>
      </c>
      <c r="M85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49499</v>
      </c>
      <c r="N855" s="1">
        <f>International_Education_Costs[[#This Row],[Total_Cost]]/International_Education_Costs[[#This Row],[Duration_Years]]</f>
        <v>24749.5</v>
      </c>
      <c r="O855" s="1">
        <f>International_Education_Costs[[#This Row],[Rent_USD]] * 12 * International_Education_Costs[[#This Row],[Duration_Years]]</f>
        <v>43200</v>
      </c>
      <c r="P855" s="1">
        <f>International_Education_Costs[[#This Row],[Total_Cost]]-International_Education_Costs[[#This Row],[Tuition_USD]]</f>
        <v>44999</v>
      </c>
      <c r="Q855" s="2">
        <f>International_Education_Costs[[#This Row],[Tuition_USD]]/International_Education_Costs[[#This Row],[Total_Cost]]</f>
        <v>9.0910927493484714E-2</v>
      </c>
    </row>
    <row r="856" spans="1:17" x14ac:dyDescent="0.25">
      <c r="A856" t="s">
        <v>168</v>
      </c>
      <c r="B856" t="s">
        <v>1291</v>
      </c>
      <c r="C856" t="s">
        <v>1292</v>
      </c>
      <c r="D856" t="s">
        <v>216</v>
      </c>
      <c r="E856" t="s">
        <v>75</v>
      </c>
      <c r="F856">
        <v>3</v>
      </c>
      <c r="G856" s="1">
        <v>7500</v>
      </c>
      <c r="H856">
        <v>52.1</v>
      </c>
      <c r="I856" s="1">
        <v>450</v>
      </c>
      <c r="J856" s="1">
        <v>120</v>
      </c>
      <c r="K856" s="1">
        <v>400</v>
      </c>
      <c r="L856">
        <v>4.6500000000000004</v>
      </c>
      <c r="M85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25020</v>
      </c>
      <c r="N856" s="1">
        <f>International_Education_Costs[[#This Row],[Total_Cost]]/International_Education_Costs[[#This Row],[Duration_Years]]</f>
        <v>8340</v>
      </c>
      <c r="O856" s="1">
        <f>International_Education_Costs[[#This Row],[Rent_USD]] * 12 * International_Education_Costs[[#This Row],[Duration_Years]]</f>
        <v>16200</v>
      </c>
      <c r="P856" s="1">
        <f>International_Education_Costs[[#This Row],[Total_Cost]]-International_Education_Costs[[#This Row],[Tuition_USD]]</f>
        <v>17520</v>
      </c>
      <c r="Q856" s="2">
        <f>International_Education_Costs[[#This Row],[Tuition_USD]]/International_Education_Costs[[#This Row],[Total_Cost]]</f>
        <v>0.29976019184652281</v>
      </c>
    </row>
    <row r="857" spans="1:17" x14ac:dyDescent="0.25">
      <c r="A857" t="s">
        <v>375</v>
      </c>
      <c r="B857" t="s">
        <v>1293</v>
      </c>
      <c r="C857" t="s">
        <v>1294</v>
      </c>
      <c r="D857" t="s">
        <v>252</v>
      </c>
      <c r="E857" t="s">
        <v>16</v>
      </c>
      <c r="F857">
        <v>2</v>
      </c>
      <c r="G857" s="1">
        <v>4800</v>
      </c>
      <c r="H857">
        <v>70.2</v>
      </c>
      <c r="I857" s="1">
        <v>750</v>
      </c>
      <c r="J857" s="1">
        <v>200</v>
      </c>
      <c r="K857" s="1">
        <v>800</v>
      </c>
      <c r="L857">
        <v>3.75</v>
      </c>
      <c r="M85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24600</v>
      </c>
      <c r="N857" s="1">
        <f>International_Education_Costs[[#This Row],[Total_Cost]]/International_Education_Costs[[#This Row],[Duration_Years]]</f>
        <v>12300</v>
      </c>
      <c r="O857" s="1">
        <f>International_Education_Costs[[#This Row],[Rent_USD]] * 12 * International_Education_Costs[[#This Row],[Duration_Years]]</f>
        <v>18000</v>
      </c>
      <c r="P857" s="1">
        <f>International_Education_Costs[[#This Row],[Total_Cost]]-International_Education_Costs[[#This Row],[Tuition_USD]]</f>
        <v>19800</v>
      </c>
      <c r="Q857" s="2">
        <f>International_Education_Costs[[#This Row],[Tuition_USD]]/International_Education_Costs[[#This Row],[Total_Cost]]</f>
        <v>0.1951219512195122</v>
      </c>
    </row>
    <row r="858" spans="1:17" x14ac:dyDescent="0.25">
      <c r="A858" t="s">
        <v>12</v>
      </c>
      <c r="B858" t="s">
        <v>120</v>
      </c>
      <c r="C858" t="s">
        <v>121</v>
      </c>
      <c r="D858" t="s">
        <v>15</v>
      </c>
      <c r="E858" t="s">
        <v>122</v>
      </c>
      <c r="F858">
        <v>5</v>
      </c>
      <c r="G858" s="1">
        <v>52000</v>
      </c>
      <c r="H858">
        <v>84.3</v>
      </c>
      <c r="I858" s="1">
        <v>2300</v>
      </c>
      <c r="J858" s="1">
        <v>160</v>
      </c>
      <c r="K858" s="1">
        <v>1500</v>
      </c>
      <c r="L858">
        <v>1</v>
      </c>
      <c r="M85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197660</v>
      </c>
      <c r="N858" s="1">
        <f>International_Education_Costs[[#This Row],[Total_Cost]]/International_Education_Costs[[#This Row],[Duration_Years]]</f>
        <v>39532</v>
      </c>
      <c r="O858" s="1">
        <f>International_Education_Costs[[#This Row],[Rent_USD]] * 12 * International_Education_Costs[[#This Row],[Duration_Years]]</f>
        <v>138000</v>
      </c>
      <c r="P858" s="1">
        <f>International_Education_Costs[[#This Row],[Total_Cost]]-International_Education_Costs[[#This Row],[Tuition_USD]]</f>
        <v>145660</v>
      </c>
      <c r="Q858" s="2">
        <f>International_Education_Costs[[#This Row],[Tuition_USD]]/International_Education_Costs[[#This Row],[Total_Cost]]</f>
        <v>0.26307801274916526</v>
      </c>
    </row>
    <row r="859" spans="1:17" x14ac:dyDescent="0.25">
      <c r="A859" t="s">
        <v>17</v>
      </c>
      <c r="B859" t="s">
        <v>13</v>
      </c>
      <c r="C859" t="s">
        <v>128</v>
      </c>
      <c r="D859" t="s">
        <v>40</v>
      </c>
      <c r="E859" t="s">
        <v>122</v>
      </c>
      <c r="F859">
        <v>4</v>
      </c>
      <c r="G859" s="1">
        <v>45000</v>
      </c>
      <c r="H859">
        <v>71.5</v>
      </c>
      <c r="I859" s="1">
        <v>1600</v>
      </c>
      <c r="J859" s="1">
        <v>485</v>
      </c>
      <c r="K859" s="1">
        <v>800</v>
      </c>
      <c r="L859">
        <v>0.79</v>
      </c>
      <c r="M85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125485</v>
      </c>
      <c r="N859" s="1">
        <f>International_Education_Costs[[#This Row],[Total_Cost]]/International_Education_Costs[[#This Row],[Duration_Years]]</f>
        <v>31371.25</v>
      </c>
      <c r="O859" s="1">
        <f>International_Education_Costs[[#This Row],[Rent_USD]] * 12 * International_Education_Costs[[#This Row],[Duration_Years]]</f>
        <v>76800</v>
      </c>
      <c r="P859" s="1">
        <f>International_Education_Costs[[#This Row],[Total_Cost]]-International_Education_Costs[[#This Row],[Tuition_USD]]</f>
        <v>80485</v>
      </c>
      <c r="Q859" s="2">
        <f>International_Education_Costs[[#This Row],[Tuition_USD]]/International_Education_Costs[[#This Row],[Total_Cost]]</f>
        <v>0.35860859863728733</v>
      </c>
    </row>
    <row r="860" spans="1:17" x14ac:dyDescent="0.25">
      <c r="A860" t="s">
        <v>184</v>
      </c>
      <c r="B860" t="s">
        <v>185</v>
      </c>
      <c r="C860" t="s">
        <v>1295</v>
      </c>
      <c r="D860" t="s">
        <v>20</v>
      </c>
      <c r="E860" t="s">
        <v>16</v>
      </c>
      <c r="F860">
        <v>2</v>
      </c>
      <c r="G860" s="1">
        <v>3800</v>
      </c>
      <c r="H860">
        <v>73.599999999999994</v>
      </c>
      <c r="I860" s="1">
        <v>1000</v>
      </c>
      <c r="J860" s="1">
        <v>80</v>
      </c>
      <c r="K860" s="1">
        <v>750</v>
      </c>
      <c r="L860">
        <v>0.92</v>
      </c>
      <c r="M86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29380</v>
      </c>
      <c r="N860" s="1">
        <f>International_Education_Costs[[#This Row],[Total_Cost]]/International_Education_Costs[[#This Row],[Duration_Years]]</f>
        <v>14690</v>
      </c>
      <c r="O860" s="1">
        <f>International_Education_Costs[[#This Row],[Rent_USD]] * 12 * International_Education_Costs[[#This Row],[Duration_Years]]</f>
        <v>24000</v>
      </c>
      <c r="P860" s="1">
        <f>International_Education_Costs[[#This Row],[Total_Cost]]-International_Education_Costs[[#This Row],[Tuition_USD]]</f>
        <v>25580</v>
      </c>
      <c r="Q860" s="2">
        <f>International_Education_Costs[[#This Row],[Tuition_USD]]/International_Education_Costs[[#This Row],[Total_Cost]]</f>
        <v>0.12933968686181074</v>
      </c>
    </row>
    <row r="861" spans="1:17" x14ac:dyDescent="0.25">
      <c r="A861" t="s">
        <v>187</v>
      </c>
      <c r="B861" t="s">
        <v>756</v>
      </c>
      <c r="C861" t="s">
        <v>757</v>
      </c>
      <c r="D861" t="s">
        <v>208</v>
      </c>
      <c r="E861" t="s">
        <v>75</v>
      </c>
      <c r="F861">
        <v>3</v>
      </c>
      <c r="G861" s="1">
        <v>3500</v>
      </c>
      <c r="H861">
        <v>71.2</v>
      </c>
      <c r="I861" s="1">
        <v>1100</v>
      </c>
      <c r="J861" s="1">
        <v>120</v>
      </c>
      <c r="K861" s="1">
        <v>700</v>
      </c>
      <c r="L861">
        <v>0.92</v>
      </c>
      <c r="M86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45320</v>
      </c>
      <c r="N861" s="1">
        <f>International_Education_Costs[[#This Row],[Total_Cost]]/International_Education_Costs[[#This Row],[Duration_Years]]</f>
        <v>15106.666666666666</v>
      </c>
      <c r="O861" s="1">
        <f>International_Education_Costs[[#This Row],[Rent_USD]] * 12 * International_Education_Costs[[#This Row],[Duration_Years]]</f>
        <v>39600</v>
      </c>
      <c r="P861" s="1">
        <f>International_Education_Costs[[#This Row],[Total_Cost]]-International_Education_Costs[[#This Row],[Tuition_USD]]</f>
        <v>41820</v>
      </c>
      <c r="Q861" s="2">
        <f>International_Education_Costs[[#This Row],[Tuition_USD]]/International_Education_Costs[[#This Row],[Total_Cost]]</f>
        <v>7.7228596646072373E-2</v>
      </c>
    </row>
    <row r="862" spans="1:17" x14ac:dyDescent="0.25">
      <c r="A862" t="s">
        <v>44</v>
      </c>
      <c r="B862" t="s">
        <v>419</v>
      </c>
      <c r="C862" t="s">
        <v>1364</v>
      </c>
      <c r="D862" t="s">
        <v>63</v>
      </c>
      <c r="E862" t="s">
        <v>16</v>
      </c>
      <c r="F862">
        <v>2</v>
      </c>
      <c r="G862" s="1">
        <v>4200</v>
      </c>
      <c r="H862">
        <v>75.599999999999994</v>
      </c>
      <c r="I862" s="1">
        <v>1200</v>
      </c>
      <c r="J862" s="1">
        <v>99</v>
      </c>
      <c r="K862" s="1">
        <v>850</v>
      </c>
      <c r="L862">
        <v>0.92</v>
      </c>
      <c r="M86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34799</v>
      </c>
      <c r="N862" s="1">
        <f>International_Education_Costs[[#This Row],[Total_Cost]]/International_Education_Costs[[#This Row],[Duration_Years]]</f>
        <v>17399.5</v>
      </c>
      <c r="O862" s="1">
        <f>International_Education_Costs[[#This Row],[Rent_USD]] * 12 * International_Education_Costs[[#This Row],[Duration_Years]]</f>
        <v>28800</v>
      </c>
      <c r="P862" s="1">
        <f>International_Education_Costs[[#This Row],[Total_Cost]]-International_Education_Costs[[#This Row],[Tuition_USD]]</f>
        <v>30599</v>
      </c>
      <c r="Q862" s="2">
        <f>International_Education_Costs[[#This Row],[Tuition_USD]]/International_Education_Costs[[#This Row],[Total_Cost]]</f>
        <v>0.12069312336561396</v>
      </c>
    </row>
    <row r="863" spans="1:17" x14ac:dyDescent="0.25">
      <c r="A863" t="s">
        <v>168</v>
      </c>
      <c r="B863" t="s">
        <v>1296</v>
      </c>
      <c r="C863" t="s">
        <v>1297</v>
      </c>
      <c r="D863" t="s">
        <v>71</v>
      </c>
      <c r="E863" t="s">
        <v>122</v>
      </c>
      <c r="F863">
        <v>4</v>
      </c>
      <c r="G863" s="1">
        <v>8000</v>
      </c>
      <c r="H863">
        <v>51.8</v>
      </c>
      <c r="I863" s="1">
        <v>400</v>
      </c>
      <c r="J863" s="1">
        <v>120</v>
      </c>
      <c r="K863" s="1">
        <v>400</v>
      </c>
      <c r="L863">
        <v>4.6500000000000004</v>
      </c>
      <c r="M86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28920</v>
      </c>
      <c r="N863" s="1">
        <f>International_Education_Costs[[#This Row],[Total_Cost]]/International_Education_Costs[[#This Row],[Duration_Years]]</f>
        <v>7230</v>
      </c>
      <c r="O863" s="1">
        <f>International_Education_Costs[[#This Row],[Rent_USD]] * 12 * International_Education_Costs[[#This Row],[Duration_Years]]</f>
        <v>19200</v>
      </c>
      <c r="P863" s="1">
        <f>International_Education_Costs[[#This Row],[Total_Cost]]-International_Education_Costs[[#This Row],[Tuition_USD]]</f>
        <v>20920</v>
      </c>
      <c r="Q863" s="2">
        <f>International_Education_Costs[[#This Row],[Tuition_USD]]/International_Education_Costs[[#This Row],[Total_Cost]]</f>
        <v>0.27662517289073307</v>
      </c>
    </row>
    <row r="864" spans="1:17" x14ac:dyDescent="0.25">
      <c r="A864" t="s">
        <v>375</v>
      </c>
      <c r="B864" t="s">
        <v>1298</v>
      </c>
      <c r="C864" t="s">
        <v>1299</v>
      </c>
      <c r="D864" t="s">
        <v>15</v>
      </c>
      <c r="E864" t="s">
        <v>16</v>
      </c>
      <c r="F864">
        <v>2</v>
      </c>
      <c r="G864" s="1">
        <v>4500</v>
      </c>
      <c r="H864">
        <v>68.5</v>
      </c>
      <c r="I864" s="1">
        <v>700</v>
      </c>
      <c r="J864" s="1">
        <v>200</v>
      </c>
      <c r="K864" s="1">
        <v>800</v>
      </c>
      <c r="L864">
        <v>3.75</v>
      </c>
      <c r="M86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23100</v>
      </c>
      <c r="N864" s="1">
        <f>International_Education_Costs[[#This Row],[Total_Cost]]/International_Education_Costs[[#This Row],[Duration_Years]]</f>
        <v>11550</v>
      </c>
      <c r="O864" s="1">
        <f>International_Education_Costs[[#This Row],[Rent_USD]] * 12 * International_Education_Costs[[#This Row],[Duration_Years]]</f>
        <v>16800</v>
      </c>
      <c r="P864" s="1">
        <f>International_Education_Costs[[#This Row],[Total_Cost]]-International_Education_Costs[[#This Row],[Tuition_USD]]</f>
        <v>18600</v>
      </c>
      <c r="Q864" s="2">
        <f>International_Education_Costs[[#This Row],[Tuition_USD]]/International_Education_Costs[[#This Row],[Total_Cost]]</f>
        <v>0.19480519480519481</v>
      </c>
    </row>
    <row r="865" spans="1:17" x14ac:dyDescent="0.25">
      <c r="A865" t="s">
        <v>12</v>
      </c>
      <c r="B865" t="s">
        <v>171</v>
      </c>
      <c r="C865" t="s">
        <v>172</v>
      </c>
      <c r="D865" t="s">
        <v>20</v>
      </c>
      <c r="E865" t="s">
        <v>16</v>
      </c>
      <c r="F865">
        <v>2</v>
      </c>
      <c r="G865" s="1">
        <v>54000</v>
      </c>
      <c r="H865">
        <v>83.2</v>
      </c>
      <c r="I865" s="1">
        <v>2000</v>
      </c>
      <c r="J865" s="1">
        <v>160</v>
      </c>
      <c r="K865" s="1">
        <v>1500</v>
      </c>
      <c r="L865">
        <v>1</v>
      </c>
      <c r="M86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105160</v>
      </c>
      <c r="N865" s="1">
        <f>International_Education_Costs[[#This Row],[Total_Cost]]/International_Education_Costs[[#This Row],[Duration_Years]]</f>
        <v>52580</v>
      </c>
      <c r="O865" s="1">
        <f>International_Education_Costs[[#This Row],[Rent_USD]] * 12 * International_Education_Costs[[#This Row],[Duration_Years]]</f>
        <v>48000</v>
      </c>
      <c r="P865" s="1">
        <f>International_Education_Costs[[#This Row],[Total_Cost]]-International_Education_Costs[[#This Row],[Tuition_USD]]</f>
        <v>51160</v>
      </c>
      <c r="Q865" s="2">
        <f>International_Education_Costs[[#This Row],[Tuition_USD]]/International_Education_Costs[[#This Row],[Total_Cost]]</f>
        <v>0.5135032331685051</v>
      </c>
    </row>
    <row r="866" spans="1:17" x14ac:dyDescent="0.25">
      <c r="A866" t="s">
        <v>17</v>
      </c>
      <c r="B866" t="s">
        <v>126</v>
      </c>
      <c r="C866" t="s">
        <v>127</v>
      </c>
      <c r="D866" t="s">
        <v>208</v>
      </c>
      <c r="E866" t="s">
        <v>16</v>
      </c>
      <c r="F866">
        <v>2</v>
      </c>
      <c r="G866" s="1">
        <v>40000</v>
      </c>
      <c r="H866">
        <v>71.5</v>
      </c>
      <c r="I866" s="1">
        <v>1400</v>
      </c>
      <c r="J866" s="1">
        <v>485</v>
      </c>
      <c r="K866" s="1">
        <v>800</v>
      </c>
      <c r="L866">
        <v>0.79</v>
      </c>
      <c r="M86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75685</v>
      </c>
      <c r="N866" s="1">
        <f>International_Education_Costs[[#This Row],[Total_Cost]]/International_Education_Costs[[#This Row],[Duration_Years]]</f>
        <v>37842.5</v>
      </c>
      <c r="O866" s="1">
        <f>International_Education_Costs[[#This Row],[Rent_USD]] * 12 * International_Education_Costs[[#This Row],[Duration_Years]]</f>
        <v>33600</v>
      </c>
      <c r="P866" s="1">
        <f>International_Education_Costs[[#This Row],[Total_Cost]]-International_Education_Costs[[#This Row],[Tuition_USD]]</f>
        <v>35685</v>
      </c>
      <c r="Q866" s="2">
        <f>International_Education_Costs[[#This Row],[Tuition_USD]]/International_Education_Costs[[#This Row],[Total_Cost]]</f>
        <v>0.52850630904406426</v>
      </c>
    </row>
    <row r="867" spans="1:17" x14ac:dyDescent="0.25">
      <c r="A867" t="s">
        <v>184</v>
      </c>
      <c r="B867" t="s">
        <v>763</v>
      </c>
      <c r="C867" t="s">
        <v>1300</v>
      </c>
      <c r="D867" t="s">
        <v>216</v>
      </c>
      <c r="E867" t="s">
        <v>122</v>
      </c>
      <c r="F867">
        <v>4</v>
      </c>
      <c r="G867" s="1">
        <v>3200</v>
      </c>
      <c r="H867">
        <v>68.5</v>
      </c>
      <c r="I867" s="1">
        <v>800</v>
      </c>
      <c r="J867" s="1">
        <v>80</v>
      </c>
      <c r="K867" s="1">
        <v>750</v>
      </c>
      <c r="L867">
        <v>0.92</v>
      </c>
      <c r="M86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44680</v>
      </c>
      <c r="N867" s="1">
        <f>International_Education_Costs[[#This Row],[Total_Cost]]/International_Education_Costs[[#This Row],[Duration_Years]]</f>
        <v>11170</v>
      </c>
      <c r="O867" s="1">
        <f>International_Education_Costs[[#This Row],[Rent_USD]] * 12 * International_Education_Costs[[#This Row],[Duration_Years]]</f>
        <v>38400</v>
      </c>
      <c r="P867" s="1">
        <f>International_Education_Costs[[#This Row],[Total_Cost]]-International_Education_Costs[[#This Row],[Tuition_USD]]</f>
        <v>41480</v>
      </c>
      <c r="Q867" s="2">
        <f>International_Education_Costs[[#This Row],[Tuition_USD]]/International_Education_Costs[[#This Row],[Total_Cost]]</f>
        <v>7.1620411817367946E-2</v>
      </c>
    </row>
    <row r="868" spans="1:17" x14ac:dyDescent="0.25">
      <c r="A868" t="s">
        <v>187</v>
      </c>
      <c r="B868" t="s">
        <v>764</v>
      </c>
      <c r="C868" t="s">
        <v>765</v>
      </c>
      <c r="D868" t="s">
        <v>40</v>
      </c>
      <c r="E868" t="s">
        <v>16</v>
      </c>
      <c r="F868">
        <v>2</v>
      </c>
      <c r="G868" s="1">
        <v>3800</v>
      </c>
      <c r="H868">
        <v>69.8</v>
      </c>
      <c r="I868" s="1">
        <v>900</v>
      </c>
      <c r="J868" s="1">
        <v>120</v>
      </c>
      <c r="K868" s="1">
        <v>700</v>
      </c>
      <c r="L868">
        <v>0.92</v>
      </c>
      <c r="M86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26920</v>
      </c>
      <c r="N868" s="1">
        <f>International_Education_Costs[[#This Row],[Total_Cost]]/International_Education_Costs[[#This Row],[Duration_Years]]</f>
        <v>13460</v>
      </c>
      <c r="O868" s="1">
        <f>International_Education_Costs[[#This Row],[Rent_USD]] * 12 * International_Education_Costs[[#This Row],[Duration_Years]]</f>
        <v>21600</v>
      </c>
      <c r="P868" s="1">
        <f>International_Education_Costs[[#This Row],[Total_Cost]]-International_Education_Costs[[#This Row],[Tuition_USD]]</f>
        <v>23120</v>
      </c>
      <c r="Q868" s="2">
        <f>International_Education_Costs[[#This Row],[Tuition_USD]]/International_Education_Costs[[#This Row],[Total_Cost]]</f>
        <v>0.14115898959881129</v>
      </c>
    </row>
    <row r="869" spans="1:17" x14ac:dyDescent="0.25">
      <c r="A869" t="s">
        <v>44</v>
      </c>
      <c r="B869" t="s">
        <v>417</v>
      </c>
      <c r="C869" t="s">
        <v>418</v>
      </c>
      <c r="D869" t="s">
        <v>252</v>
      </c>
      <c r="E869" t="s">
        <v>122</v>
      </c>
      <c r="F869">
        <v>4</v>
      </c>
      <c r="G869" s="1">
        <v>4300</v>
      </c>
      <c r="H869">
        <v>72.099999999999994</v>
      </c>
      <c r="I869" s="1">
        <v>1000</v>
      </c>
      <c r="J869" s="1">
        <v>99</v>
      </c>
      <c r="K869" s="1">
        <v>850</v>
      </c>
      <c r="L869">
        <v>0.92</v>
      </c>
      <c r="M86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55799</v>
      </c>
      <c r="N869" s="1">
        <f>International_Education_Costs[[#This Row],[Total_Cost]]/International_Education_Costs[[#This Row],[Duration_Years]]</f>
        <v>13949.75</v>
      </c>
      <c r="O869" s="1">
        <f>International_Education_Costs[[#This Row],[Rent_USD]] * 12 * International_Education_Costs[[#This Row],[Duration_Years]]</f>
        <v>48000</v>
      </c>
      <c r="P869" s="1">
        <f>International_Education_Costs[[#This Row],[Total_Cost]]-International_Education_Costs[[#This Row],[Tuition_USD]]</f>
        <v>51499</v>
      </c>
      <c r="Q869" s="2">
        <f>International_Education_Costs[[#This Row],[Tuition_USD]]/International_Education_Costs[[#This Row],[Total_Cost]]</f>
        <v>7.7062312944676428E-2</v>
      </c>
    </row>
    <row r="870" spans="1:17" x14ac:dyDescent="0.25">
      <c r="A870" t="s">
        <v>168</v>
      </c>
      <c r="B870" t="s">
        <v>1301</v>
      </c>
      <c r="C870" t="s">
        <v>1302</v>
      </c>
      <c r="D870" t="s">
        <v>15</v>
      </c>
      <c r="E870" t="s">
        <v>16</v>
      </c>
      <c r="F870">
        <v>2</v>
      </c>
      <c r="G870" s="1">
        <v>7000</v>
      </c>
      <c r="H870">
        <v>49.5</v>
      </c>
      <c r="I870" s="1">
        <v>380</v>
      </c>
      <c r="J870" s="1">
        <v>120</v>
      </c>
      <c r="K870" s="1">
        <v>400</v>
      </c>
      <c r="L870">
        <v>4.6500000000000004</v>
      </c>
      <c r="M87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17040</v>
      </c>
      <c r="N870" s="1">
        <f>International_Education_Costs[[#This Row],[Total_Cost]]/International_Education_Costs[[#This Row],[Duration_Years]]</f>
        <v>8520</v>
      </c>
      <c r="O870" s="1">
        <f>International_Education_Costs[[#This Row],[Rent_USD]] * 12 * International_Education_Costs[[#This Row],[Duration_Years]]</f>
        <v>9120</v>
      </c>
      <c r="P870" s="1">
        <f>International_Education_Costs[[#This Row],[Total_Cost]]-International_Education_Costs[[#This Row],[Tuition_USD]]</f>
        <v>10040</v>
      </c>
      <c r="Q870" s="2">
        <f>International_Education_Costs[[#This Row],[Tuition_USD]]/International_Education_Costs[[#This Row],[Total_Cost]]</f>
        <v>0.41079812206572769</v>
      </c>
    </row>
    <row r="871" spans="1:17" x14ac:dyDescent="0.25">
      <c r="A871" t="s">
        <v>375</v>
      </c>
      <c r="B871" t="s">
        <v>1303</v>
      </c>
      <c r="C871" t="s">
        <v>1304</v>
      </c>
      <c r="D871" t="s">
        <v>242</v>
      </c>
      <c r="E871" t="s">
        <v>75</v>
      </c>
      <c r="F871">
        <v>4</v>
      </c>
      <c r="G871" s="1">
        <v>4200</v>
      </c>
      <c r="H871">
        <v>65.400000000000006</v>
      </c>
      <c r="I871" s="1">
        <v>650</v>
      </c>
      <c r="J871" s="1">
        <v>200</v>
      </c>
      <c r="K871" s="1">
        <v>800</v>
      </c>
      <c r="L871">
        <v>3.75</v>
      </c>
      <c r="M87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38800</v>
      </c>
      <c r="N871" s="1">
        <f>International_Education_Costs[[#This Row],[Total_Cost]]/International_Education_Costs[[#This Row],[Duration_Years]]</f>
        <v>9700</v>
      </c>
      <c r="O871" s="1">
        <f>International_Education_Costs[[#This Row],[Rent_USD]] * 12 * International_Education_Costs[[#This Row],[Duration_Years]]</f>
        <v>31200</v>
      </c>
      <c r="P871" s="1">
        <f>International_Education_Costs[[#This Row],[Total_Cost]]-International_Education_Costs[[#This Row],[Tuition_USD]]</f>
        <v>34600</v>
      </c>
      <c r="Q871" s="2">
        <f>International_Education_Costs[[#This Row],[Tuition_USD]]/International_Education_Costs[[#This Row],[Total_Cost]]</f>
        <v>0.10824742268041238</v>
      </c>
    </row>
    <row r="872" spans="1:17" x14ac:dyDescent="0.25">
      <c r="A872" t="s">
        <v>12</v>
      </c>
      <c r="B872" t="s">
        <v>124</v>
      </c>
      <c r="C872" t="s">
        <v>1305</v>
      </c>
      <c r="D872" t="s">
        <v>137</v>
      </c>
      <c r="E872" t="s">
        <v>122</v>
      </c>
      <c r="F872">
        <v>5</v>
      </c>
      <c r="G872" s="1">
        <v>56000</v>
      </c>
      <c r="H872">
        <v>82.1</v>
      </c>
      <c r="I872" s="1">
        <v>2100</v>
      </c>
      <c r="J872" s="1">
        <v>160</v>
      </c>
      <c r="K872" s="1">
        <v>1500</v>
      </c>
      <c r="L872">
        <v>1</v>
      </c>
      <c r="M87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189660</v>
      </c>
      <c r="N872" s="1">
        <f>International_Education_Costs[[#This Row],[Total_Cost]]/International_Education_Costs[[#This Row],[Duration_Years]]</f>
        <v>37932</v>
      </c>
      <c r="O872" s="1">
        <f>International_Education_Costs[[#This Row],[Rent_USD]] * 12 * International_Education_Costs[[#This Row],[Duration_Years]]</f>
        <v>126000</v>
      </c>
      <c r="P872" s="1">
        <f>International_Education_Costs[[#This Row],[Total_Cost]]-International_Education_Costs[[#This Row],[Tuition_USD]]</f>
        <v>133660</v>
      </c>
      <c r="Q872" s="2">
        <f>International_Education_Costs[[#This Row],[Tuition_USD]]/International_Education_Costs[[#This Row],[Total_Cost]]</f>
        <v>0.29526521143098178</v>
      </c>
    </row>
    <row r="873" spans="1:17" x14ac:dyDescent="0.25">
      <c r="A873" t="s">
        <v>17</v>
      </c>
      <c r="B873" t="s">
        <v>525</v>
      </c>
      <c r="C873" t="s">
        <v>526</v>
      </c>
      <c r="D873" t="s">
        <v>20</v>
      </c>
      <c r="E873" t="s">
        <v>16</v>
      </c>
      <c r="F873">
        <v>2</v>
      </c>
      <c r="G873" s="1">
        <v>38000</v>
      </c>
      <c r="H873">
        <v>67.8</v>
      </c>
      <c r="I873" s="1">
        <v>1100</v>
      </c>
      <c r="J873" s="1">
        <v>485</v>
      </c>
      <c r="K873" s="1">
        <v>800</v>
      </c>
      <c r="L873">
        <v>0.79</v>
      </c>
      <c r="M87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66485</v>
      </c>
      <c r="N873" s="1">
        <f>International_Education_Costs[[#This Row],[Total_Cost]]/International_Education_Costs[[#This Row],[Duration_Years]]</f>
        <v>33242.5</v>
      </c>
      <c r="O873" s="1">
        <f>International_Education_Costs[[#This Row],[Rent_USD]] * 12 * International_Education_Costs[[#This Row],[Duration_Years]]</f>
        <v>26400</v>
      </c>
      <c r="P873" s="1">
        <f>International_Education_Costs[[#This Row],[Total_Cost]]-International_Education_Costs[[#This Row],[Tuition_USD]]</f>
        <v>28485</v>
      </c>
      <c r="Q873" s="2">
        <f>International_Education_Costs[[#This Row],[Tuition_USD]]/International_Education_Costs[[#This Row],[Total_Cost]]</f>
        <v>0.57155749417161761</v>
      </c>
    </row>
    <row r="874" spans="1:17" x14ac:dyDescent="0.25">
      <c r="A874" t="s">
        <v>184</v>
      </c>
      <c r="B874" t="s">
        <v>773</v>
      </c>
      <c r="C874" t="s">
        <v>774</v>
      </c>
      <c r="D874" t="s">
        <v>63</v>
      </c>
      <c r="E874" t="s">
        <v>16</v>
      </c>
      <c r="F874">
        <v>2</v>
      </c>
      <c r="G874" s="1">
        <v>3000</v>
      </c>
      <c r="H874">
        <v>65.400000000000006</v>
      </c>
      <c r="I874" s="1">
        <v>750</v>
      </c>
      <c r="J874" s="1">
        <v>80</v>
      </c>
      <c r="K874" s="1">
        <v>750</v>
      </c>
      <c r="L874">
        <v>0.92</v>
      </c>
      <c r="M87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22580</v>
      </c>
      <c r="N874" s="1">
        <f>International_Education_Costs[[#This Row],[Total_Cost]]/International_Education_Costs[[#This Row],[Duration_Years]]</f>
        <v>11290</v>
      </c>
      <c r="O874" s="1">
        <f>International_Education_Costs[[#This Row],[Rent_USD]] * 12 * International_Education_Costs[[#This Row],[Duration_Years]]</f>
        <v>18000</v>
      </c>
      <c r="P874" s="1">
        <f>International_Education_Costs[[#This Row],[Total_Cost]]-International_Education_Costs[[#This Row],[Tuition_USD]]</f>
        <v>19580</v>
      </c>
      <c r="Q874" s="2">
        <f>International_Education_Costs[[#This Row],[Tuition_USD]]/International_Education_Costs[[#This Row],[Total_Cost]]</f>
        <v>0.1328609388839681</v>
      </c>
    </row>
    <row r="875" spans="1:17" x14ac:dyDescent="0.25">
      <c r="A875" t="s">
        <v>187</v>
      </c>
      <c r="B875" t="s">
        <v>775</v>
      </c>
      <c r="C875" t="s">
        <v>776</v>
      </c>
      <c r="D875" t="s">
        <v>216</v>
      </c>
      <c r="E875" t="s">
        <v>122</v>
      </c>
      <c r="F875">
        <v>4</v>
      </c>
      <c r="G875" s="1">
        <v>3600</v>
      </c>
      <c r="H875">
        <v>70.5</v>
      </c>
      <c r="I875" s="1">
        <v>950</v>
      </c>
      <c r="J875" s="1">
        <v>120</v>
      </c>
      <c r="K875" s="1">
        <v>700</v>
      </c>
      <c r="L875">
        <v>0.92</v>
      </c>
      <c r="M87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52120</v>
      </c>
      <c r="N875" s="1">
        <f>International_Education_Costs[[#This Row],[Total_Cost]]/International_Education_Costs[[#This Row],[Duration_Years]]</f>
        <v>13030</v>
      </c>
      <c r="O875" s="1">
        <f>International_Education_Costs[[#This Row],[Rent_USD]] * 12 * International_Education_Costs[[#This Row],[Duration_Years]]</f>
        <v>45600</v>
      </c>
      <c r="P875" s="1">
        <f>International_Education_Costs[[#This Row],[Total_Cost]]-International_Education_Costs[[#This Row],[Tuition_USD]]</f>
        <v>48520</v>
      </c>
      <c r="Q875" s="2">
        <f>International_Education_Costs[[#This Row],[Tuition_USD]]/International_Education_Costs[[#This Row],[Total_Cost]]</f>
        <v>6.9071373752877974E-2</v>
      </c>
    </row>
    <row r="876" spans="1:17" x14ac:dyDescent="0.25">
      <c r="A876" t="s">
        <v>44</v>
      </c>
      <c r="B876" t="s">
        <v>1306</v>
      </c>
      <c r="C876" t="s">
        <v>1307</v>
      </c>
      <c r="D876" t="s">
        <v>40</v>
      </c>
      <c r="E876" t="s">
        <v>16</v>
      </c>
      <c r="F876">
        <v>2</v>
      </c>
      <c r="G876" s="1">
        <v>4100</v>
      </c>
      <c r="H876">
        <v>73.5</v>
      </c>
      <c r="I876" s="1">
        <v>1100</v>
      </c>
      <c r="J876" s="1">
        <v>99</v>
      </c>
      <c r="K876" s="1">
        <v>850</v>
      </c>
      <c r="L876">
        <v>0.92</v>
      </c>
      <c r="M87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32299</v>
      </c>
      <c r="N876" s="1">
        <f>International_Education_Costs[[#This Row],[Total_Cost]]/International_Education_Costs[[#This Row],[Duration_Years]]</f>
        <v>16149.5</v>
      </c>
      <c r="O876" s="1">
        <f>International_Education_Costs[[#This Row],[Rent_USD]] * 12 * International_Education_Costs[[#This Row],[Duration_Years]]</f>
        <v>26400</v>
      </c>
      <c r="P876" s="1">
        <f>International_Education_Costs[[#This Row],[Total_Cost]]-International_Education_Costs[[#This Row],[Tuition_USD]]</f>
        <v>28199</v>
      </c>
      <c r="Q876" s="2">
        <f>International_Education_Costs[[#This Row],[Tuition_USD]]/International_Education_Costs[[#This Row],[Total_Cost]]</f>
        <v>0.12693891451747732</v>
      </c>
    </row>
    <row r="877" spans="1:17" x14ac:dyDescent="0.25">
      <c r="A877" t="s">
        <v>168</v>
      </c>
      <c r="B877" t="s">
        <v>1308</v>
      </c>
      <c r="C877" t="s">
        <v>1309</v>
      </c>
      <c r="D877" t="s">
        <v>71</v>
      </c>
      <c r="E877" t="s">
        <v>75</v>
      </c>
      <c r="F877">
        <v>3</v>
      </c>
      <c r="G877" s="1">
        <v>7800</v>
      </c>
      <c r="H877">
        <v>53.2</v>
      </c>
      <c r="I877" s="1">
        <v>450</v>
      </c>
      <c r="J877" s="1">
        <v>120</v>
      </c>
      <c r="K877" s="1">
        <v>400</v>
      </c>
      <c r="L877">
        <v>4.6500000000000004</v>
      </c>
      <c r="M87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25320</v>
      </c>
      <c r="N877" s="1">
        <f>International_Education_Costs[[#This Row],[Total_Cost]]/International_Education_Costs[[#This Row],[Duration_Years]]</f>
        <v>8440</v>
      </c>
      <c r="O877" s="1">
        <f>International_Education_Costs[[#This Row],[Rent_USD]] * 12 * International_Education_Costs[[#This Row],[Duration_Years]]</f>
        <v>16200</v>
      </c>
      <c r="P877" s="1">
        <f>International_Education_Costs[[#This Row],[Total_Cost]]-International_Education_Costs[[#This Row],[Tuition_USD]]</f>
        <v>17520</v>
      </c>
      <c r="Q877" s="2">
        <f>International_Education_Costs[[#This Row],[Tuition_USD]]/International_Education_Costs[[#This Row],[Total_Cost]]</f>
        <v>0.30805687203791471</v>
      </c>
    </row>
    <row r="878" spans="1:17" x14ac:dyDescent="0.25">
      <c r="A878" t="s">
        <v>375</v>
      </c>
      <c r="B878" t="s">
        <v>1310</v>
      </c>
      <c r="C878" t="s">
        <v>1311</v>
      </c>
      <c r="D878" t="s">
        <v>15</v>
      </c>
      <c r="E878" t="s">
        <v>16</v>
      </c>
      <c r="F878">
        <v>2</v>
      </c>
      <c r="G878" s="1">
        <v>4600</v>
      </c>
      <c r="H878">
        <v>67.8</v>
      </c>
      <c r="I878" s="1">
        <v>680</v>
      </c>
      <c r="J878" s="1">
        <v>200</v>
      </c>
      <c r="K878" s="1">
        <v>800</v>
      </c>
      <c r="L878">
        <v>3.75</v>
      </c>
      <c r="M87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22720</v>
      </c>
      <c r="N878" s="1">
        <f>International_Education_Costs[[#This Row],[Total_Cost]]/International_Education_Costs[[#This Row],[Duration_Years]]</f>
        <v>11360</v>
      </c>
      <c r="O878" s="1">
        <f>International_Education_Costs[[#This Row],[Rent_USD]] * 12 * International_Education_Costs[[#This Row],[Duration_Years]]</f>
        <v>16320</v>
      </c>
      <c r="P878" s="1">
        <f>International_Education_Costs[[#This Row],[Total_Cost]]-International_Education_Costs[[#This Row],[Tuition_USD]]</f>
        <v>18120</v>
      </c>
      <c r="Q878" s="2">
        <f>International_Education_Costs[[#This Row],[Tuition_USD]]/International_Education_Costs[[#This Row],[Total_Cost]]</f>
        <v>0.20246478873239437</v>
      </c>
    </row>
    <row r="879" spans="1:17" x14ac:dyDescent="0.25">
      <c r="A879" t="s">
        <v>12</v>
      </c>
      <c r="B879" t="s">
        <v>357</v>
      </c>
      <c r="C879" t="s">
        <v>358</v>
      </c>
      <c r="D879" t="s">
        <v>20</v>
      </c>
      <c r="E879" t="s">
        <v>16</v>
      </c>
      <c r="F879">
        <v>2</v>
      </c>
      <c r="G879" s="1">
        <v>62000</v>
      </c>
      <c r="H879">
        <v>100</v>
      </c>
      <c r="I879" s="1">
        <v>2500</v>
      </c>
      <c r="J879" s="1">
        <v>160</v>
      </c>
      <c r="K879" s="1">
        <v>1500</v>
      </c>
      <c r="L879">
        <v>1</v>
      </c>
      <c r="M87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125160</v>
      </c>
      <c r="N879" s="1">
        <f>International_Education_Costs[[#This Row],[Total_Cost]]/International_Education_Costs[[#This Row],[Duration_Years]]</f>
        <v>62580</v>
      </c>
      <c r="O879" s="1">
        <f>International_Education_Costs[[#This Row],[Rent_USD]] * 12 * International_Education_Costs[[#This Row],[Duration_Years]]</f>
        <v>60000</v>
      </c>
      <c r="P879" s="1">
        <f>International_Education_Costs[[#This Row],[Total_Cost]]-International_Education_Costs[[#This Row],[Tuition_USD]]</f>
        <v>63160</v>
      </c>
      <c r="Q879" s="2">
        <f>International_Education_Costs[[#This Row],[Tuition_USD]]/International_Education_Costs[[#This Row],[Total_Cost]]</f>
        <v>0.49536593160754233</v>
      </c>
    </row>
    <row r="880" spans="1:17" x14ac:dyDescent="0.25">
      <c r="A880" t="s">
        <v>17</v>
      </c>
      <c r="B880" t="s">
        <v>173</v>
      </c>
      <c r="C880" t="s">
        <v>174</v>
      </c>
      <c r="D880" t="s">
        <v>208</v>
      </c>
      <c r="E880" t="s">
        <v>122</v>
      </c>
      <c r="F880">
        <v>4</v>
      </c>
      <c r="G880" s="1">
        <v>35000</v>
      </c>
      <c r="H880">
        <v>65.400000000000006</v>
      </c>
      <c r="I880" s="1">
        <v>900</v>
      </c>
      <c r="J880" s="1">
        <v>485</v>
      </c>
      <c r="K880" s="1">
        <v>800</v>
      </c>
      <c r="L880">
        <v>0.79</v>
      </c>
      <c r="M88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81885</v>
      </c>
      <c r="N880" s="1">
        <f>International_Education_Costs[[#This Row],[Total_Cost]]/International_Education_Costs[[#This Row],[Duration_Years]]</f>
        <v>20471.25</v>
      </c>
      <c r="O880" s="1">
        <f>International_Education_Costs[[#This Row],[Rent_USD]] * 12 * International_Education_Costs[[#This Row],[Duration_Years]]</f>
        <v>43200</v>
      </c>
      <c r="P880" s="1">
        <f>International_Education_Costs[[#This Row],[Total_Cost]]-International_Education_Costs[[#This Row],[Tuition_USD]]</f>
        <v>46885</v>
      </c>
      <c r="Q880" s="2">
        <f>International_Education_Costs[[#This Row],[Tuition_USD]]/International_Education_Costs[[#This Row],[Total_Cost]]</f>
        <v>0.42742871099713015</v>
      </c>
    </row>
    <row r="881" spans="1:17" x14ac:dyDescent="0.25">
      <c r="A881" t="s">
        <v>184</v>
      </c>
      <c r="B881" t="s">
        <v>793</v>
      </c>
      <c r="C881" t="s">
        <v>1312</v>
      </c>
      <c r="D881" t="s">
        <v>15</v>
      </c>
      <c r="E881" t="s">
        <v>75</v>
      </c>
      <c r="F881">
        <v>3</v>
      </c>
      <c r="G881" s="1">
        <v>2800</v>
      </c>
      <c r="H881">
        <v>64.5</v>
      </c>
      <c r="I881" s="1">
        <v>700</v>
      </c>
      <c r="J881" s="1">
        <v>80</v>
      </c>
      <c r="K881" s="1">
        <v>750</v>
      </c>
      <c r="L881">
        <v>0.92</v>
      </c>
      <c r="M88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30330</v>
      </c>
      <c r="N881" s="1">
        <f>International_Education_Costs[[#This Row],[Total_Cost]]/International_Education_Costs[[#This Row],[Duration_Years]]</f>
        <v>10110</v>
      </c>
      <c r="O881" s="1">
        <f>International_Education_Costs[[#This Row],[Rent_USD]] * 12 * International_Education_Costs[[#This Row],[Duration_Years]]</f>
        <v>25200</v>
      </c>
      <c r="P881" s="1">
        <f>International_Education_Costs[[#This Row],[Total_Cost]]-International_Education_Costs[[#This Row],[Tuition_USD]]</f>
        <v>27530</v>
      </c>
      <c r="Q881" s="2">
        <f>International_Education_Costs[[#This Row],[Tuition_USD]]/International_Education_Costs[[#This Row],[Total_Cost]]</f>
        <v>9.2317837124958793E-2</v>
      </c>
    </row>
    <row r="882" spans="1:17" x14ac:dyDescent="0.25">
      <c r="A882" t="s">
        <v>187</v>
      </c>
      <c r="B882" t="s">
        <v>785</v>
      </c>
      <c r="C882" t="s">
        <v>786</v>
      </c>
      <c r="D882" t="s">
        <v>252</v>
      </c>
      <c r="E882" t="s">
        <v>16</v>
      </c>
      <c r="F882">
        <v>2</v>
      </c>
      <c r="G882" s="1">
        <v>3500</v>
      </c>
      <c r="H882">
        <v>71.2</v>
      </c>
      <c r="I882" s="1">
        <v>1000</v>
      </c>
      <c r="J882" s="1">
        <v>120</v>
      </c>
      <c r="K882" s="1">
        <v>700</v>
      </c>
      <c r="L882">
        <v>0.92</v>
      </c>
      <c r="M88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29020</v>
      </c>
      <c r="N882" s="1">
        <f>International_Education_Costs[[#This Row],[Total_Cost]]/International_Education_Costs[[#This Row],[Duration_Years]]</f>
        <v>14510</v>
      </c>
      <c r="O882" s="1">
        <f>International_Education_Costs[[#This Row],[Rent_USD]] * 12 * International_Education_Costs[[#This Row],[Duration_Years]]</f>
        <v>24000</v>
      </c>
      <c r="P882" s="1">
        <f>International_Education_Costs[[#This Row],[Total_Cost]]-International_Education_Costs[[#This Row],[Tuition_USD]]</f>
        <v>25520</v>
      </c>
      <c r="Q882" s="2">
        <f>International_Education_Costs[[#This Row],[Tuition_USD]]/International_Education_Costs[[#This Row],[Total_Cost]]</f>
        <v>0.1206064782908339</v>
      </c>
    </row>
    <row r="883" spans="1:17" x14ac:dyDescent="0.25">
      <c r="A883" t="s">
        <v>44</v>
      </c>
      <c r="B883" t="s">
        <v>423</v>
      </c>
      <c r="C883" t="s">
        <v>424</v>
      </c>
      <c r="D883" t="s">
        <v>216</v>
      </c>
      <c r="E883" t="s">
        <v>122</v>
      </c>
      <c r="F883">
        <v>4</v>
      </c>
      <c r="G883" s="1">
        <v>4300</v>
      </c>
      <c r="H883">
        <v>72.099999999999994</v>
      </c>
      <c r="I883" s="1">
        <v>1000</v>
      </c>
      <c r="J883" s="1">
        <v>99</v>
      </c>
      <c r="K883" s="1">
        <v>850</v>
      </c>
      <c r="L883">
        <v>0.92</v>
      </c>
      <c r="M88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55799</v>
      </c>
      <c r="N883" s="1">
        <f>International_Education_Costs[[#This Row],[Total_Cost]]/International_Education_Costs[[#This Row],[Duration_Years]]</f>
        <v>13949.75</v>
      </c>
      <c r="O883" s="1">
        <f>International_Education_Costs[[#This Row],[Rent_USD]] * 12 * International_Education_Costs[[#This Row],[Duration_Years]]</f>
        <v>48000</v>
      </c>
      <c r="P883" s="1">
        <f>International_Education_Costs[[#This Row],[Total_Cost]]-International_Education_Costs[[#This Row],[Tuition_USD]]</f>
        <v>51499</v>
      </c>
      <c r="Q883" s="2">
        <f>International_Education_Costs[[#This Row],[Tuition_USD]]/International_Education_Costs[[#This Row],[Total_Cost]]</f>
        <v>7.7062312944676428E-2</v>
      </c>
    </row>
    <row r="884" spans="1:17" x14ac:dyDescent="0.25">
      <c r="A884" t="s">
        <v>168</v>
      </c>
      <c r="B884" t="s">
        <v>1313</v>
      </c>
      <c r="C884" t="s">
        <v>1314</v>
      </c>
      <c r="D884" t="s">
        <v>40</v>
      </c>
      <c r="E884" t="s">
        <v>16</v>
      </c>
      <c r="F884">
        <v>2</v>
      </c>
      <c r="G884" s="1">
        <v>7200</v>
      </c>
      <c r="H884">
        <v>51.5</v>
      </c>
      <c r="I884" s="1">
        <v>420</v>
      </c>
      <c r="J884" s="1">
        <v>120</v>
      </c>
      <c r="K884" s="1">
        <v>400</v>
      </c>
      <c r="L884">
        <v>4.6500000000000004</v>
      </c>
      <c r="M88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18200</v>
      </c>
      <c r="N884" s="1">
        <f>International_Education_Costs[[#This Row],[Total_Cost]]/International_Education_Costs[[#This Row],[Duration_Years]]</f>
        <v>9100</v>
      </c>
      <c r="O884" s="1">
        <f>International_Education_Costs[[#This Row],[Rent_USD]] * 12 * International_Education_Costs[[#This Row],[Duration_Years]]</f>
        <v>10080</v>
      </c>
      <c r="P884" s="1">
        <f>International_Education_Costs[[#This Row],[Total_Cost]]-International_Education_Costs[[#This Row],[Tuition_USD]]</f>
        <v>11000</v>
      </c>
      <c r="Q884" s="2">
        <f>International_Education_Costs[[#This Row],[Tuition_USD]]/International_Education_Costs[[#This Row],[Total_Cost]]</f>
        <v>0.39560439560439559</v>
      </c>
    </row>
    <row r="885" spans="1:17" x14ac:dyDescent="0.25">
      <c r="A885" t="s">
        <v>375</v>
      </c>
      <c r="B885" t="s">
        <v>1315</v>
      </c>
      <c r="C885" t="s">
        <v>1316</v>
      </c>
      <c r="D885" t="s">
        <v>242</v>
      </c>
      <c r="E885" t="s">
        <v>16</v>
      </c>
      <c r="F885">
        <v>2</v>
      </c>
      <c r="G885" s="1">
        <v>4400</v>
      </c>
      <c r="H885">
        <v>64.5</v>
      </c>
      <c r="I885" s="1">
        <v>600</v>
      </c>
      <c r="J885" s="1">
        <v>200</v>
      </c>
      <c r="K885" s="1">
        <v>800</v>
      </c>
      <c r="L885">
        <v>3.75</v>
      </c>
      <c r="M88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20600</v>
      </c>
      <c r="N885" s="1">
        <f>International_Education_Costs[[#This Row],[Total_Cost]]/International_Education_Costs[[#This Row],[Duration_Years]]</f>
        <v>10300</v>
      </c>
      <c r="O885" s="1">
        <f>International_Education_Costs[[#This Row],[Rent_USD]] * 12 * International_Education_Costs[[#This Row],[Duration_Years]]</f>
        <v>14400</v>
      </c>
      <c r="P885" s="1">
        <f>International_Education_Costs[[#This Row],[Total_Cost]]-International_Education_Costs[[#This Row],[Tuition_USD]]</f>
        <v>16200</v>
      </c>
      <c r="Q885" s="2">
        <f>International_Education_Costs[[#This Row],[Tuition_USD]]/International_Education_Costs[[#This Row],[Total_Cost]]</f>
        <v>0.21359223300970873</v>
      </c>
    </row>
    <row r="886" spans="1:17" x14ac:dyDescent="0.25">
      <c r="A886" t="s">
        <v>12</v>
      </c>
      <c r="B886" t="s">
        <v>506</v>
      </c>
      <c r="C886" t="s">
        <v>507</v>
      </c>
      <c r="D886" t="s">
        <v>63</v>
      </c>
      <c r="E886" t="s">
        <v>122</v>
      </c>
      <c r="F886">
        <v>5</v>
      </c>
      <c r="G886" s="1">
        <v>52000</v>
      </c>
      <c r="H886">
        <v>79.8</v>
      </c>
      <c r="I886" s="1">
        <v>2200</v>
      </c>
      <c r="J886" s="1">
        <v>160</v>
      </c>
      <c r="K886" s="1">
        <v>1500</v>
      </c>
      <c r="L886">
        <v>1</v>
      </c>
      <c r="M88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191660</v>
      </c>
      <c r="N886" s="1">
        <f>International_Education_Costs[[#This Row],[Total_Cost]]/International_Education_Costs[[#This Row],[Duration_Years]]</f>
        <v>38332</v>
      </c>
      <c r="O886" s="1">
        <f>International_Education_Costs[[#This Row],[Rent_USD]] * 12 * International_Education_Costs[[#This Row],[Duration_Years]]</f>
        <v>132000</v>
      </c>
      <c r="P886" s="1">
        <f>International_Education_Costs[[#This Row],[Total_Cost]]-International_Education_Costs[[#This Row],[Tuition_USD]]</f>
        <v>139660</v>
      </c>
      <c r="Q886" s="2">
        <f>International_Education_Costs[[#This Row],[Tuition_USD]]/International_Education_Costs[[#This Row],[Total_Cost]]</f>
        <v>0.27131378482729834</v>
      </c>
    </row>
    <row r="887" spans="1:17" x14ac:dyDescent="0.25">
      <c r="A887" t="s">
        <v>17</v>
      </c>
      <c r="B887" t="s">
        <v>97</v>
      </c>
      <c r="C887" t="s">
        <v>98</v>
      </c>
      <c r="D887" t="s">
        <v>71</v>
      </c>
      <c r="E887" t="s">
        <v>16</v>
      </c>
      <c r="F887">
        <v>2</v>
      </c>
      <c r="G887" s="1">
        <v>36000</v>
      </c>
      <c r="H887">
        <v>68.900000000000006</v>
      </c>
      <c r="I887" s="1">
        <v>1200</v>
      </c>
      <c r="J887" s="1">
        <v>485</v>
      </c>
      <c r="K887" s="1">
        <v>800</v>
      </c>
      <c r="L887">
        <v>0.79</v>
      </c>
      <c r="M88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66885</v>
      </c>
      <c r="N887" s="1">
        <f>International_Education_Costs[[#This Row],[Total_Cost]]/International_Education_Costs[[#This Row],[Duration_Years]]</f>
        <v>33442.5</v>
      </c>
      <c r="O887" s="1">
        <f>International_Education_Costs[[#This Row],[Rent_USD]] * 12 * International_Education_Costs[[#This Row],[Duration_Years]]</f>
        <v>28800</v>
      </c>
      <c r="P887" s="1">
        <f>International_Education_Costs[[#This Row],[Total_Cost]]-International_Education_Costs[[#This Row],[Tuition_USD]]</f>
        <v>30885</v>
      </c>
      <c r="Q887" s="2">
        <f>International_Education_Costs[[#This Row],[Tuition_USD]]/International_Education_Costs[[#This Row],[Total_Cost]]</f>
        <v>0.53823727293115053</v>
      </c>
    </row>
    <row r="888" spans="1:17" x14ac:dyDescent="0.25">
      <c r="A888" t="s">
        <v>184</v>
      </c>
      <c r="B888" t="s">
        <v>783</v>
      </c>
      <c r="C888" t="s">
        <v>784</v>
      </c>
      <c r="D888" t="s">
        <v>223</v>
      </c>
      <c r="E888" t="s">
        <v>16</v>
      </c>
      <c r="F888">
        <v>2</v>
      </c>
      <c r="G888" s="1">
        <v>3400</v>
      </c>
      <c r="H888">
        <v>67.8</v>
      </c>
      <c r="I888" s="1">
        <v>850</v>
      </c>
      <c r="J888" s="1">
        <v>80</v>
      </c>
      <c r="K888" s="1">
        <v>750</v>
      </c>
      <c r="L888">
        <v>0.92</v>
      </c>
      <c r="M88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25380</v>
      </c>
      <c r="N888" s="1">
        <f>International_Education_Costs[[#This Row],[Total_Cost]]/International_Education_Costs[[#This Row],[Duration_Years]]</f>
        <v>12690</v>
      </c>
      <c r="O888" s="1">
        <f>International_Education_Costs[[#This Row],[Rent_USD]] * 12 * International_Education_Costs[[#This Row],[Duration_Years]]</f>
        <v>20400</v>
      </c>
      <c r="P888" s="1">
        <f>International_Education_Costs[[#This Row],[Total_Cost]]-International_Education_Costs[[#This Row],[Tuition_USD]]</f>
        <v>21980</v>
      </c>
      <c r="Q888" s="2">
        <f>International_Education_Costs[[#This Row],[Tuition_USD]]/International_Education_Costs[[#This Row],[Total_Cost]]</f>
        <v>0.13396375098502758</v>
      </c>
    </row>
    <row r="889" spans="1:17" x14ac:dyDescent="0.25">
      <c r="A889" t="s">
        <v>187</v>
      </c>
      <c r="B889" t="s">
        <v>795</v>
      </c>
      <c r="C889" t="s">
        <v>796</v>
      </c>
      <c r="D889" t="s">
        <v>15</v>
      </c>
      <c r="E889" t="s">
        <v>75</v>
      </c>
      <c r="F889">
        <v>3</v>
      </c>
      <c r="G889" s="1">
        <v>3200</v>
      </c>
      <c r="H889">
        <v>67.8</v>
      </c>
      <c r="I889" s="1">
        <v>800</v>
      </c>
      <c r="J889" s="1">
        <v>120</v>
      </c>
      <c r="K889" s="1">
        <v>700</v>
      </c>
      <c r="L889">
        <v>0.92</v>
      </c>
      <c r="M88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34220</v>
      </c>
      <c r="N889" s="1">
        <f>International_Education_Costs[[#This Row],[Total_Cost]]/International_Education_Costs[[#This Row],[Duration_Years]]</f>
        <v>11406.666666666666</v>
      </c>
      <c r="O889" s="1">
        <f>International_Education_Costs[[#This Row],[Rent_USD]] * 12 * International_Education_Costs[[#This Row],[Duration_Years]]</f>
        <v>28800</v>
      </c>
      <c r="P889" s="1">
        <f>International_Education_Costs[[#This Row],[Total_Cost]]-International_Education_Costs[[#This Row],[Tuition_USD]]</f>
        <v>31020</v>
      </c>
      <c r="Q889" s="2">
        <f>International_Education_Costs[[#This Row],[Tuition_USD]]/International_Education_Costs[[#This Row],[Total_Cost]]</f>
        <v>9.3512565751022791E-2</v>
      </c>
    </row>
    <row r="890" spans="1:17" x14ac:dyDescent="0.25">
      <c r="A890" t="s">
        <v>44</v>
      </c>
      <c r="B890" t="s">
        <v>422</v>
      </c>
      <c r="C890" t="s">
        <v>645</v>
      </c>
      <c r="D890" t="s">
        <v>20</v>
      </c>
      <c r="E890" t="s">
        <v>16</v>
      </c>
      <c r="F890">
        <v>2</v>
      </c>
      <c r="G890" s="1">
        <v>4100</v>
      </c>
      <c r="H890">
        <v>76.5</v>
      </c>
      <c r="I890" s="1">
        <v>1300</v>
      </c>
      <c r="J890" s="1">
        <v>99</v>
      </c>
      <c r="K890" s="1">
        <v>850</v>
      </c>
      <c r="L890">
        <v>0.92</v>
      </c>
      <c r="M89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37099</v>
      </c>
      <c r="N890" s="1">
        <f>International_Education_Costs[[#This Row],[Total_Cost]]/International_Education_Costs[[#This Row],[Duration_Years]]</f>
        <v>18549.5</v>
      </c>
      <c r="O890" s="1">
        <f>International_Education_Costs[[#This Row],[Rent_USD]] * 12 * International_Education_Costs[[#This Row],[Duration_Years]]</f>
        <v>31200</v>
      </c>
      <c r="P890" s="1">
        <f>International_Education_Costs[[#This Row],[Total_Cost]]-International_Education_Costs[[#This Row],[Tuition_USD]]</f>
        <v>32999</v>
      </c>
      <c r="Q890" s="2">
        <f>International_Education_Costs[[#This Row],[Tuition_USD]]/International_Education_Costs[[#This Row],[Total_Cost]]</f>
        <v>0.11051510822394135</v>
      </c>
    </row>
    <row r="891" spans="1:17" x14ac:dyDescent="0.25">
      <c r="A891" t="s">
        <v>168</v>
      </c>
      <c r="B891" t="s">
        <v>1317</v>
      </c>
      <c r="C891" t="s">
        <v>1318</v>
      </c>
      <c r="D891" t="s">
        <v>208</v>
      </c>
      <c r="E891" t="s">
        <v>122</v>
      </c>
      <c r="F891">
        <v>4</v>
      </c>
      <c r="G891" s="1">
        <v>7500</v>
      </c>
      <c r="H891">
        <v>50.2</v>
      </c>
      <c r="I891" s="1">
        <v>400</v>
      </c>
      <c r="J891" s="1">
        <v>120</v>
      </c>
      <c r="K891" s="1">
        <v>400</v>
      </c>
      <c r="L891">
        <v>4.6500000000000004</v>
      </c>
      <c r="M89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28420</v>
      </c>
      <c r="N891" s="1">
        <f>International_Education_Costs[[#This Row],[Total_Cost]]/International_Education_Costs[[#This Row],[Duration_Years]]</f>
        <v>7105</v>
      </c>
      <c r="O891" s="1">
        <f>International_Education_Costs[[#This Row],[Rent_USD]] * 12 * International_Education_Costs[[#This Row],[Duration_Years]]</f>
        <v>19200</v>
      </c>
      <c r="P891" s="1">
        <f>International_Education_Costs[[#This Row],[Total_Cost]]-International_Education_Costs[[#This Row],[Tuition_USD]]</f>
        <v>20920</v>
      </c>
      <c r="Q891" s="2">
        <f>International_Education_Costs[[#This Row],[Tuition_USD]]/International_Education_Costs[[#This Row],[Total_Cost]]</f>
        <v>0.26389866291344122</v>
      </c>
    </row>
    <row r="892" spans="1:17" x14ac:dyDescent="0.25">
      <c r="A892" t="s">
        <v>375</v>
      </c>
      <c r="B892" t="s">
        <v>1319</v>
      </c>
      <c r="C892" t="s">
        <v>1320</v>
      </c>
      <c r="D892" t="s">
        <v>63</v>
      </c>
      <c r="E892" t="s">
        <v>75</v>
      </c>
      <c r="F892">
        <v>4</v>
      </c>
      <c r="G892" s="1">
        <v>4100</v>
      </c>
      <c r="H892">
        <v>63.2</v>
      </c>
      <c r="I892" s="1">
        <v>580</v>
      </c>
      <c r="J892" s="1">
        <v>200</v>
      </c>
      <c r="K892" s="1">
        <v>800</v>
      </c>
      <c r="L892">
        <v>3.75</v>
      </c>
      <c r="M89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35340</v>
      </c>
      <c r="N892" s="1">
        <f>International_Education_Costs[[#This Row],[Total_Cost]]/International_Education_Costs[[#This Row],[Duration_Years]]</f>
        <v>8835</v>
      </c>
      <c r="O892" s="1">
        <f>International_Education_Costs[[#This Row],[Rent_USD]] * 12 * International_Education_Costs[[#This Row],[Duration_Years]]</f>
        <v>27840</v>
      </c>
      <c r="P892" s="1">
        <f>International_Education_Costs[[#This Row],[Total_Cost]]-International_Education_Costs[[#This Row],[Tuition_USD]]</f>
        <v>31240</v>
      </c>
      <c r="Q892" s="2">
        <f>International_Education_Costs[[#This Row],[Tuition_USD]]/International_Education_Costs[[#This Row],[Total_Cost]]</f>
        <v>0.11601584606677985</v>
      </c>
    </row>
    <row r="893" spans="1:17" x14ac:dyDescent="0.25">
      <c r="A893" t="s">
        <v>12</v>
      </c>
      <c r="B893" t="s">
        <v>272</v>
      </c>
      <c r="C893" t="s">
        <v>273</v>
      </c>
      <c r="D893" t="s">
        <v>40</v>
      </c>
      <c r="E893" t="s">
        <v>16</v>
      </c>
      <c r="F893">
        <v>2</v>
      </c>
      <c r="G893" s="1">
        <v>58000</v>
      </c>
      <c r="H893">
        <v>84.1</v>
      </c>
      <c r="I893" s="1">
        <v>1900</v>
      </c>
      <c r="J893" s="1">
        <v>160</v>
      </c>
      <c r="K893" s="1">
        <v>1500</v>
      </c>
      <c r="L893">
        <v>1</v>
      </c>
      <c r="M89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106760</v>
      </c>
      <c r="N893" s="1">
        <f>International_Education_Costs[[#This Row],[Total_Cost]]/International_Education_Costs[[#This Row],[Duration_Years]]</f>
        <v>53380</v>
      </c>
      <c r="O893" s="1">
        <f>International_Education_Costs[[#This Row],[Rent_USD]] * 12 * International_Education_Costs[[#This Row],[Duration_Years]]</f>
        <v>45600</v>
      </c>
      <c r="P893" s="1">
        <f>International_Education_Costs[[#This Row],[Total_Cost]]-International_Education_Costs[[#This Row],[Tuition_USD]]</f>
        <v>48760</v>
      </c>
      <c r="Q893" s="2">
        <f>International_Education_Costs[[#This Row],[Tuition_USD]]/International_Education_Costs[[#This Row],[Total_Cost]]</f>
        <v>0.54327463469464221</v>
      </c>
    </row>
    <row r="894" spans="1:17" x14ac:dyDescent="0.25">
      <c r="A894" t="s">
        <v>17</v>
      </c>
      <c r="B894" t="s">
        <v>154</v>
      </c>
      <c r="C894" t="s">
        <v>155</v>
      </c>
      <c r="D894" t="s">
        <v>252</v>
      </c>
      <c r="E894" t="s">
        <v>122</v>
      </c>
      <c r="F894">
        <v>4</v>
      </c>
      <c r="G894" s="1">
        <v>34000</v>
      </c>
      <c r="H894">
        <v>64.5</v>
      </c>
      <c r="I894" s="1">
        <v>950</v>
      </c>
      <c r="J894" s="1">
        <v>485</v>
      </c>
      <c r="K894" s="1">
        <v>800</v>
      </c>
      <c r="L894">
        <v>0.79</v>
      </c>
      <c r="M89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83285</v>
      </c>
      <c r="N894" s="1">
        <f>International_Education_Costs[[#This Row],[Total_Cost]]/International_Education_Costs[[#This Row],[Duration_Years]]</f>
        <v>20821.25</v>
      </c>
      <c r="O894" s="1">
        <f>International_Education_Costs[[#This Row],[Rent_USD]] * 12 * International_Education_Costs[[#This Row],[Duration_Years]]</f>
        <v>45600</v>
      </c>
      <c r="P894" s="1">
        <f>International_Education_Costs[[#This Row],[Total_Cost]]-International_Education_Costs[[#This Row],[Tuition_USD]]</f>
        <v>49285</v>
      </c>
      <c r="Q894" s="2">
        <f>International_Education_Costs[[#This Row],[Tuition_USD]]/International_Education_Costs[[#This Row],[Total_Cost]]</f>
        <v>0.4082367773308519</v>
      </c>
    </row>
    <row r="895" spans="1:17" x14ac:dyDescent="0.25">
      <c r="A895" t="s">
        <v>184</v>
      </c>
      <c r="B895" t="s">
        <v>812</v>
      </c>
      <c r="C895" t="s">
        <v>813</v>
      </c>
      <c r="D895" t="s">
        <v>216</v>
      </c>
      <c r="E895" t="s">
        <v>16</v>
      </c>
      <c r="F895">
        <v>2</v>
      </c>
      <c r="G895" s="1">
        <v>3100</v>
      </c>
      <c r="H895">
        <v>62.1</v>
      </c>
      <c r="I895" s="1">
        <v>600</v>
      </c>
      <c r="J895" s="1">
        <v>80</v>
      </c>
      <c r="K895" s="1">
        <v>750</v>
      </c>
      <c r="L895">
        <v>0.92</v>
      </c>
      <c r="M89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19080</v>
      </c>
      <c r="N895" s="1">
        <f>International_Education_Costs[[#This Row],[Total_Cost]]/International_Education_Costs[[#This Row],[Duration_Years]]</f>
        <v>9540</v>
      </c>
      <c r="O895" s="1">
        <f>International_Education_Costs[[#This Row],[Rent_USD]] * 12 * International_Education_Costs[[#This Row],[Duration_Years]]</f>
        <v>14400</v>
      </c>
      <c r="P895" s="1">
        <f>International_Education_Costs[[#This Row],[Total_Cost]]-International_Education_Costs[[#This Row],[Tuition_USD]]</f>
        <v>15980</v>
      </c>
      <c r="Q895" s="2">
        <f>International_Education_Costs[[#This Row],[Tuition_USD]]/International_Education_Costs[[#This Row],[Total_Cost]]</f>
        <v>0.16247379454926625</v>
      </c>
    </row>
    <row r="896" spans="1:17" x14ac:dyDescent="0.25">
      <c r="A896" t="s">
        <v>187</v>
      </c>
      <c r="B896" t="s">
        <v>805</v>
      </c>
      <c r="C896" t="s">
        <v>806</v>
      </c>
      <c r="D896" t="s">
        <v>242</v>
      </c>
      <c r="E896" t="s">
        <v>16</v>
      </c>
      <c r="F896">
        <v>2</v>
      </c>
      <c r="G896" s="1">
        <v>3300</v>
      </c>
      <c r="H896">
        <v>68.900000000000006</v>
      </c>
      <c r="I896" s="1">
        <v>850</v>
      </c>
      <c r="J896" s="1">
        <v>120</v>
      </c>
      <c r="K896" s="1">
        <v>700</v>
      </c>
      <c r="L896">
        <v>0.92</v>
      </c>
      <c r="M89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25220</v>
      </c>
      <c r="N896" s="1">
        <f>International_Education_Costs[[#This Row],[Total_Cost]]/International_Education_Costs[[#This Row],[Duration_Years]]</f>
        <v>12610</v>
      </c>
      <c r="O896" s="1">
        <f>International_Education_Costs[[#This Row],[Rent_USD]] * 12 * International_Education_Costs[[#This Row],[Duration_Years]]</f>
        <v>20400</v>
      </c>
      <c r="P896" s="1">
        <f>International_Education_Costs[[#This Row],[Total_Cost]]-International_Education_Costs[[#This Row],[Tuition_USD]]</f>
        <v>21920</v>
      </c>
      <c r="Q896" s="2">
        <f>International_Education_Costs[[#This Row],[Tuition_USD]]/International_Education_Costs[[#This Row],[Total_Cost]]</f>
        <v>0.13084853291038859</v>
      </c>
    </row>
    <row r="897" spans="1:17" x14ac:dyDescent="0.25">
      <c r="A897" t="s">
        <v>44</v>
      </c>
      <c r="B897" t="s">
        <v>425</v>
      </c>
      <c r="C897" t="s">
        <v>651</v>
      </c>
      <c r="D897" t="s">
        <v>15</v>
      </c>
      <c r="E897" t="s">
        <v>75</v>
      </c>
      <c r="F897">
        <v>3</v>
      </c>
      <c r="G897" s="1">
        <v>4200</v>
      </c>
      <c r="H897">
        <v>69.8</v>
      </c>
      <c r="I897" s="1">
        <v>950</v>
      </c>
      <c r="J897" s="1">
        <v>99</v>
      </c>
      <c r="K897" s="1">
        <v>850</v>
      </c>
      <c r="L897">
        <v>0.92</v>
      </c>
      <c r="M89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41049</v>
      </c>
      <c r="N897" s="1">
        <f>International_Education_Costs[[#This Row],[Total_Cost]]/International_Education_Costs[[#This Row],[Duration_Years]]</f>
        <v>13683</v>
      </c>
      <c r="O897" s="1">
        <f>International_Education_Costs[[#This Row],[Rent_USD]] * 12 * International_Education_Costs[[#This Row],[Duration_Years]]</f>
        <v>34200</v>
      </c>
      <c r="P897" s="1">
        <f>International_Education_Costs[[#This Row],[Total_Cost]]-International_Education_Costs[[#This Row],[Tuition_USD]]</f>
        <v>36849</v>
      </c>
      <c r="Q897" s="2">
        <f>International_Education_Costs[[#This Row],[Tuition_USD]]/International_Education_Costs[[#This Row],[Total_Cost]]</f>
        <v>0.10231674340422423</v>
      </c>
    </row>
    <row r="898" spans="1:17" x14ac:dyDescent="0.25">
      <c r="A898" t="s">
        <v>168</v>
      </c>
      <c r="B898" t="s">
        <v>1321</v>
      </c>
      <c r="C898" t="s">
        <v>1322</v>
      </c>
      <c r="D898" t="s">
        <v>71</v>
      </c>
      <c r="E898" t="s">
        <v>16</v>
      </c>
      <c r="F898">
        <v>2</v>
      </c>
      <c r="G898" s="1">
        <v>7100</v>
      </c>
      <c r="H898">
        <v>51.8</v>
      </c>
      <c r="I898" s="1">
        <v>430</v>
      </c>
      <c r="J898" s="1">
        <v>120</v>
      </c>
      <c r="K898" s="1">
        <v>400</v>
      </c>
      <c r="L898">
        <v>4.6500000000000004</v>
      </c>
      <c r="M89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18340</v>
      </c>
      <c r="N898" s="1">
        <f>International_Education_Costs[[#This Row],[Total_Cost]]/International_Education_Costs[[#This Row],[Duration_Years]]</f>
        <v>9170</v>
      </c>
      <c r="O898" s="1">
        <f>International_Education_Costs[[#This Row],[Rent_USD]] * 12 * International_Education_Costs[[#This Row],[Duration_Years]]</f>
        <v>10320</v>
      </c>
      <c r="P898" s="1">
        <f>International_Education_Costs[[#This Row],[Total_Cost]]-International_Education_Costs[[#This Row],[Tuition_USD]]</f>
        <v>11240</v>
      </c>
      <c r="Q898" s="2">
        <f>International_Education_Costs[[#This Row],[Tuition_USD]]/International_Education_Costs[[#This Row],[Total_Cost]]</f>
        <v>0.38713195201744821</v>
      </c>
    </row>
    <row r="899" spans="1:17" x14ac:dyDescent="0.25">
      <c r="A899" t="s">
        <v>375</v>
      </c>
      <c r="B899" t="s">
        <v>1323</v>
      </c>
      <c r="C899" t="s">
        <v>1324</v>
      </c>
      <c r="D899" t="s">
        <v>223</v>
      </c>
      <c r="E899" t="s">
        <v>122</v>
      </c>
      <c r="F899">
        <v>4</v>
      </c>
      <c r="G899" s="1">
        <v>4300</v>
      </c>
      <c r="H899">
        <v>65.8</v>
      </c>
      <c r="I899" s="1">
        <v>650</v>
      </c>
      <c r="J899" s="1">
        <v>200</v>
      </c>
      <c r="K899" s="1">
        <v>800</v>
      </c>
      <c r="L899">
        <v>3.75</v>
      </c>
      <c r="M899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38900</v>
      </c>
      <c r="N899" s="1">
        <f>International_Education_Costs[[#This Row],[Total_Cost]]/International_Education_Costs[[#This Row],[Duration_Years]]</f>
        <v>9725</v>
      </c>
      <c r="O899" s="1">
        <f>International_Education_Costs[[#This Row],[Rent_USD]] * 12 * International_Education_Costs[[#This Row],[Duration_Years]]</f>
        <v>31200</v>
      </c>
      <c r="P899" s="1">
        <f>International_Education_Costs[[#This Row],[Total_Cost]]-International_Education_Costs[[#This Row],[Tuition_USD]]</f>
        <v>34600</v>
      </c>
      <c r="Q899" s="2">
        <f>International_Education_Costs[[#This Row],[Tuition_USD]]/International_Education_Costs[[#This Row],[Total_Cost]]</f>
        <v>0.11053984575835475</v>
      </c>
    </row>
    <row r="900" spans="1:17" x14ac:dyDescent="0.25">
      <c r="A900" t="s">
        <v>12</v>
      </c>
      <c r="B900" t="s">
        <v>634</v>
      </c>
      <c r="C900" t="s">
        <v>121</v>
      </c>
      <c r="D900" t="s">
        <v>20</v>
      </c>
      <c r="E900" t="s">
        <v>16</v>
      </c>
      <c r="F900">
        <v>2</v>
      </c>
      <c r="G900" s="1">
        <v>55000</v>
      </c>
      <c r="H900">
        <v>95.2</v>
      </c>
      <c r="I900" s="1">
        <v>2400</v>
      </c>
      <c r="J900" s="1">
        <v>160</v>
      </c>
      <c r="K900" s="1">
        <v>1500</v>
      </c>
      <c r="L900">
        <v>1</v>
      </c>
      <c r="M900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115760</v>
      </c>
      <c r="N900" s="1">
        <f>International_Education_Costs[[#This Row],[Total_Cost]]/International_Education_Costs[[#This Row],[Duration_Years]]</f>
        <v>57880</v>
      </c>
      <c r="O900" s="1">
        <f>International_Education_Costs[[#This Row],[Rent_USD]] * 12 * International_Education_Costs[[#This Row],[Duration_Years]]</f>
        <v>57600</v>
      </c>
      <c r="P900" s="1">
        <f>International_Education_Costs[[#This Row],[Total_Cost]]-International_Education_Costs[[#This Row],[Tuition_USD]]</f>
        <v>60760</v>
      </c>
      <c r="Q900" s="2">
        <f>International_Education_Costs[[#This Row],[Tuition_USD]]/International_Education_Costs[[#This Row],[Total_Cost]]</f>
        <v>0.47512093987560472</v>
      </c>
    </row>
    <row r="901" spans="1:17" x14ac:dyDescent="0.25">
      <c r="A901" t="s">
        <v>17</v>
      </c>
      <c r="B901" t="s">
        <v>291</v>
      </c>
      <c r="C901" t="s">
        <v>292</v>
      </c>
      <c r="D901" t="s">
        <v>63</v>
      </c>
      <c r="E901" t="s">
        <v>16</v>
      </c>
      <c r="F901">
        <v>2</v>
      </c>
      <c r="G901" s="1">
        <v>35000</v>
      </c>
      <c r="H901">
        <v>63.2</v>
      </c>
      <c r="I901" s="1">
        <v>900</v>
      </c>
      <c r="J901" s="1">
        <v>485</v>
      </c>
      <c r="K901" s="1">
        <v>800</v>
      </c>
      <c r="L901">
        <v>0.79</v>
      </c>
      <c r="M901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58685</v>
      </c>
      <c r="N901" s="1">
        <f>International_Education_Costs[[#This Row],[Total_Cost]]/International_Education_Costs[[#This Row],[Duration_Years]]</f>
        <v>29342.5</v>
      </c>
      <c r="O901" s="1">
        <f>International_Education_Costs[[#This Row],[Rent_USD]] * 12 * International_Education_Costs[[#This Row],[Duration_Years]]</f>
        <v>21600</v>
      </c>
      <c r="P901" s="1">
        <f>International_Education_Costs[[#This Row],[Total_Cost]]-International_Education_Costs[[#This Row],[Tuition_USD]]</f>
        <v>23685</v>
      </c>
      <c r="Q901" s="2">
        <f>International_Education_Costs[[#This Row],[Tuition_USD]]/International_Education_Costs[[#This Row],[Total_Cost]]</f>
        <v>0.59640453267444837</v>
      </c>
    </row>
    <row r="902" spans="1:17" x14ac:dyDescent="0.25">
      <c r="A902" t="s">
        <v>184</v>
      </c>
      <c r="B902" t="s">
        <v>803</v>
      </c>
      <c r="C902" t="s">
        <v>804</v>
      </c>
      <c r="D902" t="s">
        <v>40</v>
      </c>
      <c r="E902" t="s">
        <v>122</v>
      </c>
      <c r="F902">
        <v>4</v>
      </c>
      <c r="G902" s="1">
        <v>2900</v>
      </c>
      <c r="H902">
        <v>63.2</v>
      </c>
      <c r="I902" s="1">
        <v>650</v>
      </c>
      <c r="J902" s="1">
        <v>80</v>
      </c>
      <c r="K902" s="1">
        <v>750</v>
      </c>
      <c r="L902">
        <v>0.92</v>
      </c>
      <c r="M902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37180</v>
      </c>
      <c r="N902" s="1">
        <f>International_Education_Costs[[#This Row],[Total_Cost]]/International_Education_Costs[[#This Row],[Duration_Years]]</f>
        <v>9295</v>
      </c>
      <c r="O902" s="1">
        <f>International_Education_Costs[[#This Row],[Rent_USD]] * 12 * International_Education_Costs[[#This Row],[Duration_Years]]</f>
        <v>31200</v>
      </c>
      <c r="P902" s="1">
        <f>International_Education_Costs[[#This Row],[Total_Cost]]-International_Education_Costs[[#This Row],[Tuition_USD]]</f>
        <v>34280</v>
      </c>
      <c r="Q902" s="2">
        <f>International_Education_Costs[[#This Row],[Tuition_USD]]/International_Education_Costs[[#This Row],[Total_Cost]]</f>
        <v>7.7998924152770308E-2</v>
      </c>
    </row>
    <row r="903" spans="1:17" x14ac:dyDescent="0.25">
      <c r="A903" t="s">
        <v>187</v>
      </c>
      <c r="B903" t="s">
        <v>814</v>
      </c>
      <c r="C903" t="s">
        <v>815</v>
      </c>
      <c r="D903" t="s">
        <v>208</v>
      </c>
      <c r="E903" t="s">
        <v>16</v>
      </c>
      <c r="F903">
        <v>2</v>
      </c>
      <c r="G903" s="1">
        <v>3400</v>
      </c>
      <c r="H903">
        <v>69.5</v>
      </c>
      <c r="I903" s="1">
        <v>900</v>
      </c>
      <c r="J903" s="1">
        <v>120</v>
      </c>
      <c r="K903" s="1">
        <v>700</v>
      </c>
      <c r="L903">
        <v>0.92</v>
      </c>
      <c r="M903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26520</v>
      </c>
      <c r="N903" s="1">
        <f>International_Education_Costs[[#This Row],[Total_Cost]]/International_Education_Costs[[#This Row],[Duration_Years]]</f>
        <v>13260</v>
      </c>
      <c r="O903" s="1">
        <f>International_Education_Costs[[#This Row],[Rent_USD]] * 12 * International_Education_Costs[[#This Row],[Duration_Years]]</f>
        <v>21600</v>
      </c>
      <c r="P903" s="1">
        <f>International_Education_Costs[[#This Row],[Total_Cost]]-International_Education_Costs[[#This Row],[Tuition_USD]]</f>
        <v>23120</v>
      </c>
      <c r="Q903" s="2">
        <f>International_Education_Costs[[#This Row],[Tuition_USD]]/International_Education_Costs[[#This Row],[Total_Cost]]</f>
        <v>0.12820512820512819</v>
      </c>
    </row>
    <row r="904" spans="1:17" x14ac:dyDescent="0.25">
      <c r="A904" t="s">
        <v>44</v>
      </c>
      <c r="B904" t="s">
        <v>428</v>
      </c>
      <c r="C904" t="s">
        <v>429</v>
      </c>
      <c r="D904" t="s">
        <v>71</v>
      </c>
      <c r="E904" t="s">
        <v>16</v>
      </c>
      <c r="F904">
        <v>2</v>
      </c>
      <c r="G904" s="1">
        <v>4000</v>
      </c>
      <c r="H904">
        <v>70.2</v>
      </c>
      <c r="I904" s="1">
        <v>1000</v>
      </c>
      <c r="J904" s="1">
        <v>99</v>
      </c>
      <c r="K904" s="1">
        <v>850</v>
      </c>
      <c r="L904">
        <v>0.92</v>
      </c>
      <c r="M904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29799</v>
      </c>
      <c r="N904" s="1">
        <f>International_Education_Costs[[#This Row],[Total_Cost]]/International_Education_Costs[[#This Row],[Duration_Years]]</f>
        <v>14899.5</v>
      </c>
      <c r="O904" s="1">
        <f>International_Education_Costs[[#This Row],[Rent_USD]] * 12 * International_Education_Costs[[#This Row],[Duration_Years]]</f>
        <v>24000</v>
      </c>
      <c r="P904" s="1">
        <f>International_Education_Costs[[#This Row],[Total_Cost]]-International_Education_Costs[[#This Row],[Tuition_USD]]</f>
        <v>25799</v>
      </c>
      <c r="Q904" s="2">
        <f>International_Education_Costs[[#This Row],[Tuition_USD]]/International_Education_Costs[[#This Row],[Total_Cost]]</f>
        <v>0.13423269237222726</v>
      </c>
    </row>
    <row r="905" spans="1:17" x14ac:dyDescent="0.25">
      <c r="A905" t="s">
        <v>168</v>
      </c>
      <c r="B905" t="s">
        <v>1325</v>
      </c>
      <c r="C905" t="s">
        <v>1326</v>
      </c>
      <c r="D905" t="s">
        <v>15</v>
      </c>
      <c r="E905" t="s">
        <v>75</v>
      </c>
      <c r="F905">
        <v>3</v>
      </c>
      <c r="G905" s="1">
        <v>6800</v>
      </c>
      <c r="H905">
        <v>50.5</v>
      </c>
      <c r="I905" s="1">
        <v>400</v>
      </c>
      <c r="J905" s="1">
        <v>120</v>
      </c>
      <c r="K905" s="1">
        <v>400</v>
      </c>
      <c r="L905">
        <v>4.6500000000000004</v>
      </c>
      <c r="M905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22520</v>
      </c>
      <c r="N905" s="1">
        <f>International_Education_Costs[[#This Row],[Total_Cost]]/International_Education_Costs[[#This Row],[Duration_Years]]</f>
        <v>7506.666666666667</v>
      </c>
      <c r="O905" s="1">
        <f>International_Education_Costs[[#This Row],[Rent_USD]] * 12 * International_Education_Costs[[#This Row],[Duration_Years]]</f>
        <v>14400</v>
      </c>
      <c r="P905" s="1">
        <f>International_Education_Costs[[#This Row],[Total_Cost]]-International_Education_Costs[[#This Row],[Tuition_USD]]</f>
        <v>15720</v>
      </c>
      <c r="Q905" s="2">
        <f>International_Education_Costs[[#This Row],[Tuition_USD]]/International_Education_Costs[[#This Row],[Total_Cost]]</f>
        <v>0.30195381882770872</v>
      </c>
    </row>
    <row r="906" spans="1:17" x14ac:dyDescent="0.25">
      <c r="A906" t="s">
        <v>375</v>
      </c>
      <c r="B906" t="s">
        <v>1327</v>
      </c>
      <c r="C906" t="s">
        <v>1328</v>
      </c>
      <c r="D906" t="s">
        <v>216</v>
      </c>
      <c r="E906" t="s">
        <v>16</v>
      </c>
      <c r="F906">
        <v>2</v>
      </c>
      <c r="G906" s="1">
        <v>4200</v>
      </c>
      <c r="H906">
        <v>64.2</v>
      </c>
      <c r="I906" s="1">
        <v>600</v>
      </c>
      <c r="J906" s="1">
        <v>200</v>
      </c>
      <c r="K906" s="1">
        <v>800</v>
      </c>
      <c r="L906">
        <v>3.75</v>
      </c>
      <c r="M906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20400</v>
      </c>
      <c r="N906" s="1">
        <f>International_Education_Costs[[#This Row],[Total_Cost]]/International_Education_Costs[[#This Row],[Duration_Years]]</f>
        <v>10200</v>
      </c>
      <c r="O906" s="1">
        <f>International_Education_Costs[[#This Row],[Rent_USD]] * 12 * International_Education_Costs[[#This Row],[Duration_Years]]</f>
        <v>14400</v>
      </c>
      <c r="P906" s="1">
        <f>International_Education_Costs[[#This Row],[Total_Cost]]-International_Education_Costs[[#This Row],[Tuition_USD]]</f>
        <v>16200</v>
      </c>
      <c r="Q906" s="2">
        <f>International_Education_Costs[[#This Row],[Tuition_USD]]/International_Education_Costs[[#This Row],[Total_Cost]]</f>
        <v>0.20588235294117646</v>
      </c>
    </row>
    <row r="907" spans="1:17" x14ac:dyDescent="0.25">
      <c r="A907" t="s">
        <v>12</v>
      </c>
      <c r="B907" t="s">
        <v>150</v>
      </c>
      <c r="C907" t="s">
        <v>151</v>
      </c>
      <c r="D907" t="s">
        <v>242</v>
      </c>
      <c r="E907" t="s">
        <v>122</v>
      </c>
      <c r="F907">
        <v>5</v>
      </c>
      <c r="G907" s="1">
        <v>50000</v>
      </c>
      <c r="H907">
        <v>77.8</v>
      </c>
      <c r="I907" s="1">
        <v>2000</v>
      </c>
      <c r="J907" s="1">
        <v>160</v>
      </c>
      <c r="K907" s="1">
        <v>1500</v>
      </c>
      <c r="L907">
        <v>1</v>
      </c>
      <c r="M907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177660</v>
      </c>
      <c r="N907" s="1">
        <f>International_Education_Costs[[#This Row],[Total_Cost]]/International_Education_Costs[[#This Row],[Duration_Years]]</f>
        <v>35532</v>
      </c>
      <c r="O907" s="1">
        <f>International_Education_Costs[[#This Row],[Rent_USD]] * 12 * International_Education_Costs[[#This Row],[Duration_Years]]</f>
        <v>120000</v>
      </c>
      <c r="P907" s="1">
        <f>International_Education_Costs[[#This Row],[Total_Cost]]-International_Education_Costs[[#This Row],[Tuition_USD]]</f>
        <v>127660</v>
      </c>
      <c r="Q907" s="2">
        <f>International_Education_Costs[[#This Row],[Tuition_USD]]/International_Education_Costs[[#This Row],[Total_Cost]]</f>
        <v>0.2814364516492176</v>
      </c>
    </row>
    <row r="908" spans="1:17" x14ac:dyDescent="0.25">
      <c r="A908" t="s">
        <v>17</v>
      </c>
      <c r="B908" t="s">
        <v>302</v>
      </c>
      <c r="C908" t="s">
        <v>303</v>
      </c>
      <c r="D908" t="s">
        <v>252</v>
      </c>
      <c r="E908" t="s">
        <v>16</v>
      </c>
      <c r="F908">
        <v>2</v>
      </c>
      <c r="G908" s="1">
        <v>34000</v>
      </c>
      <c r="H908">
        <v>61.2</v>
      </c>
      <c r="I908" s="1">
        <v>800</v>
      </c>
      <c r="J908" s="1">
        <v>485</v>
      </c>
      <c r="K908" s="1">
        <v>800</v>
      </c>
      <c r="L908">
        <v>0.79</v>
      </c>
      <c r="M908" s="1">
        <f xml:space="preserve"> International_Education_Costs[[#This Row],[Tuition_USD]] + (International_Education_Costs[[#This Row],[Rent_USD]]*12*International_Education_Costs[[#This Row],[Duration_Years]]) + (International_Education_Costs[[#This Row],[Insurance_USD]]*International_Education_Costs[[#This Row],[Duration_Years]]) + International_Education_Costs[[#This Row],[Visa_Fee_USD]]</f>
        <v>55285</v>
      </c>
      <c r="N908" s="1">
        <f>International_Education_Costs[[#This Row],[Total_Cost]]/International_Education_Costs[[#This Row],[Duration_Years]]</f>
        <v>27642.5</v>
      </c>
      <c r="O908" s="1">
        <f>International_Education_Costs[[#This Row],[Rent_USD]] * 12 * International_Education_Costs[[#This Row],[Duration_Years]]</f>
        <v>19200</v>
      </c>
      <c r="P908" s="1">
        <f>International_Education_Costs[[#This Row],[Total_Cost]]-International_Education_Costs[[#This Row],[Tuition_USD]]</f>
        <v>21285</v>
      </c>
      <c r="Q908" s="2">
        <f>International_Education_Costs[[#This Row],[Tuition_USD]]/International_Education_Costs[[#This Row],[Total_Cost]]</f>
        <v>0.61499502577552678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74E07-FB07-4777-B081-61EB22752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International_Education_Cost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IKIMAT AFODUNRINBI</cp:lastModifiedBy>
  <dcterms:created xsi:type="dcterms:W3CDTF">2026-04-14T10:59:08Z</dcterms:created>
  <dcterms:modified xsi:type="dcterms:W3CDTF">2026-04-18T12:52:27Z</dcterms:modified>
</cp:coreProperties>
</file>